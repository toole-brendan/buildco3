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Cons.'!$AG$6:$AG$4000</definedName>
    <definedName name="JB_EX">'J Book Items Cons.'!$G$6:$G$4000</definedName>
    <definedName name="JB_CC">'J Book Items Cons.'!$H$6:$H$4000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top style="medium"/>
    </border>
    <border>
      <left/>
      <right/>
      <top style="medium"/>
      <bottom/>
    </border>
    <border>
      <left style="thin"/>
      <bottom style="thin"/>
    </border>
    <border>
      <left style="thin"/>
      <top style="medium"/>
    </border>
  </borders>
  <cellStyleXfs count="1">
    <xf numFmtId="0" fontId="0" fillId="0" borderId="0"/>
  </cellStyleXfs>
  <cellXfs count="4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7"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8" fillId="0" borderId="4" applyAlignment="1" pivotButton="0" quotePrefix="0" xfId="0">
      <alignment vertical="center"/>
    </xf>
    <xf numFmtId="0" fontId="9" fillId="0" borderId="0" applyAlignment="1" pivotButton="0" quotePrefix="0" xfId="0">
      <alignment vertical="center"/>
    </xf>
    <xf numFmtId="165" fontId="9" fillId="0" borderId="0" applyAlignment="1" pivotButton="0" quotePrefix="0" xfId="0">
      <alignment vertical="center"/>
    </xf>
    <xf numFmtId="0" fontId="8" fillId="0" borderId="5" applyAlignment="1" pivotButton="0" quotePrefix="0" xfId="0">
      <alignment vertical="center"/>
    </xf>
    <xf numFmtId="165" fontId="8" fillId="0" borderId="5" applyAlignment="1" pivotButton="0" quotePrefix="0" xfId="0">
      <alignment vertical="center"/>
    </xf>
    <xf numFmtId="0" fontId="0" fillId="0" borderId="6"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5" applyAlignment="1" pivotButton="0" quotePrefix="0" xfId="0">
      <alignment vertical="center"/>
    </xf>
    <xf numFmtId="0" fontId="0" fillId="6" borderId="0" applyAlignment="1" pivotButton="0" quotePrefix="0" xfId="0">
      <alignment vertical="center"/>
    </xf>
    <xf numFmtId="0" fontId="8" fillId="6" borderId="2" applyAlignment="1" pivotButton="0" quotePrefix="0" xfId="0">
      <alignment vertical="center"/>
    </xf>
    <xf numFmtId="0" fontId="0" fillId="6" borderId="2" applyAlignment="1" pivotButton="0" quotePrefix="0" xfId="0">
      <alignment vertical="center"/>
    </xf>
    <xf numFmtId="0" fontId="8" fillId="0" borderId="7" applyAlignment="1" pivotButton="0" quotePrefix="0" xfId="0">
      <alignment vertical="center"/>
    </xf>
    <xf numFmtId="166" fontId="12" fillId="0" borderId="2" applyAlignment="1" pivotButton="0" quotePrefix="0" xfId="0">
      <alignment vertical="center"/>
    </xf>
    <xf numFmtId="165" fontId="8" fillId="0" borderId="8" applyAlignment="1" pivotButton="0" quotePrefix="0" xfId="0">
      <alignment vertical="center"/>
    </xf>
    <xf numFmtId="165" fontId="9" fillId="0" borderId="2" applyAlignment="1" pivotButton="0" quotePrefix="0" xfId="0">
      <alignment vertical="center"/>
    </xf>
    <xf numFmtId="0" fontId="8"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14F"/>
    <outlinePr summaryBelow="1" summaryRight="1"/>
    <pageSetUpPr/>
  </sheetPr>
  <dimension ref="A1:AG3382"/>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30" customWidth="1" min="29" max="29"/>
    <col width="10" customWidth="1" min="30" max="30"/>
    <col width="16"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10" customHeight="1">
      <c r="A2" s="3" t="inlineStr">
        <is>
          <t>Consolidated line-item budget data from SCN, OPN, OMN, NWCF, and USCG justification books</t>
        </is>
      </c>
    </row>
    <row r="3" ht="10" customHeight="1"/>
    <row r="4" ht="10" customHeight="1">
      <c r="A4" s="9"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Reference</t>
        </is>
      </c>
      <c r="AD4" s="10" t="n"/>
      <c r="AE4" s="10" t="n"/>
      <c r="AF4" s="10" t="n"/>
      <c r="AG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12" t="inlineStr">
        <is>
          <t>Citation</t>
        </is>
      </c>
      <c r="AD5" s="6" t="inlineStr">
        <is>
          <t>Source Page</t>
        </is>
      </c>
      <c r="AE5" s="6" t="inlineStr">
        <is>
          <t>Program Element Number</t>
        </is>
      </c>
      <c r="AF5" s="6" t="inlineStr">
        <is>
          <t>Project</t>
        </is>
      </c>
      <c r="AG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13" t="inlineStr">
        <is>
          <t>P-40 Exhibit &gt; LI 1045 &gt; COLUMBIA Class Submarine</t>
        </is>
      </c>
      <c r="AD6" s="7" t="inlineStr">
        <is>
          <t>31</t>
        </is>
      </c>
      <c r="AE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13" t="inlineStr">
        <is>
          <t>P-1 Exhibit &gt; BA 01 &gt; Line 1 SFF</t>
        </is>
      </c>
      <c r="AD7" s="7" t="inlineStr">
        <is>
          <t>12</t>
        </is>
      </c>
      <c r="AE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13" t="inlineStr">
        <is>
          <t>P-1 Exhibit &gt; BA 01 &gt; Line 1 Net</t>
        </is>
      </c>
      <c r="AD8" s="7" t="inlineStr">
        <is>
          <t>12</t>
        </is>
      </c>
      <c r="AE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13" t="inlineStr">
        <is>
          <t>P-40 Exhibit &gt; LI 1045 AP &gt; COLUMBIA Class Submarine Advance Procurement</t>
        </is>
      </c>
      <c r="AD9" s="7" t="inlineStr">
        <is>
          <t>57</t>
        </is>
      </c>
      <c r="AE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13" t="inlineStr">
        <is>
          <t>P-40 Exhibit &gt; LI 2001 &gt; Carrier Replacement Program</t>
        </is>
      </c>
      <c r="AD10" s="7" t="inlineStr">
        <is>
          <t>73</t>
        </is>
      </c>
      <c r="AE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13" t="inlineStr">
        <is>
          <t>P-1 Exhibit &gt; BA 02 &gt; Line 5 SFF</t>
        </is>
      </c>
      <c r="AD11" s="7" t="inlineStr">
        <is>
          <t>15</t>
        </is>
      </c>
      <c r="AE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13" t="inlineStr">
        <is>
          <t>P-1 Exhibit &gt; BA 02 &gt; Line 5 CTC</t>
        </is>
      </c>
      <c r="AD12" s="7" t="inlineStr">
        <is>
          <t>15</t>
        </is>
      </c>
      <c r="AE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13" t="inlineStr">
        <is>
          <t>P-40 Exhibit &gt; LI 2001 AP &gt; Carrier Replacement AP</t>
        </is>
      </c>
      <c r="AD13" s="7" t="inlineStr">
        <is>
          <t>115</t>
        </is>
      </c>
      <c r="AE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13" t="inlineStr">
        <is>
          <t>P-40 Exhibit &gt; LI 2004 &gt; CVN-81</t>
        </is>
      </c>
      <c r="AD14" s="7" t="inlineStr">
        <is>
          <t>117</t>
        </is>
      </c>
      <c r="AE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13" t="inlineStr">
        <is>
          <t>P-40 Exhibit &gt; LI 2013 &gt; Virginia Class Submarine</t>
        </is>
      </c>
      <c r="AD15" s="7" t="inlineStr">
        <is>
          <t>155</t>
        </is>
      </c>
      <c r="AE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13" t="inlineStr">
        <is>
          <t>P-1 Exhibit &gt; BA 02 &gt; Line 8 Net</t>
        </is>
      </c>
      <c r="AD16" s="7" t="inlineStr">
        <is>
          <t>14</t>
        </is>
      </c>
      <c r="AE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13" t="inlineStr">
        <is>
          <t>P-1 Exhibit &gt; BA 02 &gt; Line 8 SFF</t>
        </is>
      </c>
      <c r="AD17" s="7" t="inlineStr">
        <is>
          <t>14</t>
        </is>
      </c>
      <c r="AE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13" t="inlineStr">
        <is>
          <t>P-1 Exhibit &gt; BA 02 &gt; Line 8 CTC</t>
        </is>
      </c>
      <c r="AD18" s="7" t="inlineStr">
        <is>
          <t>14</t>
        </is>
      </c>
      <c r="AE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13" t="inlineStr">
        <is>
          <t>P-40 Exhibit &gt; LI 2013 AP &gt; Virginia Class Sub AP</t>
        </is>
      </c>
      <c r="AD19" s="7" t="inlineStr">
        <is>
          <t>171</t>
        </is>
      </c>
      <c r="AE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13" t="inlineStr">
        <is>
          <t>P-40 Exhibit &gt; LI 2086 &gt; CVN Refueling Overhauls</t>
        </is>
      </c>
      <c r="AD20" s="7" t="inlineStr">
        <is>
          <t>175</t>
        </is>
      </c>
      <c r="AE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13" t="inlineStr">
        <is>
          <t>P-1 Exhibit &gt; BA 02 &gt; Line 10 Net</t>
        </is>
      </c>
      <c r="AD21" s="7" t="inlineStr">
        <is>
          <t>14</t>
        </is>
      </c>
      <c r="AE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13" t="inlineStr">
        <is>
          <t>P-1 Exhibit &gt; BA 02 &gt; Line 10 SFF</t>
        </is>
      </c>
      <c r="AD22" s="7" t="inlineStr">
        <is>
          <t>14</t>
        </is>
      </c>
      <c r="AE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13" t="inlineStr">
        <is>
          <t>P-1 Exhibit &gt; BA 02 &gt; Line 10 CTC</t>
        </is>
      </c>
      <c r="AD23" s="7" t="inlineStr">
        <is>
          <t>14</t>
        </is>
      </c>
      <c r="AE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13" t="inlineStr">
        <is>
          <t>P-40 Exhibit &gt; LI 2086 AP &gt; CVN Refueling AP</t>
        </is>
      </c>
      <c r="AD24" s="7" t="inlineStr">
        <is>
          <t>209</t>
        </is>
      </c>
      <c r="AE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13" t="inlineStr">
        <is>
          <t>P-40 Exhibit &gt; LI 2119 &gt; DDG 1000</t>
        </is>
      </c>
      <c r="AD25" s="7" t="inlineStr">
        <is>
          <t>211</t>
        </is>
      </c>
      <c r="AE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13" t="inlineStr">
        <is>
          <t>P-40 Exhibit &gt; LI 2122 &gt; DDG-51</t>
        </is>
      </c>
      <c r="AD26" s="7" t="inlineStr">
        <is>
          <t>237</t>
        </is>
      </c>
      <c r="AE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13" t="inlineStr">
        <is>
          <t>P-1 Exhibit &gt; BA 02 &gt; Line 13 Net</t>
        </is>
      </c>
      <c r="AD27" s="7" t="inlineStr">
        <is>
          <t>14</t>
        </is>
      </c>
      <c r="AE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13" t="inlineStr">
        <is>
          <t>P-1 Exhibit &gt; BA 02 &gt; Line 13 SFF</t>
        </is>
      </c>
      <c r="AD28" s="7" t="inlineStr">
        <is>
          <t>15</t>
        </is>
      </c>
      <c r="AE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13" t="inlineStr">
        <is>
          <t>P-1 Exhibit &gt; BA 02 &gt; Line 13 CTC</t>
        </is>
      </c>
      <c r="AD29" s="7" t="inlineStr">
        <is>
          <t>14</t>
        </is>
      </c>
      <c r="AE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13" t="inlineStr">
        <is>
          <t>P-40 Exhibit &gt; LI 2122 AP &gt; DDG-51 AP</t>
        </is>
      </c>
      <c r="AD30" s="7" t="inlineStr">
        <is>
          <t>265</t>
        </is>
      </c>
      <c r="AE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13" t="inlineStr">
        <is>
          <t>P-40 Exhibit &gt; LI 2127 &gt; Littoral Combat Ship</t>
        </is>
      </c>
      <c r="AD31" s="7" t="inlineStr">
        <is>
          <t>269</t>
        </is>
      </c>
      <c r="AE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13" t="inlineStr">
        <is>
          <t>P-40 Exhibit &gt; LI 2128 &gt; FFG-Frigate</t>
        </is>
      </c>
      <c r="AD32" s="7" t="inlineStr">
        <is>
          <t>273</t>
        </is>
      </c>
      <c r="AE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13" t="inlineStr">
        <is>
          <t>P-40 Exhibit &gt; LI 3010 &gt; LPD Flight II</t>
        </is>
      </c>
      <c r="AD33" s="7" t="inlineStr">
        <is>
          <t>303</t>
        </is>
      </c>
      <c r="AE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13" t="inlineStr">
        <is>
          <t>P-1 Exhibit &gt; BA 03 &gt; Line 19 Net</t>
        </is>
      </c>
      <c r="AD34" s="7" t="inlineStr">
        <is>
          <t>18</t>
        </is>
      </c>
      <c r="AE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13" t="inlineStr">
        <is>
          <t>P-1 Exhibit &gt; BA 03 &gt; Line 19 SFF</t>
        </is>
      </c>
      <c r="AD35" s="7" t="inlineStr">
        <is>
          <t>18</t>
        </is>
      </c>
      <c r="AE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13" t="inlineStr">
        <is>
          <t>P-1 Exhibit &gt; BA 03 &gt; Line 19 CTC</t>
        </is>
      </c>
      <c r="AD36" s="7" t="inlineStr">
        <is>
          <t>18</t>
        </is>
      </c>
      <c r="AE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13" t="inlineStr">
        <is>
          <t>P-40 Exhibit &gt; LI 3010 AP &gt; LPD Flight II AP</t>
        </is>
      </c>
      <c r="AD37" s="7" t="inlineStr">
        <is>
          <t>321</t>
        </is>
      </c>
      <c r="AE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13" t="inlineStr">
        <is>
          <t>P-1 Exhibit &gt; BA 03 &gt; Line 21</t>
        </is>
      </c>
      <c r="AD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13" t="inlineStr">
        <is>
          <t>P-40 Exhibit &gt; LI 3041 &gt; LHA Replacement</t>
        </is>
      </c>
      <c r="AD39" s="7" t="inlineStr">
        <is>
          <t>323</t>
        </is>
      </c>
      <c r="AE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13" t="inlineStr">
        <is>
          <t>P-1 Exhibit &gt; BA 03 &gt; Line 24 SFF</t>
        </is>
      </c>
      <c r="AD40" s="7" t="inlineStr">
        <is>
          <t>18</t>
        </is>
      </c>
      <c r="AE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13" t="inlineStr">
        <is>
          <t>P-1 Exhibit &gt; BA 03 &gt; Line 24 CTC</t>
        </is>
      </c>
      <c r="AD41" s="7" t="inlineStr">
        <is>
          <t>18</t>
        </is>
      </c>
      <c r="AE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13" t="inlineStr">
        <is>
          <t>P-40 Exhibit &gt; LI 3041 AP &gt; LHA Replacement AP</t>
        </is>
      </c>
      <c r="AD42" s="7" t="inlineStr">
        <is>
          <t>351</t>
        </is>
      </c>
      <c r="AE42" s="7" t="inlineStr">
        <is>
          <t>3041</t>
        </is>
      </c>
      <c r="AG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13" t="inlineStr">
        <is>
          <t>P-40 Exhibit &gt; LI 3050 &gt; Medium Landing Ship</t>
        </is>
      </c>
      <c r="AD43" s="7" t="inlineStr">
        <is>
          <t>353</t>
        </is>
      </c>
      <c r="AE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13" t="inlineStr">
        <is>
          <t>P-40 Exhibit &gt; LI 3039 &gt; Expeditionary Sea Base</t>
        </is>
      </c>
      <c r="AD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13" t="inlineStr">
        <is>
          <t>P-40 Exhibit &gt; LI 3043 &gt; Expeditionary Fast Transport</t>
        </is>
      </c>
      <c r="AD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13" t="inlineStr">
        <is>
          <t>P-40 Exhibit &gt; LI 5025 &gt; TAO Fleet Oiler</t>
        </is>
      </c>
      <c r="AD46" s="7" t="inlineStr">
        <is>
          <t>365</t>
        </is>
      </c>
      <c r="AE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13" t="inlineStr">
        <is>
          <t>P-1 Exhibit &gt; BA 05 &gt; Line 31 Net</t>
        </is>
      </c>
      <c r="AD47" s="7" t="inlineStr">
        <is>
          <t>19</t>
        </is>
      </c>
      <c r="AE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13" t="inlineStr">
        <is>
          <t>P-1 Exhibit &gt; BA 05 &gt; Line 31 CTC</t>
        </is>
      </c>
      <c r="AD48" s="7" t="inlineStr">
        <is>
          <t>19</t>
        </is>
      </c>
      <c r="AE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13" t="inlineStr">
        <is>
          <t>P-40 Exhibit &gt; LI 5030 &gt; TAGOS Surtass Ships</t>
        </is>
      </c>
      <c r="AD49" s="7" t="inlineStr">
        <is>
          <t>373</t>
        </is>
      </c>
      <c r="AE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13" t="inlineStr">
        <is>
          <t>P-1 Exhibit &gt; BA 05 &gt; Line 34 SFF</t>
        </is>
      </c>
      <c r="AD50" s="7" t="inlineStr">
        <is>
          <t>19</t>
        </is>
      </c>
      <c r="AE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13" t="inlineStr">
        <is>
          <t>P-1 Exhibit &gt; BA 05 &gt; Line 34 Net</t>
        </is>
      </c>
      <c r="AD51" s="7" t="inlineStr">
        <is>
          <t>20</t>
        </is>
      </c>
      <c r="AE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13" t="inlineStr">
        <is>
          <t>P-40 Exhibit &gt; LI 5035 &gt; Towing Salvage and Rescue Ship</t>
        </is>
      </c>
      <c r="AD52" s="7" t="inlineStr">
        <is>
          <t>381</t>
        </is>
      </c>
      <c r="AE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13" t="inlineStr">
        <is>
          <t>P-40 Exhibit &gt; LI 5087 &gt; Oceanographic Ships</t>
        </is>
      </c>
      <c r="AD53" s="7" t="inlineStr">
        <is>
          <t>385</t>
        </is>
      </c>
      <c r="AE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13" t="inlineStr">
        <is>
          <t>P-40 Exhibit &gt; LI 5100 &gt; LCU 1700</t>
        </is>
      </c>
      <c r="AD54" s="7" t="inlineStr">
        <is>
          <t>389</t>
        </is>
      </c>
      <c r="AE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 / T-AKR</t>
        </is>
      </c>
      <c r="O55" s="15" t="n"/>
      <c r="T55" s="16" t="n">
        <v>600000</v>
      </c>
      <c r="U55" s="16" t="n">
        <v>600000</v>
      </c>
      <c r="Z55" s="16" t="n">
        <v>450000</v>
      </c>
      <c r="AB55" s="16" t="n">
        <v>450000</v>
      </c>
      <c r="AC55" s="13" t="inlineStr">
        <is>
          <t>P-1 Exhibit &gt; BA 05 &gt; Line 40</t>
        </is>
      </c>
      <c r="AD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13" t="inlineStr">
        <is>
          <t>P-40 Exhibit &gt; LI 5110 &gt; Outfitting</t>
        </is>
      </c>
      <c r="AD56" s="7" t="inlineStr">
        <is>
          <t>395</t>
        </is>
      </c>
      <c r="AE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13" t="inlineStr">
        <is>
          <t>P-40 &gt; LI 5110 &gt; P-29/P-30 &gt; CO CLASS</t>
        </is>
      </c>
      <c r="AD57" s="7" t="inlineStr">
        <is>
          <t>395</t>
        </is>
      </c>
      <c r="AE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13" t="inlineStr">
        <is>
          <t>P-40 &gt; LI 5110 &gt; P-29/P-30 &gt; CVN</t>
        </is>
      </c>
      <c r="AD58" s="7" t="inlineStr">
        <is>
          <t>395</t>
        </is>
      </c>
      <c r="AE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13" t="inlineStr">
        <is>
          <t>P-40 &gt; LI 5110 &gt; P-29/P-30 &gt; VIRGINIA</t>
        </is>
      </c>
      <c r="AD59" s="7" t="inlineStr">
        <is>
          <t>395</t>
        </is>
      </c>
      <c r="AE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13" t="inlineStr">
        <is>
          <t>P-40 &gt; LI 5110 &gt; P-29/P-30 &gt; CVN-RCOH</t>
        </is>
      </c>
      <c r="AD60" s="7" t="inlineStr">
        <is>
          <t>395</t>
        </is>
      </c>
      <c r="AE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13" t="inlineStr">
        <is>
          <t>P-40 &gt; LI 5110 &gt; P-29/P-30 &gt; DDG 1000</t>
        </is>
      </c>
      <c r="AD61" s="7" t="inlineStr">
        <is>
          <t>395</t>
        </is>
      </c>
      <c r="AE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13" t="inlineStr">
        <is>
          <t>P-40 &gt; LI 5110 &gt; P-29/P-30 &gt; DDG</t>
        </is>
      </c>
      <c r="AD62" s="7" t="inlineStr">
        <is>
          <t>395</t>
        </is>
      </c>
      <c r="AE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13" t="inlineStr">
        <is>
          <t>P-40 &gt; LI 5110 &gt; P-29/P-30 &gt; LCS</t>
        </is>
      </c>
      <c r="AD63" s="7" t="inlineStr">
        <is>
          <t>395</t>
        </is>
      </c>
      <c r="AE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13" t="inlineStr">
        <is>
          <t>P-40 &gt; LI 5110 &gt; P-29/P-30 &gt; LPD FLT II</t>
        </is>
      </c>
      <c r="AD64" s="7" t="inlineStr">
        <is>
          <t>395</t>
        </is>
      </c>
      <c r="AE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13" t="inlineStr">
        <is>
          <t>P-40 &gt; LI 5110 &gt; P-29/P-30 &gt; LPD</t>
        </is>
      </c>
      <c r="AD65" s="7" t="inlineStr">
        <is>
          <t>395</t>
        </is>
      </c>
      <c r="AE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13" t="inlineStr">
        <is>
          <t>P-40 &gt; LI 5110 &gt; P-29/P-30 &gt; ESB</t>
        </is>
      </c>
      <c r="AD66" s="7" t="inlineStr">
        <is>
          <t>395</t>
        </is>
      </c>
      <c r="AE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13" t="inlineStr">
        <is>
          <t>P-40 &gt; LI 5110 &gt; P-29/P-30 &gt; LHA</t>
        </is>
      </c>
      <c r="AD67" s="7" t="inlineStr">
        <is>
          <t>395</t>
        </is>
      </c>
      <c r="AE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13" t="inlineStr">
        <is>
          <t>P-40 &gt; LI 5110 &gt; P-29/P-30 &gt; EPF</t>
        </is>
      </c>
      <c r="AD68" s="7" t="inlineStr">
        <is>
          <t>395</t>
        </is>
      </c>
      <c r="AE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13" t="inlineStr">
        <is>
          <t>P-40 &gt; LI 5110 &gt; P-29/P-30 &gt; T-AO</t>
        </is>
      </c>
      <c r="AD69" s="7" t="inlineStr">
        <is>
          <t>395</t>
        </is>
      </c>
      <c r="AE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13" t="inlineStr">
        <is>
          <t>P-40 &gt; LI 5110 &gt; P-29/P-30 &gt; T-ATS</t>
        </is>
      </c>
      <c r="AD70" s="7" t="inlineStr">
        <is>
          <t>395</t>
        </is>
      </c>
      <c r="AE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13" t="inlineStr">
        <is>
          <t>P-40 &gt; LI 5110 &gt; P-29/P-30 &gt; T-AGS/AGOR</t>
        </is>
      </c>
      <c r="AD71" s="7" t="inlineStr">
        <is>
          <t>395</t>
        </is>
      </c>
      <c r="AE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13" t="inlineStr">
        <is>
          <t>P-40 &gt; LI 5110 &gt; P-29/P-30 &gt; LCU</t>
        </is>
      </c>
      <c r="AD72" s="7" t="inlineStr">
        <is>
          <t>395</t>
        </is>
      </c>
      <c r="AE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13" t="inlineStr">
        <is>
          <t>P-40 &gt; LI 5110 &gt; P-29/P-30 &gt; LCAC SSC</t>
        </is>
      </c>
      <c r="AD73" s="7" t="inlineStr">
        <is>
          <t>395</t>
        </is>
      </c>
      <c r="AE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13" t="inlineStr">
        <is>
          <t>P-40 &gt; LI 5110 &gt; P-29/P-30 &gt; LCAC SLEP</t>
        </is>
      </c>
      <c r="AD74" s="7" t="inlineStr">
        <is>
          <t>395</t>
        </is>
      </c>
      <c r="AE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13" t="inlineStr">
        <is>
          <t>P-40 &gt; LI 5110 &gt; P-29/P-30 &gt; PUBS + FD</t>
        </is>
      </c>
      <c r="AD75" s="7" t="inlineStr">
        <is>
          <t>395</t>
        </is>
      </c>
      <c r="AE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13" t="inlineStr">
        <is>
          <t>P-40 Exhibit &gt; LI 5112 &gt; Ship to Shore Connector</t>
        </is>
      </c>
      <c r="AD76" s="7" t="inlineStr">
        <is>
          <t>407</t>
        </is>
      </c>
      <c r="AE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13" t="inlineStr">
        <is>
          <t>P-40 Exhibit &gt; LI 5113 &gt; Service Craft</t>
        </is>
      </c>
      <c r="AD77" s="7" t="inlineStr">
        <is>
          <t>413</t>
        </is>
      </c>
      <c r="AE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13" t="inlineStr">
        <is>
          <t>P-40 Exhibit &gt; LI 5114 &gt; Auxiliary Personnel Lighter</t>
        </is>
      </c>
      <c r="AD78" s="7" t="inlineStr">
        <is>
          <t>421</t>
        </is>
      </c>
      <c r="AE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13" t="inlineStr">
        <is>
          <t>P-40 Exhibit &gt; LI 5139 &gt; LCAC SLEP</t>
        </is>
      </c>
      <c r="AD79" s="7" t="inlineStr">
        <is>
          <t>425</t>
        </is>
      </c>
      <c r="AE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 / 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13" t="inlineStr">
        <is>
          <t>P-40 Exhibit &gt; LI 5201 &gt; Auxiliary Vessels (Used Sealift)</t>
        </is>
      </c>
      <c r="AD80" s="7" t="inlineStr">
        <is>
          <t>429</t>
        </is>
      </c>
      <c r="AE80" s="7" t="inlineStr">
        <is>
          <t>5201</t>
        </is>
      </c>
      <c r="AG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13" t="inlineStr">
        <is>
          <t>P-40 Exhibit &gt; LI 5300 &gt; Completion of PY Shpbldg Progr</t>
        </is>
      </c>
      <c r="AD81" s="7" t="inlineStr">
        <is>
          <t>433</t>
        </is>
      </c>
      <c r="AE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13" t="inlineStr">
        <is>
          <t>P-1 Exhibit &gt; BA 05 &gt; Line 49 &gt; AUX</t>
        </is>
      </c>
      <c r="AD82" s="7" t="inlineStr">
        <is>
          <t>19</t>
        </is>
      </c>
      <c r="AE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13" t="inlineStr">
        <is>
          <t>P-1 Exhibit &gt; BA 05 &gt; Line 49 &gt; MSAUX</t>
        </is>
      </c>
      <c r="AD83" s="7" t="inlineStr">
        <is>
          <t>19</t>
        </is>
      </c>
      <c r="AE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13" t="inlineStr">
        <is>
          <t>P-1 Exhibit &gt; BA 05 &gt; Line 49 &gt; LHA R</t>
        </is>
      </c>
      <c r="AD84" s="7" t="inlineStr">
        <is>
          <t>19</t>
        </is>
      </c>
      <c r="AE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13" t="inlineStr">
        <is>
          <t>P-1 Exhibit &gt; BA 05 &gt; Line 49 &gt; CVN</t>
        </is>
      </c>
      <c r="AD85" s="7" t="inlineStr">
        <is>
          <t>19</t>
        </is>
      </c>
      <c r="AE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13" t="inlineStr">
        <is>
          <t>P-1 Exhibit &gt; BA 05 &gt; Line 49 &gt; SSN-774</t>
        </is>
      </c>
      <c r="AD86" s="7" t="inlineStr">
        <is>
          <t>19</t>
        </is>
      </c>
      <c r="AE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13" t="inlineStr">
        <is>
          <t>P-1 Exhibit &gt; BA 05 &gt; Line 49 &gt; TAGOS</t>
        </is>
      </c>
      <c r="AD87" s="7" t="inlineStr">
        <is>
          <t>19</t>
        </is>
      </c>
      <c r="AE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13" t="inlineStr">
        <is>
          <t>P-1 Exhibit &gt; BA 05 &gt; Line 49 &gt; CVN RCOH</t>
        </is>
      </c>
      <c r="AD88" s="7" t="inlineStr">
        <is>
          <t>19</t>
        </is>
      </c>
      <c r="AE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13" t="inlineStr">
        <is>
          <t>P-1 Exhibit &gt; BA 05 &gt; Line 49 &gt; LCS</t>
        </is>
      </c>
      <c r="AD89" s="7" t="inlineStr">
        <is>
          <t>19</t>
        </is>
      </c>
      <c r="AE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13" t="inlineStr">
        <is>
          <t>P-1 Exhibit &gt; BA 05 &gt; Line 49 &gt; JHSV</t>
        </is>
      </c>
      <c r="AD90" s="7" t="inlineStr">
        <is>
          <t>19</t>
        </is>
      </c>
      <c r="AE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13" t="inlineStr">
        <is>
          <t>P-1 Exhibit &gt; BA 05 &gt; Line 49 &gt; DDG</t>
        </is>
      </c>
      <c r="AD91" s="7" t="inlineStr">
        <is>
          <t>19</t>
        </is>
      </c>
      <c r="AE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13" t="inlineStr">
        <is>
          <t>P-1 Exhibit &gt; BA 05 &gt; Line 49 &gt; LPD 17</t>
        </is>
      </c>
      <c r="AD92" s="7" t="inlineStr">
        <is>
          <t>19</t>
        </is>
      </c>
      <c r="AE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13" t="inlineStr">
        <is>
          <t>P-1 Exhibit &gt; BA 05 &gt; Line 49 &gt; TAGS</t>
        </is>
      </c>
      <c r="AD93" s="7" t="inlineStr">
        <is>
          <t>19</t>
        </is>
      </c>
      <c r="AE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13" t="inlineStr">
        <is>
          <t>P-1 Exhibit &gt; BA 05 &gt; Line 49 &gt; LCAC</t>
        </is>
      </c>
      <c r="AD94" s="7" t="inlineStr">
        <is>
          <t>19</t>
        </is>
      </c>
      <c r="AE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13" t="inlineStr">
        <is>
          <t>P-5c &gt; COLUMBIA Class Submarine &gt; Plan Costs</t>
        </is>
      </c>
      <c r="AD95" s="7" t="inlineStr">
        <is>
          <t>35</t>
        </is>
      </c>
      <c r="AE95" s="7" t="inlineStr">
        <is>
          <t>1045</t>
        </is>
      </c>
      <c r="AG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13" t="inlineStr">
        <is>
          <t>P-5c &gt; COLUMBIA Class Submarine &gt; Basic Construction</t>
        </is>
      </c>
      <c r="AD96" s="7" t="inlineStr">
        <is>
          <t>35</t>
        </is>
      </c>
      <c r="AE96" s="7" t="inlineStr">
        <is>
          <t>1045</t>
        </is>
      </c>
      <c r="AG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13" t="inlineStr">
        <is>
          <t>P-5c &gt; COLUMBIA Class Submarine &gt; Change Orders</t>
        </is>
      </c>
      <c r="AD97" s="7" t="inlineStr">
        <is>
          <t>35</t>
        </is>
      </c>
      <c r="AE97" s="7" t="inlineStr">
        <is>
          <t>1045</t>
        </is>
      </c>
      <c r="AG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13" t="inlineStr">
        <is>
          <t>P-5c &gt; COLUMBIA Class Submarine &gt; Electronics</t>
        </is>
      </c>
      <c r="AD98" s="7" t="inlineStr">
        <is>
          <t>35</t>
        </is>
      </c>
      <c r="AE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13" t="inlineStr">
        <is>
          <t>P-5c &gt; COLUMBIA Class Submarine &gt; Propulsion Equipment</t>
        </is>
      </c>
      <c r="AD99" s="7" t="inlineStr">
        <is>
          <t>35</t>
        </is>
      </c>
      <c r="AE99" s="7" t="inlineStr">
        <is>
          <t>1045</t>
        </is>
      </c>
      <c r="AG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13" t="inlineStr">
        <is>
          <t>P-5c &gt; COLUMBIA Class Submarine &gt; Hull, Mechanical, and Electrical</t>
        </is>
      </c>
      <c r="AD100" s="7" t="inlineStr">
        <is>
          <t>35</t>
        </is>
      </c>
      <c r="AE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13" t="inlineStr">
        <is>
          <t>P-5c &gt; COLUMBIA Class Submarine &gt; Ordnance</t>
        </is>
      </c>
      <c r="AD101" s="7" t="inlineStr">
        <is>
          <t>35</t>
        </is>
      </c>
      <c r="AE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13" t="inlineStr">
        <is>
          <t>P-5c &gt; COLUMBIA Class Submarine &gt; Other Cost</t>
        </is>
      </c>
      <c r="AD102" s="7" t="inlineStr">
        <is>
          <t>35</t>
        </is>
      </c>
      <c r="AE102" s="7" t="inlineStr">
        <is>
          <t>1045</t>
        </is>
      </c>
      <c r="AG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13" t="inlineStr">
        <is>
          <t>P-8a &gt; COLUMBIA Class Submarine &gt; Electronics &gt; Sonar 1</t>
        </is>
      </c>
      <c r="AD103" s="7" t="inlineStr">
        <is>
          <t>38</t>
        </is>
      </c>
      <c r="AE103" s="7" t="inlineStr">
        <is>
          <t>1045</t>
        </is>
      </c>
      <c r="AG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13" t="inlineStr">
        <is>
          <t>P-8a &gt; COLUMBIA Class Submarine &gt; Electronics &gt; Combat Control 1</t>
        </is>
      </c>
      <c r="AD104" s="7" t="inlineStr">
        <is>
          <t>38</t>
        </is>
      </c>
      <c r="AE104" s="7" t="inlineStr">
        <is>
          <t>1045</t>
        </is>
      </c>
      <c r="AG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13" t="inlineStr">
        <is>
          <t>P-8a &gt; COLUMBIA Class Submarine &gt; Electronics &gt; CANES 1</t>
        </is>
      </c>
      <c r="AD105" s="7" t="inlineStr">
        <is>
          <t>38</t>
        </is>
      </c>
      <c r="AE105" s="7" t="inlineStr">
        <is>
          <t>1045</t>
        </is>
      </c>
      <c r="AG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13" t="inlineStr">
        <is>
          <t>P-8a &gt; COLUMBIA Class Submarine &gt; Electronics &gt; Electronic Warfare 1</t>
        </is>
      </c>
      <c r="AD106" s="7" t="inlineStr">
        <is>
          <t>38</t>
        </is>
      </c>
      <c r="AE106" s="7" t="inlineStr">
        <is>
          <t>1045</t>
        </is>
      </c>
      <c r="AG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13" t="inlineStr">
        <is>
          <t>P-8a &gt; COLUMBIA Class Submarine &gt; Electronics &gt; Photonics 1</t>
        </is>
      </c>
      <c r="AD107" s="7" t="inlineStr">
        <is>
          <t>38</t>
        </is>
      </c>
      <c r="AE107" s="7" t="inlineStr">
        <is>
          <t>1045</t>
        </is>
      </c>
      <c r="AG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13" t="inlineStr">
        <is>
          <t>P-8a &gt; COLUMBIA Class Submarine &gt; Electronics &gt; Universal Modular Masts (UMM) 1</t>
        </is>
      </c>
      <c r="AD108" s="7" t="inlineStr">
        <is>
          <t>38</t>
        </is>
      </c>
      <c r="AE108" s="7" t="inlineStr">
        <is>
          <t>1045</t>
        </is>
      </c>
      <c r="AG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13" t="inlineStr">
        <is>
          <t>P-8a &gt; COLUMBIA Class Submarine &gt; Electronics &gt; Exterior Communications 1</t>
        </is>
      </c>
      <c r="AD109" s="7" t="inlineStr">
        <is>
          <t>38</t>
        </is>
      </c>
      <c r="AE109" s="7" t="inlineStr">
        <is>
          <t>1045</t>
        </is>
      </c>
      <c r="AG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13" t="inlineStr">
        <is>
          <t>P-8a &gt; COLUMBIA Class Submarine &gt; Electronics &gt; System Level Activities 1</t>
        </is>
      </c>
      <c r="AD110" s="7" t="inlineStr">
        <is>
          <t>38</t>
        </is>
      </c>
      <c r="AE110" s="7" t="inlineStr">
        <is>
          <t>1045</t>
        </is>
      </c>
      <c r="AG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13" t="inlineStr">
        <is>
          <t>P-8a &gt; COLUMBIA Class Submarine &gt; Electronics &gt; RADAR 1</t>
        </is>
      </c>
      <c r="AD111" s="7" t="inlineStr">
        <is>
          <t>38</t>
        </is>
      </c>
      <c r="AE111" s="7" t="inlineStr">
        <is>
          <t>1045</t>
        </is>
      </c>
      <c r="AG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13" t="inlineStr">
        <is>
          <t>P-8a &gt; COLUMBIA Class Submarine &gt; Electronics &gt; Navigation 1</t>
        </is>
      </c>
      <c r="AD112" s="7" t="inlineStr">
        <is>
          <t>38</t>
        </is>
      </c>
      <c r="AE112" s="7" t="inlineStr">
        <is>
          <t>1045</t>
        </is>
      </c>
      <c r="AG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13" t="inlineStr">
        <is>
          <t>P-8a &gt; COLUMBIA Class Submarine &gt; Electronics &gt; CWITT 1</t>
        </is>
      </c>
      <c r="AD113" s="7" t="inlineStr">
        <is>
          <t>38</t>
        </is>
      </c>
      <c r="AE113" s="7" t="inlineStr">
        <is>
          <t>1045</t>
        </is>
      </c>
      <c r="AG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13" t="inlineStr">
        <is>
          <t>P-8a &gt; COLUMBIA Class Submarine &gt; Electronics &gt; Integration (NPES SE&amp;I) 1</t>
        </is>
      </c>
      <c r="AD114" s="7" t="inlineStr">
        <is>
          <t>38</t>
        </is>
      </c>
      <c r="AE114" s="7" t="inlineStr">
        <is>
          <t>1045</t>
        </is>
      </c>
      <c r="AG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13" t="inlineStr">
        <is>
          <t>P-8a &gt; COLUMBIA Class Submarine &gt; Electronics &gt; BRR-6 System 1</t>
        </is>
      </c>
      <c r="AD115" s="7" t="inlineStr">
        <is>
          <t>38</t>
        </is>
      </c>
      <c r="AE115" s="7" t="inlineStr">
        <is>
          <t>1045</t>
        </is>
      </c>
      <c r="AG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13" t="inlineStr">
        <is>
          <t>P-8a &gt; COLUMBIA Class Submarine &gt; Electronics &gt; BST-1 System 1</t>
        </is>
      </c>
      <c r="AD116" s="7" t="inlineStr">
        <is>
          <t>38</t>
        </is>
      </c>
      <c r="AE116" s="7" t="inlineStr">
        <is>
          <t>1045</t>
        </is>
      </c>
      <c r="AG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13" t="inlineStr">
        <is>
          <t>P-8a &gt; COLUMBIA Class Submarine &gt; Electronics &gt; External Countermeasures, IFF 1</t>
        </is>
      </c>
      <c r="AD117" s="7" t="inlineStr">
        <is>
          <t>38</t>
        </is>
      </c>
      <c r="AE117" s="7" t="inlineStr">
        <is>
          <t>1045</t>
        </is>
      </c>
      <c r="AG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13" t="inlineStr">
        <is>
          <t>P-8a &gt; COLUMBIA Class Submarine &gt; Hull, Mechanical, and Electrical &gt; Propulsor 1</t>
        </is>
      </c>
      <c r="AD118" s="7" t="inlineStr">
        <is>
          <t>39</t>
        </is>
      </c>
      <c r="AE118" s="7" t="inlineStr">
        <is>
          <t>1045</t>
        </is>
      </c>
      <c r="AG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13" t="inlineStr">
        <is>
          <t>P-8a &gt; COLUMBIA Class Submarine &gt; Hull, Mechanical, and Electrical &gt; Advanced Carbon Dioxide Removal Unit (ACRU) 1</t>
        </is>
      </c>
      <c r="AD119" s="7" t="inlineStr">
        <is>
          <t>39</t>
        </is>
      </c>
      <c r="AE119" s="7" t="inlineStr">
        <is>
          <t>1045</t>
        </is>
      </c>
      <c r="AG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13" t="inlineStr">
        <is>
          <t>P-8a &gt; COLUMBIA Class Submarine &gt; Hull, Mechanical, and Electrical &gt; HM&amp;E Installation and testing</t>
        </is>
      </c>
      <c r="AD120" s="7" t="inlineStr">
        <is>
          <t>39</t>
        </is>
      </c>
      <c r="AE120" s="7" t="inlineStr">
        <is>
          <t>1045</t>
        </is>
      </c>
      <c r="AG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13" t="inlineStr">
        <is>
          <t>P-8a &gt; COLUMBIA Class Submarine &gt; Hull, Mechanical, and Electrical &gt; T&amp;E</t>
        </is>
      </c>
      <c r="AD121" s="7" t="inlineStr">
        <is>
          <t>39</t>
        </is>
      </c>
      <c r="AE121" s="7" t="inlineStr">
        <is>
          <t>1045</t>
        </is>
      </c>
      <c r="AG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13" t="inlineStr">
        <is>
          <t>P-8a &gt; COLUMBIA Class Submarine &gt; Hull, Mechanical, and Electrical &gt; SUPSHIP responsible material</t>
        </is>
      </c>
      <c r="AD122" s="7" t="inlineStr">
        <is>
          <t>39</t>
        </is>
      </c>
      <c r="AE122" s="7" t="inlineStr">
        <is>
          <t>1045</t>
        </is>
      </c>
      <c r="AG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13" t="inlineStr">
        <is>
          <t>P-8a &gt; COLUMBIA Class Submarine &gt; Hull, Mechanical, and Electrical &gt; Naval Foundry Propeller Center (NFPC)</t>
        </is>
      </c>
      <c r="AD123" s="7" t="inlineStr">
        <is>
          <t>39</t>
        </is>
      </c>
      <c r="AE123" s="7" t="inlineStr">
        <is>
          <t>1045</t>
        </is>
      </c>
      <c r="AG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13" t="inlineStr">
        <is>
          <t>P-8a &gt; COLUMBIA Class Submarine &gt; Ordnance &gt; Strategic Weapons System (SWS) Launcher 1</t>
        </is>
      </c>
      <c r="AD124" s="7" t="inlineStr">
        <is>
          <t>40</t>
        </is>
      </c>
      <c r="AE124" s="7" t="inlineStr">
        <is>
          <t>1045</t>
        </is>
      </c>
      <c r="AG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13" t="inlineStr">
        <is>
          <t>P-8a &gt; COLUMBIA Class Submarine &gt; Ordnance &gt; SWS Fire Control 1</t>
        </is>
      </c>
      <c r="AD125" s="7" t="inlineStr">
        <is>
          <t>40</t>
        </is>
      </c>
      <c r="AE125" s="7" t="inlineStr">
        <is>
          <t>1045</t>
        </is>
      </c>
      <c r="AG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13" t="inlineStr">
        <is>
          <t>P-8a &gt; COLUMBIA Class Submarine &gt; Ordnance &gt; SWS Navigation 1</t>
        </is>
      </c>
      <c r="AD126" s="7" t="inlineStr">
        <is>
          <t>40</t>
        </is>
      </c>
      <c r="AE126" s="7" t="inlineStr">
        <is>
          <t>1045</t>
        </is>
      </c>
      <c r="AG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13" t="inlineStr">
        <is>
          <t>P-8a &gt; COLUMBIA Class Submarine &gt; Ordnance &gt; SWS System Level Activities</t>
        </is>
      </c>
      <c r="AD127" s="7" t="inlineStr">
        <is>
          <t>40</t>
        </is>
      </c>
      <c r="AE127" s="7" t="inlineStr">
        <is>
          <t>1045</t>
        </is>
      </c>
      <c r="AG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13" t="inlineStr">
        <is>
          <t>P-8a &gt; COLUMBIA Class Submarine &gt; Ordnance &gt; SWS Reentry Subsystem</t>
        </is>
      </c>
      <c r="AD128" s="7" t="inlineStr">
        <is>
          <t>40</t>
        </is>
      </c>
      <c r="AE128" s="7" t="inlineStr">
        <is>
          <t>1045</t>
        </is>
      </c>
      <c r="AG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13" t="inlineStr">
        <is>
          <t>P-8a &gt; COLUMBIA Class Submarine &gt; Ordnance &gt; SWS Guidance Subsystem</t>
        </is>
      </c>
      <c r="AD129" s="7" t="inlineStr">
        <is>
          <t>40</t>
        </is>
      </c>
      <c r="AE129" s="7" t="inlineStr">
        <is>
          <t>1045</t>
        </is>
      </c>
      <c r="AG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13" t="inlineStr">
        <is>
          <t>P-8a &gt; COLUMBIA Class Submarine &gt; Ordnance &gt; SWS Missile Integration Activities</t>
        </is>
      </c>
      <c r="AD130" s="7" t="inlineStr">
        <is>
          <t>40</t>
        </is>
      </c>
      <c r="AE130" s="7" t="inlineStr">
        <is>
          <t>1045</t>
        </is>
      </c>
      <c r="AG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13" t="inlineStr">
        <is>
          <t>P-8a &gt; COLUMBIA Class Submarine &gt; Ordnance &gt; SWS Test Instrumentation Subsystem</t>
        </is>
      </c>
      <c r="AD131" s="7" t="inlineStr">
        <is>
          <t>40</t>
        </is>
      </c>
      <c r="AE131" s="7" t="inlineStr">
        <is>
          <t>1045</t>
        </is>
      </c>
      <c r="AG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13" t="inlineStr">
        <is>
          <t>P-35 &gt; COLUMBIA Class Submarine &gt; Sonar &gt; Major Hardware                                                                              1</t>
        </is>
      </c>
      <c r="AD132" s="7" t="inlineStr">
        <is>
          <t>41</t>
        </is>
      </c>
      <c r="AE132" s="7" t="inlineStr">
        <is>
          <t>1045</t>
        </is>
      </c>
      <c r="AG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13" t="inlineStr">
        <is>
          <t>P-35 &gt; COLUMBIA Class Submarine &gt; Sonar &gt; Technical Engineering Services</t>
        </is>
      </c>
      <c r="AD133" s="7" t="inlineStr">
        <is>
          <t>41</t>
        </is>
      </c>
      <c r="AE133" s="7" t="inlineStr">
        <is>
          <t>1045</t>
        </is>
      </c>
      <c r="AG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13" t="inlineStr">
        <is>
          <t>P-35 &gt; COLUMBIA Class Submarine &gt; Sonar &gt; Other Costs</t>
        </is>
      </c>
      <c r="AD134" s="7" t="inlineStr">
        <is>
          <t>41</t>
        </is>
      </c>
      <c r="AE134" s="7" t="inlineStr">
        <is>
          <t>1045</t>
        </is>
      </c>
      <c r="AG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13" t="inlineStr">
        <is>
          <t>P-35 &gt; COLUMBIA Class Submarine &gt; Combat Control &gt; Major Hardware                                                                         1</t>
        </is>
      </c>
      <c r="AD135" s="7" t="inlineStr">
        <is>
          <t>43</t>
        </is>
      </c>
      <c r="AE135" s="7" t="inlineStr">
        <is>
          <t>1045</t>
        </is>
      </c>
      <c r="AG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13" t="inlineStr">
        <is>
          <t>P-35 &gt; COLUMBIA Class Submarine &gt; Combat Control &gt; Technical Engineering Services</t>
        </is>
      </c>
      <c r="AD136" s="7" t="inlineStr">
        <is>
          <t>43</t>
        </is>
      </c>
      <c r="AE136" s="7" t="inlineStr">
        <is>
          <t>1045</t>
        </is>
      </c>
      <c r="AG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13" t="inlineStr">
        <is>
          <t>P-35 &gt; COLUMBIA Class Submarine &gt; Combat Control &gt; Other Costs</t>
        </is>
      </c>
      <c r="AD137" s="7" t="inlineStr">
        <is>
          <t>43</t>
        </is>
      </c>
      <c r="AE137" s="7" t="inlineStr">
        <is>
          <t>1045</t>
        </is>
      </c>
      <c r="AG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13" t="inlineStr">
        <is>
          <t>P-35 &gt; COLUMBIA Class Submarine &gt; CANES &gt; Major Hardware                                                                           1</t>
        </is>
      </c>
      <c r="AD138" s="7" t="inlineStr">
        <is>
          <t>44</t>
        </is>
      </c>
      <c r="AE138" s="7" t="inlineStr">
        <is>
          <t>1045</t>
        </is>
      </c>
      <c r="AG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13" t="inlineStr">
        <is>
          <t>P-35 &gt; COLUMBIA Class Submarine &gt; CANES &gt; Technical Data and Documentation</t>
        </is>
      </c>
      <c r="AD139" s="7" t="inlineStr">
        <is>
          <t>44</t>
        </is>
      </c>
      <c r="AE139" s="7" t="inlineStr">
        <is>
          <t>1045</t>
        </is>
      </c>
      <c r="AG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13" t="inlineStr">
        <is>
          <t>P-35 &gt; COLUMBIA Class Submarine &gt; CANES &gt; Other Costs</t>
        </is>
      </c>
      <c r="AD140" s="7" t="inlineStr">
        <is>
          <t>44</t>
        </is>
      </c>
      <c r="AE140" s="7" t="inlineStr">
        <is>
          <t>1045</t>
        </is>
      </c>
      <c r="AG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13" t="inlineStr">
        <is>
          <t>P-35 &gt; COLUMBIA Class Submarine &gt; Electronic Warfare &gt; Major Hardware                                                                            1</t>
        </is>
      </c>
      <c r="AD141" s="7" t="inlineStr">
        <is>
          <t>45</t>
        </is>
      </c>
      <c r="AE141" s="7" t="inlineStr">
        <is>
          <t>1045</t>
        </is>
      </c>
      <c r="AG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13" t="inlineStr">
        <is>
          <t>P-35 &gt; COLUMBIA Class Submarine &gt; Electronic Warfare &gt; Technical Engineering Services</t>
        </is>
      </c>
      <c r="AD142" s="7" t="inlineStr">
        <is>
          <t>45</t>
        </is>
      </c>
      <c r="AE142" s="7" t="inlineStr">
        <is>
          <t>1045</t>
        </is>
      </c>
      <c r="AG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13" t="inlineStr">
        <is>
          <t>P-35 &gt; COLUMBIA Class Submarine &gt; Electronic Warfare &gt; Other Costs</t>
        </is>
      </c>
      <c r="AD143" s="7" t="inlineStr">
        <is>
          <t>45</t>
        </is>
      </c>
      <c r="AE143" s="7" t="inlineStr">
        <is>
          <t>1045</t>
        </is>
      </c>
      <c r="AG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13" t="inlineStr">
        <is>
          <t>P-35 &gt; COLUMBIA Class Submarine &gt; Photonics &gt; Major Hardware                                                                            1</t>
        </is>
      </c>
      <c r="AD144" s="7" t="inlineStr">
        <is>
          <t>46</t>
        </is>
      </c>
      <c r="AE144" s="7" t="inlineStr">
        <is>
          <t>1045</t>
        </is>
      </c>
      <c r="AG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13" t="inlineStr">
        <is>
          <t>P-35 &gt; COLUMBIA Class Submarine &gt; Photonics &gt; Technical Engineering Services</t>
        </is>
      </c>
      <c r="AD145" s="7" t="inlineStr">
        <is>
          <t>46</t>
        </is>
      </c>
      <c r="AE145" s="7" t="inlineStr">
        <is>
          <t>1045</t>
        </is>
      </c>
      <c r="AG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13" t="inlineStr">
        <is>
          <t>P-35 &gt; COLUMBIA Class Submarine &gt; Photonics &gt; Other Costs</t>
        </is>
      </c>
      <c r="AD146" s="7" t="inlineStr">
        <is>
          <t>46</t>
        </is>
      </c>
      <c r="AE146" s="7" t="inlineStr">
        <is>
          <t>1045</t>
        </is>
      </c>
      <c r="AG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13" t="inlineStr">
        <is>
          <t>P-35 &gt; COLUMBIA Class Submarine &gt; Universal Modular Masts (UMM) &gt; Major Hardware                                                                            1</t>
        </is>
      </c>
      <c r="AD147" s="7" t="inlineStr">
        <is>
          <t>47</t>
        </is>
      </c>
      <c r="AE147" s="7" t="inlineStr">
        <is>
          <t>1045</t>
        </is>
      </c>
      <c r="AG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13" t="inlineStr">
        <is>
          <t>P-35 &gt; COLUMBIA Class Submarine &gt; Universal Modular Masts (UMM) &gt; Technical Engineering Services</t>
        </is>
      </c>
      <c r="AD148" s="7" t="inlineStr">
        <is>
          <t>47</t>
        </is>
      </c>
      <c r="AE148" s="7" t="inlineStr">
        <is>
          <t>1045</t>
        </is>
      </c>
      <c r="AG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13" t="inlineStr">
        <is>
          <t>P-35 &gt; COLUMBIA Class Submarine &gt; Universal Modular Masts (UMM) &gt; Other Costs</t>
        </is>
      </c>
      <c r="AD149" s="7" t="inlineStr">
        <is>
          <t>47</t>
        </is>
      </c>
      <c r="AE149" s="7" t="inlineStr">
        <is>
          <t>1045</t>
        </is>
      </c>
      <c r="AG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13" t="inlineStr">
        <is>
          <t>P-35 &gt; COLUMBIA Class Submarine &gt; Exterior Communications &gt; Major Hardware                                                                            1</t>
        </is>
      </c>
      <c r="AD150" s="7" t="inlineStr">
        <is>
          <t>48</t>
        </is>
      </c>
      <c r="AE150" s="7" t="inlineStr">
        <is>
          <t>1045</t>
        </is>
      </c>
      <c r="AG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13" t="inlineStr">
        <is>
          <t>P-35 &gt; COLUMBIA Class Submarine &gt; Exterior Communications &gt; Technical Engineering Services</t>
        </is>
      </c>
      <c r="AD151" s="7" t="inlineStr">
        <is>
          <t>48</t>
        </is>
      </c>
      <c r="AE151" s="7" t="inlineStr">
        <is>
          <t>1045</t>
        </is>
      </c>
      <c r="AG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13" t="inlineStr">
        <is>
          <t>P-35 &gt; COLUMBIA Class Submarine &gt; Exterior Communications &gt; Other Costs</t>
        </is>
      </c>
      <c r="AD152" s="7" t="inlineStr">
        <is>
          <t>48</t>
        </is>
      </c>
      <c r="AE152" s="7" t="inlineStr">
        <is>
          <t>1045</t>
        </is>
      </c>
      <c r="AG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13" t="inlineStr">
        <is>
          <t>P-35 &gt; COLUMBIA Class Submarine &gt; Propulsor &gt; Major Hardware                                                                             1</t>
        </is>
      </c>
      <c r="AD153" s="7" t="inlineStr">
        <is>
          <t>49</t>
        </is>
      </c>
      <c r="AE153" s="7" t="inlineStr">
        <is>
          <t>1045</t>
        </is>
      </c>
      <c r="AG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13" t="inlineStr">
        <is>
          <t>P-35 &gt; COLUMBIA Class Submarine &gt; Propulsor &gt; Technical Engineering Services</t>
        </is>
      </c>
      <c r="AD154" s="7" t="inlineStr">
        <is>
          <t>49</t>
        </is>
      </c>
      <c r="AE154" s="7" t="inlineStr">
        <is>
          <t>1045</t>
        </is>
      </c>
      <c r="AG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13" t="inlineStr">
        <is>
          <t>P-35 &gt; COLUMBIA Class Submarine &gt; Advanced Carbon Dioxide Removal Unit (ACRU) &gt; Major Hardware                                                                             1</t>
        </is>
      </c>
      <c r="AD155" s="7" t="inlineStr">
        <is>
          <t>50</t>
        </is>
      </c>
      <c r="AE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13" t="inlineStr">
        <is>
          <t>P-35 &gt; COLUMBIA Class Submarine &gt; Advanced Carbon Dioxide Removal Unit (ACRU) &gt; Technical Engineering Services</t>
        </is>
      </c>
      <c r="AD156" s="7" t="inlineStr">
        <is>
          <t>50</t>
        </is>
      </c>
      <c r="AE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13" t="inlineStr">
        <is>
          <t>P-35 &gt; COLUMBIA Class Submarine &gt; Advanced Carbon Dioxide Removal Unit (ACRU) &gt; Other Costs</t>
        </is>
      </c>
      <c r="AD157" s="7" t="inlineStr">
        <is>
          <t>50</t>
        </is>
      </c>
      <c r="AE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13" t="inlineStr">
        <is>
          <t>P-35 &gt; COLUMBIA Class Submarine &gt; Strategic Weapons System (SWS) Launcher &gt; Major Hardware                                                                           1</t>
        </is>
      </c>
      <c r="AD158" s="7" t="inlineStr">
        <is>
          <t>51</t>
        </is>
      </c>
      <c r="AE158" s="7" t="inlineStr">
        <is>
          <t>1045</t>
        </is>
      </c>
      <c r="AG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13" t="inlineStr">
        <is>
          <t>P-35 &gt; COLUMBIA Class Submarine &gt; Strategic Weapons System (SWS) Launcher &gt; Technical Engineering Services</t>
        </is>
      </c>
      <c r="AD159" s="7" t="inlineStr">
        <is>
          <t>51</t>
        </is>
      </c>
      <c r="AE159" s="7" t="inlineStr">
        <is>
          <t>1045</t>
        </is>
      </c>
      <c r="AG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13" t="inlineStr">
        <is>
          <t>P-35 &gt; COLUMBIA Class Submarine &gt; SWS Fire Control &gt; Major Hardware                                                                           1</t>
        </is>
      </c>
      <c r="AD160" s="7" t="inlineStr">
        <is>
          <t>53</t>
        </is>
      </c>
      <c r="AE160" s="7" t="inlineStr">
        <is>
          <t>1045</t>
        </is>
      </c>
      <c r="AG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13" t="inlineStr">
        <is>
          <t>P-35 &gt; COLUMBIA Class Submarine &gt; SWS Fire Control &gt; Technical Engineering Services</t>
        </is>
      </c>
      <c r="AD161" s="7" t="inlineStr">
        <is>
          <t>53</t>
        </is>
      </c>
      <c r="AE161" s="7" t="inlineStr">
        <is>
          <t>1045</t>
        </is>
      </c>
      <c r="AG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13" t="inlineStr">
        <is>
          <t>P-35 &gt; COLUMBIA Class Submarine &gt; SWS Navigation &gt; Major Hardware                                                                           1</t>
        </is>
      </c>
      <c r="AD162" s="7" t="inlineStr">
        <is>
          <t>55</t>
        </is>
      </c>
      <c r="AE162" s="7" t="inlineStr">
        <is>
          <t>1045</t>
        </is>
      </c>
      <c r="AG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13" t="inlineStr">
        <is>
          <t>P-35 &gt; COLUMBIA Class Submarine &gt; SWS Navigation &gt; Technical Engineering Services</t>
        </is>
      </c>
      <c r="AD163" s="7" t="inlineStr">
        <is>
          <t>55</t>
        </is>
      </c>
      <c r="AE163" s="7" t="inlineStr">
        <is>
          <t>1045</t>
        </is>
      </c>
      <c r="AG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13" t="inlineStr">
        <is>
          <t>P-10 &gt; COLUMBIA Class Submarine &gt; PLANS - Supplier Development- Maritime Industrial Base - SSBN 837 (2)</t>
        </is>
      </c>
      <c r="AD164" s="7" t="inlineStr">
        <is>
          <t>57</t>
        </is>
      </c>
      <c r="AE164" s="7" t="inlineStr">
        <is>
          <t>1045</t>
        </is>
      </c>
      <c r="AG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13" t="inlineStr">
        <is>
          <t>P-10 &gt; COLUMBIA Class Submarine &gt; PLANS - SSBN 828</t>
        </is>
      </c>
      <c r="AD165" s="7" t="inlineStr">
        <is>
          <t>57</t>
        </is>
      </c>
      <c r="AE165" s="7" t="inlineStr">
        <is>
          <t>1045</t>
        </is>
      </c>
      <c r="AG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13" t="inlineStr">
        <is>
          <t>P-10 &gt; COLUMBIA Class Submarine &gt; PLANS - SSBN 829</t>
        </is>
      </c>
      <c r="AD166" s="7" t="inlineStr">
        <is>
          <t>57</t>
        </is>
      </c>
      <c r="AE166" s="7" t="inlineStr">
        <is>
          <t>1045</t>
        </is>
      </c>
      <c r="AG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13" t="inlineStr">
        <is>
          <t>P-10 &gt; COLUMBIA Class Submarine &gt; PLANS - SSBN 830</t>
        </is>
      </c>
      <c r="AD167" s="7" t="inlineStr">
        <is>
          <t>57</t>
        </is>
      </c>
      <c r="AE167" s="7" t="inlineStr">
        <is>
          <t>1045</t>
        </is>
      </c>
      <c r="AG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13" t="inlineStr">
        <is>
          <t>P-10 &gt; COLUMBIA Class Submarine &gt; PLANS - SSBN 831</t>
        </is>
      </c>
      <c r="AD168" s="7" t="inlineStr">
        <is>
          <t>57</t>
        </is>
      </c>
      <c r="AE168" s="7" t="inlineStr">
        <is>
          <t>1045</t>
        </is>
      </c>
      <c r="AG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13" t="inlineStr">
        <is>
          <t>P-10 &gt; COLUMBIA Class Submarine &gt; PLANS - SSBN 832</t>
        </is>
      </c>
      <c r="AD169" s="7" t="inlineStr">
        <is>
          <t>57</t>
        </is>
      </c>
      <c r="AE169" s="7" t="inlineStr">
        <is>
          <t>1045</t>
        </is>
      </c>
      <c r="AG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13" t="inlineStr">
        <is>
          <t>P-10 &gt; COLUMBIA Class Submarine &gt; PLANS - SSBN 833</t>
        </is>
      </c>
      <c r="AD170" s="7" t="inlineStr">
        <is>
          <t>57</t>
        </is>
      </c>
      <c r="AE170" s="7" t="inlineStr">
        <is>
          <t>1045</t>
        </is>
      </c>
      <c r="AG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13" t="inlineStr">
        <is>
          <t>P-10 &gt; COLUMBIA Class Submarine &gt; PLANS - SSBN 834</t>
        </is>
      </c>
      <c r="AD171" s="7" t="inlineStr">
        <is>
          <t>57</t>
        </is>
      </c>
      <c r="AE171" s="7" t="inlineStr">
        <is>
          <t>1045</t>
        </is>
      </c>
      <c r="AG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13" t="inlineStr">
        <is>
          <t>P-10 &gt; COLUMBIA Class Submarine &gt; BASIC CONSTRUCTION (3) - SHIPBUILDER PROCURED LLTM - SSBN 827</t>
        </is>
      </c>
      <c r="AD172" s="7" t="inlineStr">
        <is>
          <t>57</t>
        </is>
      </c>
      <c r="AE172" s="7" t="inlineStr">
        <is>
          <t>1045</t>
        </is>
      </c>
      <c r="AG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13" t="inlineStr">
        <is>
          <t>P-10 &gt; COLUMBIA Class Submarine &gt; BASIC CONSTRUCTION (3) - SHIPBUILDER PROCURED LLTM - SSBN 828</t>
        </is>
      </c>
      <c r="AD173" s="7" t="inlineStr">
        <is>
          <t>57</t>
        </is>
      </c>
      <c r="AE173" s="7" t="inlineStr">
        <is>
          <t>1045</t>
        </is>
      </c>
      <c r="AG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13" t="inlineStr">
        <is>
          <t>P-10 &gt; COLUMBIA Class Submarine &gt; BASIC CONSTRUCTION (3) - SHIPBUILDER PROCURED LLTM - SSBN 829</t>
        </is>
      </c>
      <c r="AD174" s="7" t="inlineStr">
        <is>
          <t>57</t>
        </is>
      </c>
      <c r="AE174" s="7" t="inlineStr">
        <is>
          <t>1045</t>
        </is>
      </c>
      <c r="AG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13" t="inlineStr">
        <is>
          <t>P-10 &gt; COLUMBIA Class Submarine &gt; BASIC CONSTRUCTION (3) - SHIPBUILDER PROCURED LLTM - SSBN 830</t>
        </is>
      </c>
      <c r="AD175" s="7" t="inlineStr">
        <is>
          <t>57</t>
        </is>
      </c>
      <c r="AE175" s="7" t="inlineStr">
        <is>
          <t>1045</t>
        </is>
      </c>
      <c r="AG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13" t="inlineStr">
        <is>
          <t>P-10 &gt; COLUMBIA Class Submarine &gt; BASIC CONSTRUCTION (3) - SHIPBUILDER PROCURED LLTM - SSBN 831</t>
        </is>
      </c>
      <c r="AD176" s="7" t="inlineStr">
        <is>
          <t>57</t>
        </is>
      </c>
      <c r="AE176" s="7" t="inlineStr">
        <is>
          <t>1045</t>
        </is>
      </c>
      <c r="AG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13" t="inlineStr">
        <is>
          <t>P-10 &gt; COLUMBIA Class Submarine &gt; BASIC CONSTRUCTION (3) - SHIPBUILDER PROCURED LLTM - SSBN 832</t>
        </is>
      </c>
      <c r="AD177" s="7" t="inlineStr">
        <is>
          <t>57</t>
        </is>
      </c>
      <c r="AE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13" t="inlineStr">
        <is>
          <t>P-10 &gt; COLUMBIA Class Submarine &gt; BASIC CONSTRUCTION (3) - SHIPBUILDER PROCURED LLTM - SSBN 833</t>
        </is>
      </c>
      <c r="AD178" s="7" t="inlineStr">
        <is>
          <t>57</t>
        </is>
      </c>
      <c r="AE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13" t="inlineStr">
        <is>
          <t>P-10 &gt; COLUMBIA Class Submarine &gt; BASIC CONSTRUCTION (3) - SHIPBUILDER PROCURED LLTM - SSBN 834</t>
        </is>
      </c>
      <c r="AD179" s="7" t="inlineStr">
        <is>
          <t>57</t>
        </is>
      </c>
      <c r="AE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13" t="inlineStr">
        <is>
          <t>P-10 &gt; COLUMBIA Class Submarine &gt; BASIC CONSTRUCTION (3) - SHIPBUILDER PROCURED LLTM - SSBN 835</t>
        </is>
      </c>
      <c r="AD180" s="7" t="inlineStr">
        <is>
          <t>57</t>
        </is>
      </c>
      <c r="AE180" s="7" t="inlineStr">
        <is>
          <t>1045</t>
        </is>
      </c>
      <c r="AG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13" t="inlineStr">
        <is>
          <t>P-10 &gt; COLUMBIA Class Submarine &gt; BASIC CONSTRUCTION (4) - MISSILE TUBE CONTINUOUS PRODUCTION &amp; OUTFITTING - SSBN 827</t>
        </is>
      </c>
      <c r="AD181" s="7" t="inlineStr">
        <is>
          <t>57</t>
        </is>
      </c>
      <c r="AE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13" t="inlineStr">
        <is>
          <t>P-10 &gt; COLUMBIA Class Submarine &gt; BASIC CONSTRUCTION (4) - MISSILE TUBE CONTINUOUS PRODUCTION &amp; OUTFITTING - SSBN 828</t>
        </is>
      </c>
      <c r="AD182" s="7" t="inlineStr">
        <is>
          <t>57</t>
        </is>
      </c>
      <c r="AE182" s="7" t="inlineStr">
        <is>
          <t>1045</t>
        </is>
      </c>
      <c r="AG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13" t="inlineStr">
        <is>
          <t>P-10 &gt; COLUMBIA Class Submarine &gt; BASIC CONSTRUCTION (4) - MISSILE TUBE CONTINUOUS PRODUCTION &amp; OUTFITTING - SSBN 829</t>
        </is>
      </c>
      <c r="AD183" s="7" t="inlineStr">
        <is>
          <t>57</t>
        </is>
      </c>
      <c r="AE183" s="7" t="inlineStr">
        <is>
          <t>1045</t>
        </is>
      </c>
      <c r="AG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13" t="inlineStr">
        <is>
          <t>P-10 &gt; COLUMBIA Class Submarine &gt; BASIC CONSTRUCTION (4) - MISSILE TUBE CONTINUOUS PRODUCTION &amp; OUTFITTING - SSBN 830</t>
        </is>
      </c>
      <c r="AD184" s="7" t="inlineStr">
        <is>
          <t>57</t>
        </is>
      </c>
      <c r="AE184" s="7" t="inlineStr">
        <is>
          <t>1045</t>
        </is>
      </c>
      <c r="AG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13" t="inlineStr">
        <is>
          <t>P-10 &gt; COLUMBIA Class Submarine &gt; BASIC CONSTRUCTION (4) - MISSILE TUBE CONTINUOUS PRODUCTION &amp; OUTFITTING - SSBN 831</t>
        </is>
      </c>
      <c r="AD185" s="7" t="inlineStr">
        <is>
          <t>57</t>
        </is>
      </c>
      <c r="AE185" s="7" t="inlineStr">
        <is>
          <t>1045</t>
        </is>
      </c>
      <c r="AG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13" t="inlineStr">
        <is>
          <t>P-10 &gt; COLUMBIA Class Submarine &gt; BASIC CONSTRUCTION (4) - MISSILE TUBE CONTINUOUS PRODUCTION &amp; OUTFITTING - SSBN 832</t>
        </is>
      </c>
      <c r="AD186" s="7" t="inlineStr">
        <is>
          <t>57</t>
        </is>
      </c>
      <c r="AE186" s="7" t="inlineStr">
        <is>
          <t>1045</t>
        </is>
      </c>
      <c r="AG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13" t="inlineStr">
        <is>
          <t>P-10 &gt; COLUMBIA Class Submarine &gt; BASIC CONSTRUCTION (4) - MISSILE TUBE CONTINUOUS PRODUCTION &amp; OUTFITTING - SSBN 833</t>
        </is>
      </c>
      <c r="AD187" s="7" t="inlineStr">
        <is>
          <t>57</t>
        </is>
      </c>
      <c r="AE187" s="7" t="inlineStr">
        <is>
          <t>1045</t>
        </is>
      </c>
      <c r="AG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13" t="inlineStr">
        <is>
          <t>P-10 &gt; COLUMBIA Class Submarine &gt; SSBN 834</t>
        </is>
      </c>
      <c r="AD188" s="7" t="inlineStr">
        <is>
          <t>58</t>
        </is>
      </c>
      <c r="AE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13" t="inlineStr">
        <is>
          <t>P-10 &gt; COLUMBIA Class Submarine &gt; SSBN 835</t>
        </is>
      </c>
      <c r="AD189" s="7" t="inlineStr">
        <is>
          <t>58</t>
        </is>
      </c>
      <c r="AE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13" t="inlineStr">
        <is>
          <t>P-10 &gt; COLUMBIA Class Submarine &gt; SSBN 836</t>
        </is>
      </c>
      <c r="AD190" s="7" t="inlineStr">
        <is>
          <t>58</t>
        </is>
      </c>
      <c r="AE190" s="7" t="inlineStr">
        <is>
          <t>1045</t>
        </is>
      </c>
      <c r="AG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13" t="inlineStr">
        <is>
          <t>P-10 &gt; COLUMBIA Class Submarine &gt; SSBN 837</t>
        </is>
      </c>
      <c r="AD191" s="7" t="inlineStr">
        <is>
          <t>58</t>
        </is>
      </c>
      <c r="AE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13" t="inlineStr">
        <is>
          <t>P-10 &gt; COLUMBIA Class Submarine &gt; BASIC CONSTRUCTION (5) - ADVANCE CONSTRUCTION - SSBN 827</t>
        </is>
      </c>
      <c r="AD192" s="7" t="inlineStr">
        <is>
          <t>58</t>
        </is>
      </c>
      <c r="AE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13" t="inlineStr">
        <is>
          <t>P-10 &gt; COLUMBIA Class Submarine &gt; BASIC CONSTRUCTION (5) - ADVANCE CONSTRUCTION - SSBN 828</t>
        </is>
      </c>
      <c r="AD193" s="7" t="inlineStr">
        <is>
          <t>58</t>
        </is>
      </c>
      <c r="AE193" s="7" t="inlineStr">
        <is>
          <t>1045</t>
        </is>
      </c>
      <c r="AG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13" t="inlineStr">
        <is>
          <t>P-10 &gt; COLUMBIA Class Submarine &gt; BASIC CONSTRUCTION (5) - ADVANCE CONSTRUCTION - SSBN 829</t>
        </is>
      </c>
      <c r="AD194" s="7" t="inlineStr">
        <is>
          <t>58</t>
        </is>
      </c>
      <c r="AE194" s="7" t="inlineStr">
        <is>
          <t>1045</t>
        </is>
      </c>
      <c r="AG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13" t="inlineStr">
        <is>
          <t>P-10 &gt; COLUMBIA Class Submarine &gt; BASIC CONSTRUCTION (5) - ADVANCE CONSTRUCTION - SSBN 830</t>
        </is>
      </c>
      <c r="AD195" s="7" t="inlineStr">
        <is>
          <t>58</t>
        </is>
      </c>
      <c r="AE195" s="7" t="inlineStr">
        <is>
          <t>1045</t>
        </is>
      </c>
      <c r="AG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13" t="inlineStr">
        <is>
          <t>P-10 &gt; COLUMBIA Class Submarine &gt; BASIC CONSTRUCTION (5) - ADVANCE CONSTRUCTION - SSBN 831</t>
        </is>
      </c>
      <c r="AD196" s="7" t="inlineStr">
        <is>
          <t>58</t>
        </is>
      </c>
      <c r="AE196" s="7" t="inlineStr">
        <is>
          <t>1045</t>
        </is>
      </c>
      <c r="AG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13" t="inlineStr">
        <is>
          <t>P-10 &gt; COLUMBIA Class Submarine &gt; BASIC CONSTRUCTION (5) - ADVANCE CONSTRUCTION - SSBN 832</t>
        </is>
      </c>
      <c r="AD197" s="7" t="inlineStr">
        <is>
          <t>58</t>
        </is>
      </c>
      <c r="AE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13" t="inlineStr">
        <is>
          <t>P-10 &gt; COLUMBIA Class Submarine &gt; BASIC CONSTRUCTION (5) - ADVANCE CONSTRUCTION - SSBN 833</t>
        </is>
      </c>
      <c r="AD198" s="7" t="inlineStr">
        <is>
          <t>58</t>
        </is>
      </c>
      <c r="AE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13" t="inlineStr">
        <is>
          <t>P-10 &gt; COLUMBIA Class Submarine &gt; BASIC CONSTRUCTION (5) - ADVANCE CONSTRUCTION - SSBN 834</t>
        </is>
      </c>
      <c r="AD199" s="7" t="inlineStr">
        <is>
          <t>58</t>
        </is>
      </c>
      <c r="AE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13" t="inlineStr">
        <is>
          <t>P-10 &gt; COLUMBIA Class Submarine &gt; BASIC CONSTRUCTION (5) - ADVANCE CONSTRUCTION - SSBN 835</t>
        </is>
      </c>
      <c r="AD200" s="7" t="inlineStr">
        <is>
          <t>58</t>
        </is>
      </c>
      <c r="AE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13" t="inlineStr">
        <is>
          <t>P-10 &gt; COLUMBIA Class Submarine &gt; BASIC CONSTRUCTION (6) - EOQ IN SUPPORT OF MULTI-PROGRAM PROCUREMENT - SSBN 829</t>
        </is>
      </c>
      <c r="AD201" s="7" t="inlineStr">
        <is>
          <t>58</t>
        </is>
      </c>
      <c r="AE201" s="7" t="inlineStr">
        <is>
          <t>1045</t>
        </is>
      </c>
      <c r="AG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13" t="inlineStr">
        <is>
          <t>P-10 &gt; COLUMBIA Class Submarine &gt; BASIC CONSTRUCTION (6) - EOQ IN SUPPORT OF MULTI-PROGRAM PROCUREMENT - SSBN 830</t>
        </is>
      </c>
      <c r="AD202" s="7" t="inlineStr">
        <is>
          <t>58</t>
        </is>
      </c>
      <c r="AE202" s="7" t="inlineStr">
        <is>
          <t>1045</t>
        </is>
      </c>
      <c r="AG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13" t="inlineStr">
        <is>
          <t>P-10 &gt; COLUMBIA Class Submarine &gt; BASIC CONSTRUCTION (6) - EOQ IN SUPPORT OF MULTI-PROGRAM PROCUREMENT - SSBN 831</t>
        </is>
      </c>
      <c r="AD203" s="7" t="inlineStr">
        <is>
          <t>58</t>
        </is>
      </c>
      <c r="AE203" s="7" t="inlineStr">
        <is>
          <t>1045</t>
        </is>
      </c>
      <c r="AG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13" t="inlineStr">
        <is>
          <t>P-10 &gt; COLUMBIA Class Submarine &gt; BASIC CONSTRUCTION (6) - EOQ IN SUPPORT OF MULTI-PROGRAM PROCUREMENT - SSBN 832</t>
        </is>
      </c>
      <c r="AD204" s="7" t="inlineStr">
        <is>
          <t>58</t>
        </is>
      </c>
      <c r="AE204" s="7" t="inlineStr">
        <is>
          <t>1045</t>
        </is>
      </c>
      <c r="AG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13" t="inlineStr">
        <is>
          <t>P-10 &gt; COLUMBIA Class Submarine &gt; BASIC CONSTRUCTION (6) - EOQ IN SUPPORT OF MULTI-PROGRAM PROCUREMENT - SSBN 833</t>
        </is>
      </c>
      <c r="AD205" s="7" t="inlineStr">
        <is>
          <t>58</t>
        </is>
      </c>
      <c r="AE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13" t="inlineStr">
        <is>
          <t>P-10 &gt; COLUMBIA Class Submarine &gt; BASIC CONSTRUCTION (6) - EOQ IN SUPPORT OF MULTI-PROGRAM PROCUREMENT - SSBN 834</t>
        </is>
      </c>
      <c r="AD206" s="7" t="inlineStr">
        <is>
          <t>58</t>
        </is>
      </c>
      <c r="AE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13" t="inlineStr">
        <is>
          <t>P-10 &gt; COLUMBIA Class Submarine &gt; BASIC CONSTRUCTION (6) - EOQ IN SUPPORT OF MULTI-PROGRAM PROCUREMENT - SSBN 835</t>
        </is>
      </c>
      <c r="AD207" s="7" t="inlineStr">
        <is>
          <t>58</t>
        </is>
      </c>
      <c r="AE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13" t="inlineStr">
        <is>
          <t>P-10 &gt; COLUMBIA Class Submarine &gt; BASIC CONSTRUCTION (6) - EOQ IN SUPPORT OF MULTI-PROGRAM PROCUREMENT - SSBN 836</t>
        </is>
      </c>
      <c r="AD208" s="7" t="inlineStr">
        <is>
          <t>58</t>
        </is>
      </c>
      <c r="AE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13" t="inlineStr">
        <is>
          <t>P-10 &gt; COLUMBIA Class Submarine &gt; BASIC CONSTRUCTION (6) - EOQ IN SUPPORT OF MULTI-PROGRAM PROCUREMENT - SSBN 837 - Production Backup Units</t>
        </is>
      </c>
      <c r="AD209" s="7" t="inlineStr">
        <is>
          <t>58</t>
        </is>
      </c>
      <c r="AE209" s="7" t="inlineStr">
        <is>
          <t>1045</t>
        </is>
      </c>
      <c r="AG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13" t="inlineStr">
        <is>
          <t>P-10 &gt; COLUMBIA Class Submarine &gt; SSBN 827</t>
        </is>
      </c>
      <c r="AD210" s="7" t="inlineStr">
        <is>
          <t>59</t>
        </is>
      </c>
      <c r="AE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13" t="inlineStr">
        <is>
          <t>P-10 &gt; COLUMBIA Class Submarine &gt; SSBN 828</t>
        </is>
      </c>
      <c r="AD211" s="7" t="inlineStr">
        <is>
          <t>59</t>
        </is>
      </c>
      <c r="AE211" s="7" t="inlineStr">
        <is>
          <t>1045</t>
        </is>
      </c>
      <c r="AG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13" t="inlineStr">
        <is>
          <t>P-10 &gt; COLUMBIA Class Submarine &gt; SSBN 829</t>
        </is>
      </c>
      <c r="AD212" s="7" t="inlineStr">
        <is>
          <t>59</t>
        </is>
      </c>
      <c r="AE212" s="7" t="inlineStr">
        <is>
          <t>1045</t>
        </is>
      </c>
      <c r="AG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13" t="inlineStr">
        <is>
          <t>P-10 &gt; COLUMBIA Class Submarine &gt; SSBN 830</t>
        </is>
      </c>
      <c r="AD213" s="7" t="inlineStr">
        <is>
          <t>59</t>
        </is>
      </c>
      <c r="AE213" s="7" t="inlineStr">
        <is>
          <t>1045</t>
        </is>
      </c>
      <c r="AG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13" t="inlineStr">
        <is>
          <t>P-10 &gt; COLUMBIA Class Submarine &gt; SSBN 831</t>
        </is>
      </c>
      <c r="AD214" s="7" t="inlineStr">
        <is>
          <t>59</t>
        </is>
      </c>
      <c r="AE214" s="7" t="inlineStr">
        <is>
          <t>1045</t>
        </is>
      </c>
      <c r="AG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13" t="inlineStr">
        <is>
          <t>P-10 &gt; COLUMBIA Class Submarine &gt; SSBN 832</t>
        </is>
      </c>
      <c r="AD215" s="7" t="inlineStr">
        <is>
          <t>59</t>
        </is>
      </c>
      <c r="AE215" s="7" t="inlineStr">
        <is>
          <t>1045</t>
        </is>
      </c>
      <c r="AG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13" t="inlineStr">
        <is>
          <t>P-10 &gt; COLUMBIA Class Submarine &gt; SSBN 833</t>
        </is>
      </c>
      <c r="AD216" s="7" t="inlineStr">
        <is>
          <t>59</t>
        </is>
      </c>
      <c r="AE216" s="7" t="inlineStr">
        <is>
          <t>1045</t>
        </is>
      </c>
      <c r="AG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13" t="inlineStr">
        <is>
          <t>P-10 &gt; COLUMBIA Class Submarine &gt; SSBN 834</t>
        </is>
      </c>
      <c r="AD217" s="7" t="inlineStr">
        <is>
          <t>59</t>
        </is>
      </c>
      <c r="AE217" s="7" t="inlineStr">
        <is>
          <t>1045</t>
        </is>
      </c>
      <c r="AG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13" t="inlineStr">
        <is>
          <t>P-10 &gt; COLUMBIA Class Submarine &gt; SSBN 835</t>
        </is>
      </c>
      <c r="AD218" s="7" t="inlineStr">
        <is>
          <t>59</t>
        </is>
      </c>
      <c r="AE218" s="7" t="inlineStr">
        <is>
          <t>1045</t>
        </is>
      </c>
      <c r="AG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13" t="inlineStr">
        <is>
          <t>P-10 &gt; COLUMBIA Class Submarine &gt; NUCLEAR PROPULSION PLANT EQUIPMENT (8) - SSBN 828 (In Support of AC)</t>
        </is>
      </c>
      <c r="AD219" s="7" t="inlineStr">
        <is>
          <t>59</t>
        </is>
      </c>
      <c r="AE219" s="7" t="inlineStr">
        <is>
          <t>1045</t>
        </is>
      </c>
      <c r="AG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13" t="inlineStr">
        <is>
          <t>P-10 &gt; COLUMBIA Class Submarine &gt; NUCLEAR PROPULSION PLANT EQUIPMENT (8) - SSBN 829 (In Support of AC)</t>
        </is>
      </c>
      <c r="AD220" s="7" t="inlineStr">
        <is>
          <t>59</t>
        </is>
      </c>
      <c r="AE220" s="7" t="inlineStr">
        <is>
          <t>1045</t>
        </is>
      </c>
      <c r="AG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13" t="inlineStr">
        <is>
          <t>P-10 &gt; COLUMBIA Class Submarine &gt; NUCLEAR PROPULSION PLANT EQUIPMENT (8) - SSBN 830 (In support of AC)</t>
        </is>
      </c>
      <c r="AD221" s="7" t="inlineStr">
        <is>
          <t>59</t>
        </is>
      </c>
      <c r="AE221" s="7" t="inlineStr">
        <is>
          <t>1045</t>
        </is>
      </c>
      <c r="AG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13" t="inlineStr">
        <is>
          <t>P-10 &gt; COLUMBIA Class Submarine &gt; NUCLEAR PROPULSION PLANT EQUIPMENT (8) - SSBN 831 (In Support of AC)</t>
        </is>
      </c>
      <c r="AD222" s="7" t="inlineStr">
        <is>
          <t>59</t>
        </is>
      </c>
      <c r="AE222" s="7" t="inlineStr">
        <is>
          <t>1045</t>
        </is>
      </c>
      <c r="AG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13" t="inlineStr">
        <is>
          <t>P-10 &gt; COLUMBIA Class Submarine &gt; NUCLEAR PROPULSION PLANT EQUIPMENT (8) - SSBN 832 (In Support of AC)</t>
        </is>
      </c>
      <c r="AD223" s="7" t="inlineStr">
        <is>
          <t>59</t>
        </is>
      </c>
      <c r="AE223" s="7" t="inlineStr">
        <is>
          <t>1045</t>
        </is>
      </c>
      <c r="AG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13" t="inlineStr">
        <is>
          <t>P-10 &gt; COLUMBIA Class Submarine &gt; NUCLEAR PROPULSION PLANT EQUIPMENT (8) - SSBN 833 (In Support of AC)</t>
        </is>
      </c>
      <c r="AD224" s="7" t="inlineStr">
        <is>
          <t>59</t>
        </is>
      </c>
      <c r="AE224" s="7" t="inlineStr">
        <is>
          <t>1045</t>
        </is>
      </c>
      <c r="AG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13" t="inlineStr">
        <is>
          <t>P-10 &gt; COLUMBIA Class Submarine &gt; NUCLEAR PROPULSION PLANT EQUIPMENT (8) - SSBN 834 (In Support of AC)</t>
        </is>
      </c>
      <c r="AD225" s="7" t="inlineStr">
        <is>
          <t>59</t>
        </is>
      </c>
      <c r="AE225" s="7" t="inlineStr">
        <is>
          <t>1045</t>
        </is>
      </c>
      <c r="AG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13" t="inlineStr">
        <is>
          <t>P-10 &gt; COLUMBIA Class Submarine &gt; NUCLEAR PROPULSION PLANT EQUIPMENT (8) - SSBN 835</t>
        </is>
      </c>
      <c r="AD226" s="7" t="inlineStr">
        <is>
          <t>59</t>
        </is>
      </c>
      <c r="AE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13" t="inlineStr">
        <is>
          <t>P-10 &gt; COLUMBIA Class Submarine &gt; HM&amp;E (9) - SSBN 827 (In Support of AC)</t>
        </is>
      </c>
      <c r="AD227" s="7" t="inlineStr">
        <is>
          <t>59</t>
        </is>
      </c>
      <c r="AE227" s="7" t="inlineStr">
        <is>
          <t>1045</t>
        </is>
      </c>
      <c r="AG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13" t="inlineStr">
        <is>
          <t>P-10 &gt; COLUMBIA Class Submarine &gt; HM&amp;E (9) - SSBN 828 (In support of AC)</t>
        </is>
      </c>
      <c r="AD228" s="7" t="inlineStr">
        <is>
          <t>59</t>
        </is>
      </c>
      <c r="AE228" s="7" t="inlineStr">
        <is>
          <t>1045</t>
        </is>
      </c>
      <c r="AG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13" t="inlineStr">
        <is>
          <t>P-10 &gt; COLUMBIA Class Submarine &gt; HM&amp;E (9) - SSBN 829 (In Support of AC)</t>
        </is>
      </c>
      <c r="AD229" s="7" t="inlineStr">
        <is>
          <t>59</t>
        </is>
      </c>
      <c r="AE229" s="7" t="inlineStr">
        <is>
          <t>1045</t>
        </is>
      </c>
      <c r="AG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13" t="inlineStr">
        <is>
          <t>P-10 &gt; COLUMBIA Class Submarine &gt; HM&amp;E (9) - SSBN 830 (In Support of AC)</t>
        </is>
      </c>
      <c r="AD230" s="7" t="inlineStr">
        <is>
          <t>59</t>
        </is>
      </c>
      <c r="AE230" s="7" t="inlineStr">
        <is>
          <t>1045</t>
        </is>
      </c>
      <c r="AG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13" t="inlineStr">
        <is>
          <t>P-10 &gt; COLUMBIA Class Submarine &gt; HM&amp;E (9) - SSBN 831 (In Support of AC)</t>
        </is>
      </c>
      <c r="AD231" s="7" t="inlineStr">
        <is>
          <t>59</t>
        </is>
      </c>
      <c r="AE231" s="7" t="inlineStr">
        <is>
          <t>1045</t>
        </is>
      </c>
      <c r="AG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13" t="inlineStr">
        <is>
          <t>P-10 &gt; COLUMBIA Class Submarine &gt; SSBN 832 (In Support of AC)</t>
        </is>
      </c>
      <c r="AD232" s="7" t="inlineStr">
        <is>
          <t>60</t>
        </is>
      </c>
      <c r="AE232" s="7" t="inlineStr">
        <is>
          <t>1045</t>
        </is>
      </c>
      <c r="AG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13" t="inlineStr">
        <is>
          <t>P-10 &gt; COLUMBIA Class Submarine &gt; SSBN 833 (In Support of AC)</t>
        </is>
      </c>
      <c r="AD233" s="7" t="inlineStr">
        <is>
          <t>60</t>
        </is>
      </c>
      <c r="AE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13" t="inlineStr">
        <is>
          <t>P-10 &gt; COLUMBIA Class Submarine &gt; SSBN 834 (In Support of AC)</t>
        </is>
      </c>
      <c r="AD234" s="7" t="inlineStr">
        <is>
          <t>60</t>
        </is>
      </c>
      <c r="AE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13" t="inlineStr">
        <is>
          <t>P-10 &gt; COLUMBIA Class Submarine &gt; SSBN 835 (In Support of AC)</t>
        </is>
      </c>
      <c r="AD235" s="7" t="inlineStr">
        <is>
          <t>60</t>
        </is>
      </c>
      <c r="AE235" s="7" t="inlineStr">
        <is>
          <t>1045</t>
        </is>
      </c>
      <c r="AG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13" t="inlineStr">
        <is>
          <t>P-10 &gt; COLUMBIA Class Submarine &gt; SSBN 836 (In Support of AC)</t>
        </is>
      </c>
      <c r="AD236" s="7" t="inlineStr">
        <is>
          <t>60</t>
        </is>
      </c>
      <c r="AE236" s="7" t="inlineStr">
        <is>
          <t>1045</t>
        </is>
      </c>
      <c r="AG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13" t="inlineStr">
        <is>
          <t>P-10 &gt; COLUMBIA Class Submarine &gt; SSBN 837 (In Support of AC)</t>
        </is>
      </c>
      <c r="AD237" s="7" t="inlineStr">
        <is>
          <t>60</t>
        </is>
      </c>
      <c r="AE237" s="7" t="inlineStr">
        <is>
          <t>1045</t>
        </is>
      </c>
      <c r="AG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13" t="inlineStr">
        <is>
          <t>P-10 &gt; COLUMBIA Class Submarine &gt; ORDNANCE SWS SHIPBOARD SYSTEMS (10) - LLTM - SSBN 827 (In Support of AC)</t>
        </is>
      </c>
      <c r="AD238" s="7" t="inlineStr">
        <is>
          <t>60</t>
        </is>
      </c>
      <c r="AE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13" t="inlineStr">
        <is>
          <t>P-10 &gt; COLUMBIA Class Submarine &gt; ORDNANCE SWS SHIPBOARD SYSTEMS (10) - LLTM - SSBN 828 (In Support of AC)</t>
        </is>
      </c>
      <c r="AD239" s="7" t="inlineStr">
        <is>
          <t>60</t>
        </is>
      </c>
      <c r="AE239" s="7" t="inlineStr">
        <is>
          <t>1045</t>
        </is>
      </c>
      <c r="AG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13" t="inlineStr">
        <is>
          <t>P-10 &gt; COLUMBIA Class Submarine &gt; ORDNANCE SWS SHIPBOARD SYSTEMS (10) - LLTM - SSBN 829 (In Support of AC)</t>
        </is>
      </c>
      <c r="AD240" s="7" t="inlineStr">
        <is>
          <t>60</t>
        </is>
      </c>
      <c r="AE240" s="7" t="inlineStr">
        <is>
          <t>1045</t>
        </is>
      </c>
      <c r="AG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13" t="inlineStr">
        <is>
          <t>P-10 &gt; COLUMBIA Class Submarine &gt; ORDNANCE SWS SHIPBOARD SYSTEMS (10) - LLTM - SSBN 830 (In Support of AC)</t>
        </is>
      </c>
      <c r="AD241" s="7" t="inlineStr">
        <is>
          <t>60</t>
        </is>
      </c>
      <c r="AE241" s="7" t="inlineStr">
        <is>
          <t>1045</t>
        </is>
      </c>
      <c r="AG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13" t="inlineStr">
        <is>
          <t>P-10 &gt; COLUMBIA Class Submarine &gt; ORDNANCE SWS SHIPBOARD SYSTEMS (10) - LLTM - SSBN 831 (In Support of AC)</t>
        </is>
      </c>
      <c r="AD242" s="7" t="inlineStr">
        <is>
          <t>60</t>
        </is>
      </c>
      <c r="AE242" s="7" t="inlineStr">
        <is>
          <t>1045</t>
        </is>
      </c>
      <c r="AG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13" t="inlineStr">
        <is>
          <t>P-10 &gt; COLUMBIA Class Submarine &gt; ORDNANCE SWS SHIPBOARD SYSTEMS (10) - LLTM - SSBN 832 (In Support of AC)</t>
        </is>
      </c>
      <c r="AD243" s="7" t="inlineStr">
        <is>
          <t>60</t>
        </is>
      </c>
      <c r="AE243" s="7" t="inlineStr">
        <is>
          <t>1045</t>
        </is>
      </c>
      <c r="AG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13" t="inlineStr">
        <is>
          <t>P-10 &gt; COLUMBIA Class Submarine &gt; ORDNANCE SWS SHIPBOARD SYSTEMS (10) - LLTM - SSBN 833 (In Support of AC)</t>
        </is>
      </c>
      <c r="AD244" s="7" t="inlineStr">
        <is>
          <t>60</t>
        </is>
      </c>
      <c r="AE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13" t="inlineStr">
        <is>
          <t>P-10 &gt; COLUMBIA Class Submarine &gt; ORDNANCE SWS SHIPBOARD SYSTEMS (10) - LLTM - SSBN 834 (In Support of AC)</t>
        </is>
      </c>
      <c r="AD245" s="7" t="inlineStr">
        <is>
          <t>60</t>
        </is>
      </c>
      <c r="AE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13" t="inlineStr">
        <is>
          <t>P-10 &gt; COLUMBIA Class Submarine &gt; ORDNANCE SWS SHIPBOARD SYSTEMS (10) - LLTM - SSBN 835 (In Support of AC)</t>
        </is>
      </c>
      <c r="AD246" s="7" t="inlineStr">
        <is>
          <t>60</t>
        </is>
      </c>
      <c r="AE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13" t="inlineStr">
        <is>
          <t>P-10 &gt; COLUMBIA Class Submarine &gt; ORDNANCE SWS SHIPBOARD SYSTEMS (10) - LLTM - SSBN 836 (In Support of AC)</t>
        </is>
      </c>
      <c r="AD247" s="7" t="inlineStr">
        <is>
          <t>60</t>
        </is>
      </c>
      <c r="AE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13" t="inlineStr">
        <is>
          <t>P-10 &gt; COLUMBIA Class Submarine &gt; ORDNANCE SWS SHIPBOARD SYSTEMS (10) - LLTM - SSBN 837 (In Support of AC)</t>
        </is>
      </c>
      <c r="AD248" s="7" t="inlineStr">
        <is>
          <t>60</t>
        </is>
      </c>
      <c r="AE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13" t="inlineStr">
        <is>
          <t>P-10 &gt; COLUMBIA Class Submarine &gt; ORDNANCE SWS SHIPBOARD SYSTEMS (11) - ECONOMIC ORDER QUANTITY - SSBN 827</t>
        </is>
      </c>
      <c r="AD249" s="7" t="inlineStr">
        <is>
          <t>60</t>
        </is>
      </c>
      <c r="AE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13" t="inlineStr">
        <is>
          <t>P-10 &gt; COLUMBIA Class Submarine &gt; ORDNANCE SWS SHIPBOARD SYSTEMS (11) - ECONOMIC ORDER QUANTITY - SSBN 828</t>
        </is>
      </c>
      <c r="AD250" s="7" t="inlineStr">
        <is>
          <t>60</t>
        </is>
      </c>
      <c r="AE250" s="7" t="inlineStr">
        <is>
          <t>1045</t>
        </is>
      </c>
      <c r="AG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13" t="inlineStr">
        <is>
          <t>P-10 &gt; COLUMBIA Class Submarine &gt; ORDNANCE SWS SHIPBOARD SYSTEMS (11) - ECONOMIC ORDER QUANTITY - SSBN 829</t>
        </is>
      </c>
      <c r="AD251" s="7" t="inlineStr">
        <is>
          <t>60</t>
        </is>
      </c>
      <c r="AE251" s="7" t="inlineStr">
        <is>
          <t>1045</t>
        </is>
      </c>
      <c r="AG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13" t="inlineStr">
        <is>
          <t>P-10 &gt; COLUMBIA Class Submarine &gt; ORDNANCE SWS SHIPBOARD SYSTEMS (11) - ECONOMIC ORDER QUANTITY - SSBN 830</t>
        </is>
      </c>
      <c r="AD252" s="7" t="inlineStr">
        <is>
          <t>60</t>
        </is>
      </c>
      <c r="AE252" s="7" t="inlineStr">
        <is>
          <t>1045</t>
        </is>
      </c>
      <c r="AG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13" t="inlineStr">
        <is>
          <t>P-10 &gt; COLUMBIA Class Submarine &gt; ORDNANCE SWS SHIPBOARD SYSTEMS (11) - ECONOMIC ORDER QUANTITY - SSBN 831</t>
        </is>
      </c>
      <c r="AD253" s="7" t="inlineStr">
        <is>
          <t>60</t>
        </is>
      </c>
      <c r="AE253" s="7" t="inlineStr">
        <is>
          <t>1045</t>
        </is>
      </c>
      <c r="AG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13" t="inlineStr">
        <is>
          <t>P-10 &gt; COLUMBIA Class Submarine &gt; ORDNANCE SWS SHIPBOARD SYSTEMS (11) - ECONOMIC ORDER QUANTITY - SSBN 832</t>
        </is>
      </c>
      <c r="AD254" s="7" t="inlineStr">
        <is>
          <t>60</t>
        </is>
      </c>
      <c r="AE254" s="7" t="inlineStr">
        <is>
          <t>1045</t>
        </is>
      </c>
      <c r="AG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13" t="inlineStr">
        <is>
          <t>P-10 &gt; COLUMBIA Class Submarine &gt; ORDNANCE SWS SHIPBOARD SYSTEMS (11) - ECONOMIC ORDER QUANTITY - SSBN 833</t>
        </is>
      </c>
      <c r="AD255" s="7" t="inlineStr">
        <is>
          <t>60</t>
        </is>
      </c>
      <c r="AE255" s="7" t="inlineStr">
        <is>
          <t>1045</t>
        </is>
      </c>
      <c r="AG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13" t="inlineStr">
        <is>
          <t>P-10 &gt; COLUMBIA Class Submarine &gt; ORDNANCE SWS SHIPBOARD SYSTEMS (11) - ECONOMIC ORDER QUANTITY - SSBN 834</t>
        </is>
      </c>
      <c r="AD256" s="7" t="inlineStr">
        <is>
          <t>60</t>
        </is>
      </c>
      <c r="AE256" s="7" t="inlineStr">
        <is>
          <t>1045</t>
        </is>
      </c>
      <c r="AG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13" t="inlineStr">
        <is>
          <t>P-10 &gt; COLUMBIA Class Submarine &gt; SSBN 835</t>
        </is>
      </c>
      <c r="AD257" s="7" t="inlineStr">
        <is>
          <t>61</t>
        </is>
      </c>
      <c r="AE257" s="7" t="inlineStr">
        <is>
          <t>1045</t>
        </is>
      </c>
      <c r="AG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13" t="inlineStr">
        <is>
          <t>P-10 &gt; COLUMBIA Class Submarine &gt; SSBN 836</t>
        </is>
      </c>
      <c r="AD258" s="7" t="inlineStr">
        <is>
          <t>61</t>
        </is>
      </c>
      <c r="AE258" s="7" t="inlineStr">
        <is>
          <t>1045</t>
        </is>
      </c>
      <c r="AG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13" t="inlineStr">
        <is>
          <t>P-10 &gt; COLUMBIA Class Submarine &gt; SSBN 837</t>
        </is>
      </c>
      <c r="AD259" s="7" t="inlineStr">
        <is>
          <t>61</t>
        </is>
      </c>
      <c r="AE259" s="7" t="inlineStr">
        <is>
          <t>1045</t>
        </is>
      </c>
      <c r="AG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13" t="inlineStr">
        <is>
          <t>P-10 &gt; COLUMBIA Class Submarine &gt; ORDNANCE SWS SHIPBOARD SYSTEMS (12) - CONTINUOUS PRODUCTION - SSBN 828</t>
        </is>
      </c>
      <c r="AD260" s="7" t="inlineStr">
        <is>
          <t>61</t>
        </is>
      </c>
      <c r="AE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13" t="inlineStr">
        <is>
          <t>P-10 &gt; COLUMBIA Class Submarine &gt; ORDNANCE SWS SHIPBOARD SYSTEMS (12) - CONTINUOUS PRODUCTION - SSBN 829</t>
        </is>
      </c>
      <c r="AD261" s="7" t="inlineStr">
        <is>
          <t>61</t>
        </is>
      </c>
      <c r="AE261" s="7" t="inlineStr">
        <is>
          <t>1045</t>
        </is>
      </c>
      <c r="AG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13" t="inlineStr">
        <is>
          <t>P-10 &gt; COLUMBIA Class Submarine &gt; ORDNANCE SWS SHIPBOARD SYSTEMS (12) - CONTINUOUS PRODUCTION - SSBN 830</t>
        </is>
      </c>
      <c r="AD262" s="7" t="inlineStr">
        <is>
          <t>61</t>
        </is>
      </c>
      <c r="AE262" s="7" t="inlineStr">
        <is>
          <t>1045</t>
        </is>
      </c>
      <c r="AG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13" t="inlineStr">
        <is>
          <t>P-10 &gt; COLUMBIA Class Submarine &gt; ORDNANCE SWS SHIPBOARD SYSTEMS (12) - CONTINUOUS PRODUCTION - SSBN 831</t>
        </is>
      </c>
      <c r="AD263" s="7" t="inlineStr">
        <is>
          <t>61</t>
        </is>
      </c>
      <c r="AE263" s="7" t="inlineStr">
        <is>
          <t>1045</t>
        </is>
      </c>
      <c r="AG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13" t="inlineStr">
        <is>
          <t>P-10 &gt; COLUMBIA Class Submarine &gt; ORDNANCE SWS SHIPBOARD SYSTEMS (12) - CONTINUOUS PRODUCTION - SSBN 832</t>
        </is>
      </c>
      <c r="AD264" s="7" t="inlineStr">
        <is>
          <t>61</t>
        </is>
      </c>
      <c r="AE264" s="7" t="inlineStr">
        <is>
          <t>1045</t>
        </is>
      </c>
      <c r="AG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13" t="inlineStr">
        <is>
          <t>P-10 &gt; COLUMBIA Class Submarine &gt; ORDNANCE SWS SHIPBOARD SYSTEMS (12) - CONTINUOUS PRODUCTION - SSBN 833</t>
        </is>
      </c>
      <c r="AD265" s="7" t="inlineStr">
        <is>
          <t>61</t>
        </is>
      </c>
      <c r="AE265" s="7" t="inlineStr">
        <is>
          <t>1045</t>
        </is>
      </c>
      <c r="AG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13" t="inlineStr">
        <is>
          <t>P-10 &gt; COLUMBIA Class Submarine &gt; ORDNANCE SWS SHIPBOARD SYSTEMS (12) - CONTINUOUS PRODUCTION - SSBN 834</t>
        </is>
      </c>
      <c r="AD266" s="7" t="inlineStr">
        <is>
          <t>61</t>
        </is>
      </c>
      <c r="AE266" s="7" t="inlineStr">
        <is>
          <t>1045</t>
        </is>
      </c>
      <c r="AG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13" t="inlineStr">
        <is>
          <t>P-10 &gt; COLUMBIA Class Submarine &gt; ORDNANCE SWS SHIPBOARD SYSTEMS (12) - CONTINUOUS PRODUCTION - SSBN 835</t>
        </is>
      </c>
      <c r="AD267" s="7" t="inlineStr">
        <is>
          <t>61</t>
        </is>
      </c>
      <c r="AE267" s="7" t="inlineStr">
        <is>
          <t>1045</t>
        </is>
      </c>
      <c r="AG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13" t="inlineStr">
        <is>
          <t>P-10 &gt; COLUMBIA Class Submarine &gt; ORDNANCE SWS SHIPBOARD SYSTEMS (12) - CONTINUOUS PRODUCTION - SSBN 836</t>
        </is>
      </c>
      <c r="AD268" s="7" t="inlineStr">
        <is>
          <t>61</t>
        </is>
      </c>
      <c r="AE268" s="7" t="inlineStr">
        <is>
          <t>1045</t>
        </is>
      </c>
      <c r="AG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13" t="inlineStr">
        <is>
          <t>P-10 &gt; COLUMBIA Class Submarine &gt; ORDNANCE SWS SHIPBOARD SYSTEMS (12) - CONTINUOUS PRODUCTION - SSBN 837</t>
        </is>
      </c>
      <c r="AD269" s="7" t="inlineStr">
        <is>
          <t>61</t>
        </is>
      </c>
      <c r="AE269" s="7" t="inlineStr">
        <is>
          <t>1045</t>
        </is>
      </c>
      <c r="AG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13" t="inlineStr">
        <is>
          <t>P-10 &gt; COLUMBIA Class Submarine &gt; ELECTRONICS (13) - SSBN 827</t>
        </is>
      </c>
      <c r="AD270" s="7" t="inlineStr">
        <is>
          <t>61</t>
        </is>
      </c>
      <c r="AE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13" t="inlineStr">
        <is>
          <t>P-10 &gt; COLUMBIA Class Submarine &gt; ELECTRONICS (13) - SSBN 828</t>
        </is>
      </c>
      <c r="AD271" s="7" t="inlineStr">
        <is>
          <t>61</t>
        </is>
      </c>
      <c r="AE271" s="7" t="inlineStr">
        <is>
          <t>1045</t>
        </is>
      </c>
      <c r="AG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13" t="inlineStr">
        <is>
          <t>P-10 &gt; COLUMBIA Class Submarine &gt; ELECTRONICS (13) - SSBN 829</t>
        </is>
      </c>
      <c r="AD272" s="7" t="inlineStr">
        <is>
          <t>61</t>
        </is>
      </c>
      <c r="AE272" s="7" t="inlineStr">
        <is>
          <t>1045</t>
        </is>
      </c>
      <c r="AG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13" t="inlineStr">
        <is>
          <t>P-10 &gt; COLUMBIA Class Submarine &gt; ELECTRONICS (13) - SSBN 830</t>
        </is>
      </c>
      <c r="AD273" s="7" t="inlineStr">
        <is>
          <t>61</t>
        </is>
      </c>
      <c r="AE273" s="7" t="inlineStr">
        <is>
          <t>1045</t>
        </is>
      </c>
      <c r="AG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13" t="inlineStr">
        <is>
          <t>P-10 &gt; COLUMBIA Class Submarine &gt; ELECTRONICS (13) - SSBN 831</t>
        </is>
      </c>
      <c r="AD274" s="7" t="inlineStr">
        <is>
          <t>61</t>
        </is>
      </c>
      <c r="AE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13" t="inlineStr">
        <is>
          <t>P-10 &gt; COLUMBIA Class Submarine &gt; ELECTRONICS (13) - SSBN 832</t>
        </is>
      </c>
      <c r="AD275" s="7" t="inlineStr">
        <is>
          <t>61</t>
        </is>
      </c>
      <c r="AE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13" t="inlineStr">
        <is>
          <t>P-10 &gt; COLUMBIA Class Submarine &gt; ELECTRONICS (13) - SSBN 833</t>
        </is>
      </c>
      <c r="AD276" s="7" t="inlineStr">
        <is>
          <t>61</t>
        </is>
      </c>
      <c r="AE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13" t="inlineStr">
        <is>
          <t>P-10 &gt; COLUMBIA Class Submarine &gt; ELECTRONICS (13) - SSBN 834</t>
        </is>
      </c>
      <c r="AD277" s="7" t="inlineStr">
        <is>
          <t>61</t>
        </is>
      </c>
      <c r="AE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13" t="inlineStr">
        <is>
          <t>P-10 &gt; COLUMBIA Class Submarine &gt; ELECTRONICS (13) - SSBN 828</t>
        </is>
      </c>
      <c r="AD278" s="7" t="inlineStr">
        <is>
          <t>61</t>
        </is>
      </c>
      <c r="AE278" s="7" t="inlineStr">
        <is>
          <t>1045</t>
        </is>
      </c>
      <c r="AG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13" t="inlineStr">
        <is>
          <t>P-10 &gt; COLUMBIA Class Submarine &gt; SSBN 829</t>
        </is>
      </c>
      <c r="AD279" s="7" t="inlineStr">
        <is>
          <t>62</t>
        </is>
      </c>
      <c r="AE279" s="7" t="inlineStr">
        <is>
          <t>1045</t>
        </is>
      </c>
      <c r="AG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13" t="inlineStr">
        <is>
          <t>P-10 &gt; COLUMBIA Class Submarine &gt; SSBN 830</t>
        </is>
      </c>
      <c r="AD280" s="7" t="inlineStr">
        <is>
          <t>62</t>
        </is>
      </c>
      <c r="AE280" s="7" t="inlineStr">
        <is>
          <t>1045</t>
        </is>
      </c>
      <c r="AG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13" t="inlineStr">
        <is>
          <t>P-10 &gt; COLUMBIA Class Submarine &gt; SSBN 831</t>
        </is>
      </c>
      <c r="AD281" s="7" t="inlineStr">
        <is>
          <t>62</t>
        </is>
      </c>
      <c r="AE281" s="7" t="inlineStr">
        <is>
          <t>1045</t>
        </is>
      </c>
      <c r="AG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13" t="inlineStr">
        <is>
          <t>P-10 &gt; COLUMBIA Class Submarine &gt; SSBN 832</t>
        </is>
      </c>
      <c r="AD282" s="7" t="inlineStr">
        <is>
          <t>62</t>
        </is>
      </c>
      <c r="AE282" s="7" t="inlineStr">
        <is>
          <t>1045</t>
        </is>
      </c>
      <c r="AG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13" t="inlineStr">
        <is>
          <t>P-10 &gt; COLUMBIA Class Submarine &gt; PLANS - Supplier Development- Maritime Industrial Base - SSBN 837 (2)</t>
        </is>
      </c>
      <c r="AD283" s="7" t="inlineStr">
        <is>
          <t>63</t>
        </is>
      </c>
      <c r="AE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13" t="inlineStr">
        <is>
          <t>P-10 &gt; COLUMBIA Class Submarine &gt; PLANS - SSBN 828</t>
        </is>
      </c>
      <c r="AD284" s="7" t="inlineStr">
        <is>
          <t>63</t>
        </is>
      </c>
      <c r="AE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13" t="inlineStr">
        <is>
          <t>P-10 &gt; COLUMBIA Class Submarine &gt; PLANS - SSBN 829</t>
        </is>
      </c>
      <c r="AD285" s="7" t="inlineStr">
        <is>
          <t>63</t>
        </is>
      </c>
      <c r="AE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13" t="inlineStr">
        <is>
          <t>P-10 &gt; COLUMBIA Class Submarine &gt; BASIC CONSTRUCTION (3) - SHIPBUILDER PROCURED LLTM - SSBN 828</t>
        </is>
      </c>
      <c r="AD286" s="7" t="inlineStr">
        <is>
          <t>63</t>
        </is>
      </c>
      <c r="AE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13" t="inlineStr">
        <is>
          <t>P-10 &gt; COLUMBIA Class Submarine &gt; BASIC CONSTRUCTION (3) - SHIPBUILDER PROCURED LLTM - SSBN 829</t>
        </is>
      </c>
      <c r="AD287" s="7" t="inlineStr">
        <is>
          <t>63</t>
        </is>
      </c>
      <c r="AE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13" t="inlineStr">
        <is>
          <t>P-10 &gt; COLUMBIA Class Submarine &gt; BASIC CONSTRUCTION (3) - SHIPBUILDER PROCURED LLTM - SSBN 830</t>
        </is>
      </c>
      <c r="AD288" s="7" t="inlineStr">
        <is>
          <t>63</t>
        </is>
      </c>
      <c r="AE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13" t="inlineStr">
        <is>
          <t>P-10 &gt; COLUMBIA Class Submarine &gt; BASIC CONSTRUCTION (4) - MISSILE TUBE CONTINUOUS PRODUCTION &amp; OUTFITTING - SSBN 828</t>
        </is>
      </c>
      <c r="AD289" s="7" t="inlineStr">
        <is>
          <t>63</t>
        </is>
      </c>
      <c r="AE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13" t="inlineStr">
        <is>
          <t>P-10 &gt; COLUMBIA Class Submarine &gt; BASIC CONSTRUCTION (4) - MISSILE TUBE CONTINUOUS PRODUCTION &amp; OUTFITTING - SSBN 829</t>
        </is>
      </c>
      <c r="AD290" s="7" t="inlineStr">
        <is>
          <t>63</t>
        </is>
      </c>
      <c r="AE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13" t="inlineStr">
        <is>
          <t>P-10 &gt; COLUMBIA Class Submarine &gt; BASIC CONSTRUCTION (4) - MISSILE TUBE CONTINUOUS PRODUCTION &amp; OUTFITTING - SSBN 830</t>
        </is>
      </c>
      <c r="AD291" s="7" t="inlineStr">
        <is>
          <t>63</t>
        </is>
      </c>
      <c r="AE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13" t="inlineStr">
        <is>
          <t>P-10 &gt; COLUMBIA Class Submarine &gt; BASIC CONSTRUCTION (4) - MISSILE TUBE CONTINUOUS PRODUCTION &amp; OUTFITTING - SSBN 831</t>
        </is>
      </c>
      <c r="AD292" s="7" t="inlineStr">
        <is>
          <t>63</t>
        </is>
      </c>
      <c r="AE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13" t="inlineStr">
        <is>
          <t>P-10 &gt; COLUMBIA Class Submarine &gt; BASIC CONSTRUCTION (4) - MISSILE TUBE CONTINUOUS PRODUCTION &amp; OUTFITTING - SSBN 832</t>
        </is>
      </c>
      <c r="AD293" s="7" t="inlineStr">
        <is>
          <t>63</t>
        </is>
      </c>
      <c r="AE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13" t="inlineStr">
        <is>
          <t>P-10 &gt; COLUMBIA Class Submarine &gt; BASIC CONSTRUCTION (4) - MISSILE TUBE CONTINUOUS PRODUCTION &amp; OUTFITTING - SSBN 834</t>
        </is>
      </c>
      <c r="AD294" s="7" t="inlineStr">
        <is>
          <t>63</t>
        </is>
      </c>
      <c r="AE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13" t="inlineStr">
        <is>
          <t>P-10 &gt; COLUMBIA Class Submarine &gt; BASIC CONSTRUCTION (4) - MISSILE TUBE CONTINUOUS PRODUCTION &amp; OUTFITTING - SSBN 835</t>
        </is>
      </c>
      <c r="AD295" s="7" t="inlineStr">
        <is>
          <t>63</t>
        </is>
      </c>
      <c r="AE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13" t="inlineStr">
        <is>
          <t>P-10 &gt; COLUMBIA Class Submarine &gt; BASIC CONSTRUCTION (4) - MISSILE TUBE CONTINUOUS PRODUCTION &amp; OUTFITTING - SSBN 836</t>
        </is>
      </c>
      <c r="AD296" s="7" t="inlineStr">
        <is>
          <t>63</t>
        </is>
      </c>
      <c r="AE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13" t="inlineStr">
        <is>
          <t>P-10 &gt; COLUMBIA Class Submarine &gt; BASIC CONSTRUCTION (5) - ADVANCE CONSTRUCTION - SSBN 828</t>
        </is>
      </c>
      <c r="AD297" s="7" t="inlineStr">
        <is>
          <t>64</t>
        </is>
      </c>
      <c r="AE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13" t="inlineStr">
        <is>
          <t>P-10 &gt; COLUMBIA Class Submarine &gt; BASIC CONSTRUCTION (5) - ADVANCE CONSTRUCTION - SSBN 829</t>
        </is>
      </c>
      <c r="AD298" s="7" t="inlineStr">
        <is>
          <t>64</t>
        </is>
      </c>
      <c r="AE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13" t="inlineStr">
        <is>
          <t>P-10 &gt; COLUMBIA Class Submarine &gt; BASIC CONSTRUCTION (5) - ADVANCE CONSTRUCTION - SSBN 830</t>
        </is>
      </c>
      <c r="AD299" s="7" t="inlineStr">
        <is>
          <t>64</t>
        </is>
      </c>
      <c r="AE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13" t="inlineStr">
        <is>
          <t>P-10 &gt; COLUMBIA Class Submarine &gt; BASIC CONSTRUCTION (6) - EOQ IN SUPPORT OF MULTI-PROGRAM PROCUREMENT - SSBN 829</t>
        </is>
      </c>
      <c r="AD300" s="7" t="inlineStr">
        <is>
          <t>64</t>
        </is>
      </c>
      <c r="AE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13" t="inlineStr">
        <is>
          <t>P-10 &gt; COLUMBIA Class Submarine &gt; BASIC CONSTRUCTION (6) - EOQ IN SUPPORT OF MULTI-PROGRAM PROCUREMENT - SSBN 830</t>
        </is>
      </c>
      <c r="AD301" s="7" t="inlineStr">
        <is>
          <t>64</t>
        </is>
      </c>
      <c r="AE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13" t="inlineStr">
        <is>
          <t>P-10 &gt; COLUMBIA Class Submarine &gt; BASIC CONSTRUCTION (6) - EOQ IN SUPPORT OF MULTI-PROGRAM PROCUREMENT - SSBN 831</t>
        </is>
      </c>
      <c r="AD302" s="7" t="inlineStr">
        <is>
          <t>64</t>
        </is>
      </c>
      <c r="AE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13" t="inlineStr">
        <is>
          <t>P-10 &gt; COLUMBIA Class Submarine &gt; BASIC CONSTRUCTION (6) - EOQ IN SUPPORT OF MULTI-PROGRAM PROCUREMENT - SSBN 832</t>
        </is>
      </c>
      <c r="AD303" s="7" t="inlineStr">
        <is>
          <t>64</t>
        </is>
      </c>
      <c r="AE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13" t="inlineStr">
        <is>
          <t>P-10 &gt; COLUMBIA Class Submarine &gt; BASIC CONSTRUCTION (6) - EOQ IN SUPPORT OF MULTI-PROGRAM PROCUREMENT - SSBN 837 - Production Backup Units</t>
        </is>
      </c>
      <c r="AD304" s="7" t="inlineStr">
        <is>
          <t>64</t>
        </is>
      </c>
      <c r="AE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13" t="inlineStr">
        <is>
          <t>P-10 &gt; COLUMBIA Class Submarine &gt; BASIC CONSTRUCTION (7) - SHIPYARD MANUFACTURED ITEMS CONTINUOUS PRODUCTION - SSBN 828</t>
        </is>
      </c>
      <c r="AD305" s="7" t="inlineStr">
        <is>
          <t>64</t>
        </is>
      </c>
      <c r="AE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13" t="inlineStr">
        <is>
          <t>P-10 &gt; COLUMBIA Class Submarine &gt; BASIC CONSTRUCTION (7) - SHIPYARD MANUFACTURED ITEMS CONTINUOUS PRODUCTION - SSBN 829</t>
        </is>
      </c>
      <c r="AD306" s="7" t="inlineStr">
        <is>
          <t>64</t>
        </is>
      </c>
      <c r="AE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13" t="inlineStr">
        <is>
          <t>P-10 &gt; COLUMBIA Class Submarine &gt; BASIC CONSTRUCTION (7) - SHIPYARD MANUFACTURED ITEMS CONTINUOUS PRODUCTION - SSBN 830</t>
        </is>
      </c>
      <c r="AD307" s="7" t="inlineStr">
        <is>
          <t>64</t>
        </is>
      </c>
      <c r="AE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13" t="inlineStr">
        <is>
          <t>P-10 &gt; COLUMBIA Class Submarine &gt; BASIC CONSTRUCTION (7) - SHIPYARD MANUFACTURED ITEMS CONTINUOUS PRODUCTION - SSBN 831</t>
        </is>
      </c>
      <c r="AD308" s="7" t="inlineStr">
        <is>
          <t>64</t>
        </is>
      </c>
      <c r="AE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13" t="inlineStr">
        <is>
          <t>P-10 &gt; COLUMBIA Class Submarine &gt; SSBN 832</t>
        </is>
      </c>
      <c r="AD309" s="7" t="inlineStr">
        <is>
          <t>65</t>
        </is>
      </c>
      <c r="AE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13" t="inlineStr">
        <is>
          <t>P-10 &gt; COLUMBIA Class Submarine &gt; SSBN 833</t>
        </is>
      </c>
      <c r="AD310" s="7" t="inlineStr">
        <is>
          <t>65</t>
        </is>
      </c>
      <c r="AE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13" t="inlineStr">
        <is>
          <t>P-10 &gt; COLUMBIA Class Submarine &gt; NUCLEAR PROPULSION PLANT EQUIPMENT (8) - SSBN 828 (In Support of AC)</t>
        </is>
      </c>
      <c r="AD311" s="7" t="inlineStr">
        <is>
          <t>65</t>
        </is>
      </c>
      <c r="AE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13" t="inlineStr">
        <is>
          <t>P-10 &gt; COLUMBIA Class Submarine &gt; NUCLEAR PROPULSION PLANT EQUIPMENT (8) - SSBN 829 (In Support of AC)</t>
        </is>
      </c>
      <c r="AD312" s="7" t="inlineStr">
        <is>
          <t>65</t>
        </is>
      </c>
      <c r="AE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13" t="inlineStr">
        <is>
          <t>P-10 &gt; COLUMBIA Class Submarine &gt; NUCLEAR PROPULSION PLANT EQUIPMENT (8) - SSBN 830 (In support of AC)</t>
        </is>
      </c>
      <c r="AD313" s="7" t="inlineStr">
        <is>
          <t>65</t>
        </is>
      </c>
      <c r="AE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13" t="inlineStr">
        <is>
          <t>P-10 &gt; COLUMBIA Class Submarine &gt; HM&amp;E (9) - SSBN 828 (In support of AC)</t>
        </is>
      </c>
      <c r="AD314" s="7" t="inlineStr">
        <is>
          <t>65</t>
        </is>
      </c>
      <c r="AE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13" t="inlineStr">
        <is>
          <t>P-10 &gt; COLUMBIA Class Submarine &gt; HM&amp;E (9) - SSBN 829 (In Support of AC)</t>
        </is>
      </c>
      <c r="AD315" s="7" t="inlineStr">
        <is>
          <t>65</t>
        </is>
      </c>
      <c r="AE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13" t="inlineStr">
        <is>
          <t>P-10 &gt; COLUMBIA Class Submarine &gt; HM&amp;E (9) - SSBN 830 (In Support of AC)</t>
        </is>
      </c>
      <c r="AD316" s="7" t="inlineStr">
        <is>
          <t>65</t>
        </is>
      </c>
      <c r="AE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13" t="inlineStr">
        <is>
          <t>P-10 &gt; COLUMBIA Class Submarine &gt; HM&amp;E (9) - SSBN 832 (In Support of AC)</t>
        </is>
      </c>
      <c r="AD317" s="7" t="inlineStr">
        <is>
          <t>65</t>
        </is>
      </c>
      <c r="AE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13" t="inlineStr">
        <is>
          <t>P-10 &gt; COLUMBIA Class Submarine &gt; HM&amp;E (9) - SSBN 833 (In Support of AC)</t>
        </is>
      </c>
      <c r="AD318" s="7" t="inlineStr">
        <is>
          <t>65</t>
        </is>
      </c>
      <c r="AE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13" t="inlineStr">
        <is>
          <t>P-10 &gt; COLUMBIA Class Submarine &gt; HM&amp;E (9) - SSBN 834 (In Support of AC)</t>
        </is>
      </c>
      <c r="AD319" s="7" t="inlineStr">
        <is>
          <t>65</t>
        </is>
      </c>
      <c r="AE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13" t="inlineStr">
        <is>
          <t>P-10 &gt; COLUMBIA Class Submarine &gt; HM&amp;E (9) - SSBN 835 (In Support of AC)</t>
        </is>
      </c>
      <c r="AD320" s="7" t="inlineStr">
        <is>
          <t>65</t>
        </is>
      </c>
      <c r="AE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13" t="inlineStr">
        <is>
          <t>P-10 &gt; COLUMBIA Class Submarine &gt; HM&amp;E (9) - SSBN 836 (In Support of AC)</t>
        </is>
      </c>
      <c r="AD321" s="7" t="inlineStr">
        <is>
          <t>65</t>
        </is>
      </c>
      <c r="AE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13" t="inlineStr">
        <is>
          <t>P-10 &gt; COLUMBIA Class Submarine &gt; HM&amp;E (9) - SSBN 837 (In Support of AC)</t>
        </is>
      </c>
      <c r="AD322" s="7" t="inlineStr">
        <is>
          <t>65</t>
        </is>
      </c>
      <c r="AE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13" t="inlineStr">
        <is>
          <t>P-10 &gt; COLUMBIA Class Submarine &gt; ORDNANCE SWS SHIPBOARD SYSTEMS (10) - LLTM - SSBN 828 (In Support of AC)</t>
        </is>
      </c>
      <c r="AD323" s="7" t="inlineStr">
        <is>
          <t>66</t>
        </is>
      </c>
      <c r="AE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13" t="inlineStr">
        <is>
          <t>P-10 &gt; COLUMBIA Class Submarine &gt; ORDNANCE SWS SHIPBOARD SYSTEMS (10) - LLTM - SSBN 829 (In Support of AC)</t>
        </is>
      </c>
      <c r="AD324" s="7" t="inlineStr">
        <is>
          <t>66</t>
        </is>
      </c>
      <c r="AE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13" t="inlineStr">
        <is>
          <t>P-10 &gt; COLUMBIA Class Submarine &gt; ORDNANCE SWS SHIPBOARD SYSTEMS (10) - LLTM - SSBN 830 (In Support of AC)</t>
        </is>
      </c>
      <c r="AD325" s="7" t="inlineStr">
        <is>
          <t>66</t>
        </is>
      </c>
      <c r="AE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13" t="inlineStr">
        <is>
          <t>P-10 &gt; COLUMBIA Class Submarine &gt; ORDNANCE SWS SHIPBOARD SYSTEMS (10) - LLTM - SSBN 831 (In Support of AC)</t>
        </is>
      </c>
      <c r="AD326" s="7" t="inlineStr">
        <is>
          <t>66</t>
        </is>
      </c>
      <c r="AE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13" t="inlineStr">
        <is>
          <t>P-10 &gt; COLUMBIA Class Submarine &gt; ORDNANCE SWS SHIPBOARD SYSTEMS (11) - ECONOMIC ORDER QUANTITY - SSBN 828</t>
        </is>
      </c>
      <c r="AD327" s="7" t="inlineStr">
        <is>
          <t>66</t>
        </is>
      </c>
      <c r="AE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13" t="inlineStr">
        <is>
          <t>P-10 &gt; COLUMBIA Class Submarine &gt; ORDNANCE SWS SHIPBOARD SYSTEMS (11) - ECONOMIC ORDER QUANTITY - SSBN 829</t>
        </is>
      </c>
      <c r="AD328" s="7" t="inlineStr">
        <is>
          <t>66</t>
        </is>
      </c>
      <c r="AE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13" t="inlineStr">
        <is>
          <t>P-10 &gt; COLUMBIA Class Submarine &gt; ORDNANCE SWS SHIPBOARD SYSTEMS (11) - ECONOMIC ORDER QUANTITY - SSBN 830</t>
        </is>
      </c>
      <c r="AD329" s="7" t="inlineStr">
        <is>
          <t>66</t>
        </is>
      </c>
      <c r="AE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13" t="inlineStr">
        <is>
          <t>P-10 &gt; COLUMBIA Class Submarine &gt; ORDNANCE SWS SHIPBOARD SYSTEMS (11) - ECONOMIC ORDER QUANTITY - SSBN 831</t>
        </is>
      </c>
      <c r="AD330" s="7" t="inlineStr">
        <is>
          <t>66</t>
        </is>
      </c>
      <c r="AE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13" t="inlineStr">
        <is>
          <t>P-10 &gt; COLUMBIA Class Submarine &gt; ORDNANCE SWS SHIPBOARD SYSTEMS (11) - ECONOMIC ORDER QUANTITY - SSBN 832</t>
        </is>
      </c>
      <c r="AD331" s="7" t="inlineStr">
        <is>
          <t>66</t>
        </is>
      </c>
      <c r="AE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13" t="inlineStr">
        <is>
          <t>P-10 &gt; COLUMBIA Class Submarine &gt; ORDNANCE SWS SHIPBOARD SYSTEMS (11) - ECONOMIC ORDER QUANTITY - SSBN 833</t>
        </is>
      </c>
      <c r="AD332" s="7" t="inlineStr">
        <is>
          <t>66</t>
        </is>
      </c>
      <c r="AE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13" t="inlineStr">
        <is>
          <t>P-10 &gt; COLUMBIA Class Submarine &gt; ORDNANCE SWS SHIPBOARD SYSTEMS (11) - ECONOMIC ORDER QUANTITY - SSBN 834</t>
        </is>
      </c>
      <c r="AD333" s="7" t="inlineStr">
        <is>
          <t>66</t>
        </is>
      </c>
      <c r="AE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13" t="inlineStr">
        <is>
          <t>P-10 &gt; COLUMBIA Class Submarine &gt; ORDNANCE SWS SHIPBOARD SYSTEMS (11) - ECONOMIC ORDER QUANTITY - SSBN 835</t>
        </is>
      </c>
      <c r="AD334" s="7" t="inlineStr">
        <is>
          <t>66</t>
        </is>
      </c>
      <c r="AE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13" t="inlineStr">
        <is>
          <t>P-10 &gt; COLUMBIA Class Submarine &gt; ORDNANCE SWS SHIPBOARD SYSTEMS (11) - ECONOMIC ORDER QUANTITY - SSBN 836</t>
        </is>
      </c>
      <c r="AD335" s="7" t="inlineStr">
        <is>
          <t>66</t>
        </is>
      </c>
      <c r="AE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13" t="inlineStr">
        <is>
          <t>P-10 &gt; COLUMBIA Class Submarine &gt; ORDNANCE SWS SHIPBOARD SYSTEMS (11) - ECONOMIC ORDER QUANTITY - SSBN 837</t>
        </is>
      </c>
      <c r="AD336" s="7" t="inlineStr">
        <is>
          <t>66</t>
        </is>
      </c>
      <c r="AE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13" t="inlineStr">
        <is>
          <t>P-10 &gt; COLUMBIA Class Submarine &gt; ORDNANCE SWS SHIPBOARD SYSTEMS (12) - CONTINUOUS PRODUCTION - SSBN 829</t>
        </is>
      </c>
      <c r="AD337" s="7" t="inlineStr">
        <is>
          <t>66</t>
        </is>
      </c>
      <c r="AE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13" t="inlineStr">
        <is>
          <t>P-10 &gt; COLUMBIA Class Submarine &gt; ORDNANCE SWS SHIPBOARD SYSTEMS (12) - CONTINUOUS PRODUCTION - SSBN 830</t>
        </is>
      </c>
      <c r="AD338" s="7" t="inlineStr">
        <is>
          <t>66</t>
        </is>
      </c>
      <c r="AE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13" t="inlineStr">
        <is>
          <t>P-10 &gt; COLUMBIA Class Submarine &gt; ORDNANCE SWS SHIPBOARD SYSTEMS (12) - CONTINUOUS PRODUCTION - SSBN 831</t>
        </is>
      </c>
      <c r="AD339" s="7" t="inlineStr">
        <is>
          <t>66</t>
        </is>
      </c>
      <c r="AE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13" t="inlineStr">
        <is>
          <t>P-10 &gt; COLUMBIA Class Submarine &gt; SSBN 832</t>
        </is>
      </c>
      <c r="AD340" s="7" t="inlineStr">
        <is>
          <t>67</t>
        </is>
      </c>
      <c r="AE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13" t="inlineStr">
        <is>
          <t>P-10 &gt; COLUMBIA Class Submarine &gt; SSBN 833</t>
        </is>
      </c>
      <c r="AD341" s="7" t="inlineStr">
        <is>
          <t>67</t>
        </is>
      </c>
      <c r="AE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13" t="inlineStr">
        <is>
          <t>P-10 &gt; COLUMBIA Class Submarine &gt; SSBN 834</t>
        </is>
      </c>
      <c r="AD342" s="7" t="inlineStr">
        <is>
          <t>67</t>
        </is>
      </c>
      <c r="AE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13" t="inlineStr">
        <is>
          <t>P-10 &gt; COLUMBIA Class Submarine &gt; SSBN 835</t>
        </is>
      </c>
      <c r="AD343" s="7" t="inlineStr">
        <is>
          <t>67</t>
        </is>
      </c>
      <c r="AE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13" t="inlineStr">
        <is>
          <t>P-10 &gt; COLUMBIA Class Submarine &gt; ELECTRONICS (13) - SSBN 828</t>
        </is>
      </c>
      <c r="AD344" s="7" t="inlineStr">
        <is>
          <t>67</t>
        </is>
      </c>
      <c r="AE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13" t="inlineStr">
        <is>
          <t>P-10 &gt; COLUMBIA Class Submarine &gt; ELECTRONICS (13) - SSBN 829</t>
        </is>
      </c>
      <c r="AD345" s="7" t="inlineStr">
        <is>
          <t>67</t>
        </is>
      </c>
      <c r="AE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13" t="inlineStr">
        <is>
          <t>P-10 &gt; COLUMBIA Class Submarine &gt; ELECTRONICS (13) - SSBN 829</t>
        </is>
      </c>
      <c r="AD346" s="7" t="inlineStr">
        <is>
          <t>67</t>
        </is>
      </c>
      <c r="AE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13" t="inlineStr">
        <is>
          <t>P-10 &gt; COLUMBIA Class Submarine &gt; ELECTRONICS (13) - SSBN 830</t>
        </is>
      </c>
      <c r="AD347" s="7" t="inlineStr">
        <is>
          <t>67</t>
        </is>
      </c>
      <c r="AE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13" t="inlineStr">
        <is>
          <t>P-5c &gt; Carrier Replacement Program &gt; Plan Costs</t>
        </is>
      </c>
      <c r="AD348" s="7" t="inlineStr">
        <is>
          <t>75</t>
        </is>
      </c>
      <c r="AE348" s="7" t="inlineStr">
        <is>
          <t>2001</t>
        </is>
      </c>
      <c r="AG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13" t="inlineStr">
        <is>
          <t>P-5c &gt; Carrier Replacement Program &gt; Basic Construction</t>
        </is>
      </c>
      <c r="AD349" s="7" t="inlineStr">
        <is>
          <t>75</t>
        </is>
      </c>
      <c r="AE349" s="7" t="inlineStr">
        <is>
          <t>2001</t>
        </is>
      </c>
      <c r="AG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13" t="inlineStr">
        <is>
          <t>P-5c &gt; Carrier Replacement Program &gt; Change Orders</t>
        </is>
      </c>
      <c r="AD350" s="7" t="inlineStr">
        <is>
          <t>75</t>
        </is>
      </c>
      <c r="AE350" s="7" t="inlineStr">
        <is>
          <t>2001</t>
        </is>
      </c>
      <c r="AG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13" t="inlineStr">
        <is>
          <t>P-5c &gt; Carrier Replacement Program &gt; Electronics</t>
        </is>
      </c>
      <c r="AD351" s="7" t="inlineStr">
        <is>
          <t>75</t>
        </is>
      </c>
      <c r="AE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13" t="inlineStr">
        <is>
          <t>P-5c &gt; Carrier Replacement Program &gt; Propulsion Equipment</t>
        </is>
      </c>
      <c r="AD352" s="7" t="inlineStr">
        <is>
          <t>75</t>
        </is>
      </c>
      <c r="AE352" s="7" t="inlineStr">
        <is>
          <t>2001</t>
        </is>
      </c>
      <c r="AG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13" t="inlineStr">
        <is>
          <t>P-5c &gt; Carrier Replacement Program &gt; Hull, Mechanical, and Electrical</t>
        </is>
      </c>
      <c r="AD353" s="7" t="inlineStr">
        <is>
          <t>75</t>
        </is>
      </c>
      <c r="AE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13" t="inlineStr">
        <is>
          <t>P-5c &gt; Carrier Replacement Program &gt; Ordnance</t>
        </is>
      </c>
      <c r="AD354" s="7" t="inlineStr">
        <is>
          <t>75</t>
        </is>
      </c>
      <c r="AE354" s="7" t="inlineStr">
        <is>
          <t>2001</t>
        </is>
      </c>
      <c r="AG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13" t="inlineStr">
        <is>
          <t>P-5c &gt; Carrier Replacement Program &gt; Other Cost</t>
        </is>
      </c>
      <c r="AD355" s="7" t="inlineStr">
        <is>
          <t>75</t>
        </is>
      </c>
      <c r="AE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13" t="inlineStr">
        <is>
          <t>P-8a &gt; Carrier Replacement Program &gt; Electronics &gt; CONSOLIDATED AFLOAT NETWORK AND ENTERPRISE SERVICES (CANES) 1</t>
        </is>
      </c>
      <c r="AD356" s="7" t="inlineStr">
        <is>
          <t>78</t>
        </is>
      </c>
      <c r="AE356" s="7" t="inlineStr">
        <is>
          <t>2001</t>
        </is>
      </c>
      <c r="AG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13" t="inlineStr">
        <is>
          <t>P-8a &gt; Carrier Replacement Program &gt; Electronics &gt; AN/USG-2, COOPERATIVE ENGAGEMENT CAPABILITY (CEC) 1</t>
        </is>
      </c>
      <c r="AD357" s="7" t="inlineStr">
        <is>
          <t>78</t>
        </is>
      </c>
      <c r="AE357" s="7" t="inlineStr">
        <is>
          <t>2001</t>
        </is>
      </c>
      <c r="AG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13" t="inlineStr">
        <is>
          <t>P-8a &gt; Carrier Replacement Program &gt; Electronics &gt; FREQUENCY LINE OF SIGHT (EHF/VHF LOS) SAT 1</t>
        </is>
      </c>
      <c r="AD358" s="7" t="inlineStr">
        <is>
          <t>78</t>
        </is>
      </c>
      <c r="AE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13" t="inlineStr">
        <is>
          <t>P-8a &gt; Carrier Replacement Program &gt; Electronics &gt; AN/UPX-29(V), INTERROGATOR FRIEND OR FOE (IFF) W/MK XII 1</t>
        </is>
      </c>
      <c r="AD359" s="7" t="inlineStr">
        <is>
          <t>78</t>
        </is>
      </c>
      <c r="AE359" s="7" t="inlineStr">
        <is>
          <t>2001</t>
        </is>
      </c>
      <c r="AG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13" t="inlineStr">
        <is>
          <t>P-8a &gt; Carrier Replacement Program &gt; Electronics &gt; SPN-46, AUTOMATIC CARRIER LANDING SYSTEM 1</t>
        </is>
      </c>
      <c r="AD360" s="7" t="inlineStr">
        <is>
          <t>78</t>
        </is>
      </c>
      <c r="AE360" s="7" t="inlineStr">
        <is>
          <t>2001</t>
        </is>
      </c>
      <c r="AG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13" t="inlineStr">
        <is>
          <t>P-8a &gt; Carrier Replacement Program &gt; Electronics &gt; SHIP SELF DEFENSE SYSTEM (SSDS) 1</t>
        </is>
      </c>
      <c r="AD361" s="7" t="inlineStr">
        <is>
          <t>78</t>
        </is>
      </c>
      <c r="AE361" s="7" t="inlineStr">
        <is>
          <t>2001</t>
        </is>
      </c>
      <c r="AG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13" t="inlineStr">
        <is>
          <t>P-8a &gt; Carrier Replacement Program &gt; Electronics &gt; AN/SYY-1(V)1 AIR TRAFFIC CONTROL SYSTEM, SHIPBOARD 1</t>
        </is>
      </c>
      <c r="AD362" s="7" t="inlineStr">
        <is>
          <t>78</t>
        </is>
      </c>
      <c r="AE362" s="7" t="inlineStr">
        <is>
          <t>2001</t>
        </is>
      </c>
      <c r="AG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13" t="inlineStr">
        <is>
          <t>P-8a &gt; Carrier Replacement Program &gt; Electronics &gt; NAVY MULTI-BAND TERMINAL (NMT) 1</t>
        </is>
      </c>
      <c r="AD363" s="7" t="inlineStr">
        <is>
          <t>78</t>
        </is>
      </c>
      <c r="AE363" s="7" t="inlineStr">
        <is>
          <t>2001</t>
        </is>
      </c>
      <c r="AG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13" t="inlineStr">
        <is>
          <t>P-8a &gt; Carrier Replacement Program &gt; Electronics &gt; SEWIP) BLOCK 2 1</t>
        </is>
      </c>
      <c r="AD364" s="7" t="inlineStr">
        <is>
          <t>78</t>
        </is>
      </c>
      <c r="AE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13" t="inlineStr">
        <is>
          <t>P-8a &gt; Carrier Replacement Program &gt; Electronics &gt; AN/SSQ-130(V)8, SHIP'S SIGNAL EXPLOITATION EQUIPMENT INCREMENT F 1</t>
        </is>
      </c>
      <c r="AD365" s="7" t="inlineStr">
        <is>
          <t>78</t>
        </is>
      </c>
      <c r="AE365" s="7" t="inlineStr">
        <is>
          <t>2001</t>
        </is>
      </c>
      <c r="AG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13" t="inlineStr">
        <is>
          <t>P-8a &gt; Carrier Replacement Program &gt; Electronics &gt; AN/SRC-66 (V)3 HFDAG 1</t>
        </is>
      </c>
      <c r="AD366" s="7" t="inlineStr">
        <is>
          <t>78</t>
        </is>
      </c>
      <c r="AE366" s="7" t="inlineStr">
        <is>
          <t>2001</t>
        </is>
      </c>
      <c r="AG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13" t="inlineStr">
        <is>
          <t>P-8a &gt; Carrier Replacement Program &gt; Electronics &gt; AN/USN-3(V)1 SATELLITE SIGNAL LANDING SYSTEM (SSLS) 1</t>
        </is>
      </c>
      <c r="AD367" s="7" t="inlineStr">
        <is>
          <t>78</t>
        </is>
      </c>
      <c r="AE367" s="7" t="inlineStr">
        <is>
          <t>2001</t>
        </is>
      </c>
      <c r="AG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13" t="inlineStr">
        <is>
          <t>P-8a &gt; Carrier Replacement Program &gt; Electronics &gt; ELECTRONIC CONSOLIDATED AUTOMATED SUPPORT SYSTEM (eCASS) 1</t>
        </is>
      </c>
      <c r="AD368" s="7" t="inlineStr">
        <is>
          <t>78</t>
        </is>
      </c>
      <c r="AE368" s="7" t="inlineStr">
        <is>
          <t>2001</t>
        </is>
      </c>
      <c r="AG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13" t="inlineStr">
        <is>
          <t>P-8a &gt; Carrier Replacement Program &gt; Electronics &gt; OA-9277 ULTRA HIGH FREQUENCY (UHF) MULTICOUPLER 0 - 1</t>
        </is>
      </c>
      <c r="AD369" s="7" t="inlineStr">
        <is>
          <t>78</t>
        </is>
      </c>
      <c r="AE369" s="7" t="inlineStr">
        <is>
          <t>2001</t>
        </is>
      </c>
      <c r="AG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13" t="inlineStr">
        <is>
          <t>P-8a &gt; Carrier Replacement Program &gt; Electronics &gt; AN/USQ-214(V)1, NETWORK TACTICAL COMMON DATA LINK (NTCDL) SYSTEM 0 - 1</t>
        </is>
      </c>
      <c r="AD370" s="7" t="inlineStr">
        <is>
          <t>78</t>
        </is>
      </c>
      <c r="AE370" s="7" t="inlineStr">
        <is>
          <t>2001</t>
        </is>
      </c>
      <c r="AG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13" t="inlineStr">
        <is>
          <t>P-8a &gt; Carrier Replacement Program &gt; Electronics &gt; RING LASER GYRO NAVIGATOR (RLGN) AN/WSN-12(V)1 0 - 1</t>
        </is>
      </c>
      <c r="AD371" s="7" t="inlineStr">
        <is>
          <t>78</t>
        </is>
      </c>
      <c r="AE371" s="7" t="inlineStr">
        <is>
          <t>2001</t>
        </is>
      </c>
      <c r="AG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13" t="inlineStr">
        <is>
          <t>P-8a &gt; Carrier Replacement Program &gt; Electronics &gt; MK 53 MOD 15 DECOY LAUNCHING SYSTEM 0 - 1</t>
        </is>
      </c>
      <c r="AD372" s="7" t="inlineStr">
        <is>
          <t>78</t>
        </is>
      </c>
      <c r="AE372" s="7" t="inlineStr">
        <is>
          <t>2001</t>
        </is>
      </c>
      <c r="AG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13" t="inlineStr">
        <is>
          <t>P-8a &gt; Carrier Replacement Program &gt; Electronics &gt; I-STALKER 0 - 1</t>
        </is>
      </c>
      <c r="AD373" s="7" t="inlineStr">
        <is>
          <t>78</t>
        </is>
      </c>
      <c r="AE373" s="7" t="inlineStr">
        <is>
          <t>2001</t>
        </is>
      </c>
      <c r="AG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13" t="inlineStr">
        <is>
          <t>P-8a &gt; Carrier Replacement Program &gt; Electronics &gt; AN/USQ-155(V)1 TACTICAL VARIANT SWITCH 1</t>
        </is>
      </c>
      <c r="AD374" s="7" t="inlineStr">
        <is>
          <t>78</t>
        </is>
      </c>
      <c r="AE374" s="7" t="inlineStr">
        <is>
          <t>2001</t>
        </is>
      </c>
      <c r="AG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13" t="inlineStr">
        <is>
          <t>P-8a &gt; Carrier Replacement Program &gt; Electronics &gt; INFORMATION ASSURANCE (IA)</t>
        </is>
      </c>
      <c r="AD375" s="7" t="inlineStr">
        <is>
          <t>78</t>
        </is>
      </c>
      <c r="AE375" s="7" t="inlineStr">
        <is>
          <t>2001</t>
        </is>
      </c>
      <c r="AG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13" t="inlineStr">
        <is>
          <t>P-8a &gt; Carrier Replacement Program &gt; Electronics &gt; MIDS)-ON SHIP (MOS) 1</t>
        </is>
      </c>
      <c r="AD376" s="7" t="inlineStr">
        <is>
          <t>78</t>
        </is>
      </c>
      <c r="AE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13" t="inlineStr">
        <is>
          <t>P-8a &gt; Carrier Replacement Program &gt; Electronics &gt; AN/SLQ-25E DUAL, SURFACE SHIP TORPEDO DEFENSE SYSTEM, NIXIE 1</t>
        </is>
      </c>
      <c r="AD377" s="7" t="inlineStr">
        <is>
          <t>78</t>
        </is>
      </c>
      <c r="AE377" s="7" t="inlineStr">
        <is>
          <t>2001</t>
        </is>
      </c>
      <c r="AG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13" t="inlineStr">
        <is>
          <t>P-8a &gt; Carrier Replacement Program &gt; Electronics &gt; SHIPBOARD AIR TRAFFIC CONTROL COMMUNICATIONS (SATCC) 1</t>
        </is>
      </c>
      <c r="AD378" s="7" t="inlineStr">
        <is>
          <t>78</t>
        </is>
      </c>
      <c r="AE378" s="7" t="inlineStr">
        <is>
          <t>2001</t>
        </is>
      </c>
      <c r="AG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13" t="inlineStr">
        <is>
          <t>P-8a &gt; Carrier Replacement Program &gt; Electronics &gt; AN/WSN-7(V)3, RING LASER GYRO NAVIGATOR (RLGN) 1</t>
        </is>
      </c>
      <c r="AD379" s="7" t="inlineStr">
        <is>
          <t>78</t>
        </is>
      </c>
      <c r="AE379" s="7" t="inlineStr">
        <is>
          <t>2001</t>
        </is>
      </c>
      <c r="AG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13" t="inlineStr">
        <is>
          <t>P-8a &gt; Carrier Replacement Program &gt; Electronics &gt; DISTRIBUTED SYSTEMS DESIGN INTEGRATION SERVICES 1</t>
        </is>
      </c>
      <c r="AD380" s="7" t="inlineStr">
        <is>
          <t>78</t>
        </is>
      </c>
      <c r="AE380" s="7" t="inlineStr">
        <is>
          <t>2001</t>
        </is>
      </c>
      <c r="AG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13" t="inlineStr">
        <is>
          <t>P-8a &gt; Carrier Replacement Program &gt; Electronics &gt; C4I INTEGRATION &amp; COORDINATION</t>
        </is>
      </c>
      <c r="AD381" s="7" t="inlineStr">
        <is>
          <t>78</t>
        </is>
      </c>
      <c r="AE381" s="7" t="inlineStr">
        <is>
          <t>2001</t>
        </is>
      </c>
      <c r="AG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13" t="inlineStr">
        <is>
          <t>P-8a &gt; Carrier Replacement Program &gt; Electronics &gt; DISTRIBUTED COMMON GROUND STATION - NAVY (DCGS-N) 1</t>
        </is>
      </c>
      <c r="AD382" s="7" t="inlineStr">
        <is>
          <t>78</t>
        </is>
      </c>
      <c r="AE382" s="7" t="inlineStr">
        <is>
          <t>2001</t>
        </is>
      </c>
      <c r="AG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13" t="inlineStr">
        <is>
          <t>P-8a &gt; Carrier Replacement Program &gt; Electronics &gt; AN/USQ-144 AUTOMATED DIGITAL NETWORK SYSTEM (ADNS) 1</t>
        </is>
      </c>
      <c r="AD383" s="7" t="inlineStr">
        <is>
          <t>78</t>
        </is>
      </c>
      <c r="AE383" s="7" t="inlineStr">
        <is>
          <t>2001</t>
        </is>
      </c>
      <c r="AG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13" t="inlineStr">
        <is>
          <t>P-8a &gt; Carrier Replacement Program &gt; Electronics &gt; AN/UYQ-120(V)1 COMMAND &amp; CONTROL PROCESSOR SYSTEM (C2PS) 1</t>
        </is>
      </c>
      <c r="AD384" s="7" t="inlineStr">
        <is>
          <t>78</t>
        </is>
      </c>
      <c r="AE384" s="7" t="inlineStr">
        <is>
          <t>2001</t>
        </is>
      </c>
      <c r="AG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13" t="inlineStr">
        <is>
          <t>P-8a &gt; Carrier Replacement Program &gt; Electronics &gt; OA-9277 ULTRA HIGH FREQUENCY (UHF) MULTICOUPLER 1</t>
        </is>
      </c>
      <c r="AD385" s="7" t="inlineStr">
        <is>
          <t>79</t>
        </is>
      </c>
      <c r="AE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13" t="inlineStr">
        <is>
          <t>P-8a &gt; Carrier Replacement Program &gt; Electronics &gt; SIGNAL OFFICER (LSO) SYSTEM 1</t>
        </is>
      </c>
      <c r="AD386" s="7" t="inlineStr">
        <is>
          <t>79</t>
        </is>
      </c>
      <c r="AE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13" t="inlineStr">
        <is>
          <t>P-8a &gt; Carrier Replacement Program &gt; Electronics &gt; WARFARE SYSTEM INTEGRATION</t>
        </is>
      </c>
      <c r="AD387" s="7" t="inlineStr">
        <is>
          <t>79</t>
        </is>
      </c>
      <c r="AE387" s="7" t="inlineStr">
        <is>
          <t>2001</t>
        </is>
      </c>
      <c r="AG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13" t="inlineStr">
        <is>
          <t>P-8a &gt; Carrier Replacement Program &gt; Electronics &gt; CBSP-FLV) 2</t>
        </is>
      </c>
      <c r="AD388" s="7" t="inlineStr">
        <is>
          <t>79</t>
        </is>
      </c>
      <c r="AE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13" t="inlineStr">
        <is>
          <t>P-8a &gt; Carrier Replacement Program &gt; Electronics &gt; AN/SSN-6(V)X BLOCK 4, NAVIGATION SENSOR SYSTEM INTERFACE (NAVSSI) 1</t>
        </is>
      </c>
      <c r="AD389" s="7" t="inlineStr">
        <is>
          <t>79</t>
        </is>
      </c>
      <c r="AE389" s="7" t="inlineStr">
        <is>
          <t>2001</t>
        </is>
      </c>
      <c r="AG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13" t="inlineStr">
        <is>
          <t>P-8a &gt; Carrier Replacement Program &gt; Electronics &gt; GLOBAL POSITIONING SYSTEM, NAVIGATION, AND TIMING SERVICE (GPNTS) 0 - 1</t>
        </is>
      </c>
      <c r="AD390" s="7" t="inlineStr">
        <is>
          <t>79</t>
        </is>
      </c>
      <c r="AE390" s="7" t="inlineStr">
        <is>
          <t>2001</t>
        </is>
      </c>
      <c r="AG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13" t="inlineStr">
        <is>
          <t>P-8a &gt; Carrier Replacement Program &gt; Electronics &gt; INTEGRATED STRIKE PLANNING &amp; EXECUTION SYSTEMS (ISP&amp;E) 1</t>
        </is>
      </c>
      <c r="AD391" s="7" t="inlineStr">
        <is>
          <t>79</t>
        </is>
      </c>
      <c r="AE391" s="7" t="inlineStr">
        <is>
          <t>2001</t>
        </is>
      </c>
      <c r="AG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13" t="inlineStr">
        <is>
          <t>P-8a &gt; Carrier Replacement Program &gt; Electronics &gt; AN/USQ-123(V), COMMUNICATIONS DATA LINK-SYSTEM (CDL-S) 1</t>
        </is>
      </c>
      <c r="AD392" s="7" t="inlineStr">
        <is>
          <t>79</t>
        </is>
      </c>
      <c r="AE392" s="7" t="inlineStr">
        <is>
          <t>2001</t>
        </is>
      </c>
      <c r="AG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13" t="inlineStr">
        <is>
          <t>P-8a &gt; Carrier Replacement Program &gt; Electronics &gt; AN/SPN-41 (V), INSTRUMENT LANDING SYSTEM (ILS) 1</t>
        </is>
      </c>
      <c r="AD393" s="7" t="inlineStr">
        <is>
          <t>79</t>
        </is>
      </c>
      <c r="AE393" s="7" t="inlineStr">
        <is>
          <t>2001</t>
        </is>
      </c>
      <c r="AG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13" t="inlineStr">
        <is>
          <t>P-8a &gt; Carrier Replacement Program &gt; Electronics &gt; SHIP SIGNAL EXPLOITATION SPACE (SSES/SI) COMMUNICATIONS 1</t>
        </is>
      </c>
      <c r="AD394" s="7" t="inlineStr">
        <is>
          <t>79</t>
        </is>
      </c>
      <c r="AE394" s="7" t="inlineStr">
        <is>
          <t>2001</t>
        </is>
      </c>
      <c r="AG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13" t="inlineStr">
        <is>
          <t>P-8a &gt; Carrier Replacement Program &gt; Electronics &gt; TURNKEY RADIO COMMUNICATIONS SYSTEM (RCS) 1</t>
        </is>
      </c>
      <c r="AD395" s="7" t="inlineStr">
        <is>
          <t>79</t>
        </is>
      </c>
      <c r="AE395" s="7" t="inlineStr">
        <is>
          <t>2001</t>
        </is>
      </c>
      <c r="AG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13" t="inlineStr">
        <is>
          <t>P-8a &gt; Carrier Replacement Program &gt; Electronics &gt; ATD) 1</t>
        </is>
      </c>
      <c r="AD396" s="7" t="inlineStr">
        <is>
          <t>79</t>
        </is>
      </c>
      <c r="AE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13" t="inlineStr">
        <is>
          <t>P-8a &gt; Carrier Replacement Program &gt; Electronics &gt; AN/SPS-73(V)18 NEXT GENERATION SURFACE SEARCH RADAR (NGSSR) 0 - 1</t>
        </is>
      </c>
      <c r="AD397" s="7" t="inlineStr">
        <is>
          <t>79</t>
        </is>
      </c>
      <c r="AE397" s="7" t="inlineStr">
        <is>
          <t>2001</t>
        </is>
      </c>
      <c r="AG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13" t="inlineStr">
        <is>
          <t>P-8a &gt; Carrier Replacement Program &gt; Electronics &gt; READY ROOM (JSF) MODIFICATIONS</t>
        </is>
      </c>
      <c r="AD398" s="7" t="inlineStr">
        <is>
          <t>79</t>
        </is>
      </c>
      <c r="AE398" s="7" t="inlineStr">
        <is>
          <t>2001</t>
        </is>
      </c>
      <c r="AG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13" t="inlineStr">
        <is>
          <t>P-8a &gt; Carrier Replacement Program &gt; Electronics &gt; LITHIUM ION BATTERY HANDLING &amp; STORAGE</t>
        </is>
      </c>
      <c r="AD399" s="7" t="inlineStr">
        <is>
          <t>79</t>
        </is>
      </c>
      <c r="AE399" s="7" t="inlineStr">
        <is>
          <t>2001</t>
        </is>
      </c>
      <c r="AG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13" t="inlineStr">
        <is>
          <t>P-8a &gt; Carrier Replacement Program &gt; Electronics &gt; OE-570G SATELLITE ANTENNA 0 - 1</t>
        </is>
      </c>
      <c r="AD400" s="7" t="inlineStr">
        <is>
          <t>79</t>
        </is>
      </c>
      <c r="AE400" s="7" t="inlineStr">
        <is>
          <t>2001</t>
        </is>
      </c>
      <c r="AG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13" t="inlineStr">
        <is>
          <t>P-8a &gt; Carrier Replacement Program &gt; Electronics &gt; ELECTRONIC CHART DISPLAY AND INFORMATION SYSTEM, NAVY (ECDIS-N) 0 - 1</t>
        </is>
      </c>
      <c r="AD401" s="7" t="inlineStr">
        <is>
          <t>79</t>
        </is>
      </c>
      <c r="AE401" s="7" t="inlineStr">
        <is>
          <t>2001</t>
        </is>
      </c>
      <c r="AG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13" t="inlineStr">
        <is>
          <t>P-8a &gt; Carrier Replacement Program &gt; Electronics &gt; I-STALKER 1</t>
        </is>
      </c>
      <c r="AD402" s="7" t="inlineStr">
        <is>
          <t>79</t>
        </is>
      </c>
      <c r="AE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13" t="inlineStr">
        <is>
          <t>P-8a &gt; Carrier Replacement Program &gt; Electronics &gt; ENVIRONMENTAL SATELLITE RECEIVER PROGRAM (ESRP) 0 - 1</t>
        </is>
      </c>
      <c r="AD403" s="7" t="inlineStr">
        <is>
          <t>79</t>
        </is>
      </c>
      <c r="AE403" s="7" t="inlineStr">
        <is>
          <t>2001</t>
        </is>
      </c>
      <c r="AG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13" t="inlineStr">
        <is>
          <t>P-8a &gt; Carrier Replacement Program &gt; Electronics &gt; EQUIPMENT (DTEE) 0 - 1</t>
        </is>
      </c>
      <c r="AD404" s="7" t="inlineStr">
        <is>
          <t>79</t>
        </is>
      </c>
      <c r="AE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13" t="inlineStr">
        <is>
          <t>P-8a &gt; Carrier Replacement Program &gt; Electronics &gt; Other ELECTRONICS</t>
        </is>
      </c>
      <c r="AD405" s="7" t="inlineStr">
        <is>
          <t>79</t>
        </is>
      </c>
      <c r="AE405" s="7" t="inlineStr">
        <is>
          <t>2001</t>
        </is>
      </c>
      <c r="AG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13" t="inlineStr">
        <is>
          <t>P-8a &gt; Carrier Replacement Program &gt;  &gt; Increase of $</t>
        </is>
      </c>
      <c r="AD406" s="7" t="inlineStr">
        <is>
          <t>80</t>
        </is>
      </c>
      <c r="AE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13" t="inlineStr">
        <is>
          <t>P-8a &gt; Carrier Replacement Program &gt;  &gt; Decrease from the FY 2025 budget submission due to FY 2024 enacted Congressional Reduction of ($</t>
        </is>
      </c>
      <c r="AD407" s="7" t="inlineStr">
        <is>
          <t>80</t>
        </is>
      </c>
      <c r="AE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13" t="inlineStr">
        <is>
          <t>P-8a &gt; Carrier Replacement Program &gt; Hull, Mechanical, and Electrical &gt; HM&amp;E ENGINEERING SERVICES</t>
        </is>
      </c>
      <c r="AD408" s="7" t="inlineStr">
        <is>
          <t>81</t>
        </is>
      </c>
      <c r="AE408" s="7" t="inlineStr">
        <is>
          <t>2001</t>
        </is>
      </c>
      <c r="AG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13" t="inlineStr">
        <is>
          <t>P-8a &gt; Carrier Replacement Program &gt; Hull, Mechanical, and Electrical &gt; LIFE RAFTS</t>
        </is>
      </c>
      <c r="AD409" s="7" t="inlineStr">
        <is>
          <t>81</t>
        </is>
      </c>
      <c r="AE409" s="7" t="inlineStr">
        <is>
          <t>2001</t>
        </is>
      </c>
      <c r="AG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13" t="inlineStr">
        <is>
          <t>P-8a &gt; Carrier Replacement Program &gt; Hull, Mechanical, and Electrical &gt; SUPSHIP MATERIAL AND GFE</t>
        </is>
      </c>
      <c r="AD410" s="7" t="inlineStr">
        <is>
          <t>81</t>
        </is>
      </c>
      <c r="AE410" s="7" t="inlineStr">
        <is>
          <t>2001</t>
        </is>
      </c>
      <c r="AG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13" t="inlineStr">
        <is>
          <t>P-8a &gt; Carrier Replacement Program &gt; Hull, Mechanical, and Electrical &gt; TRUCKS (FORKLIFTS) -</t>
        </is>
      </c>
      <c r="AD411" s="7" t="inlineStr">
        <is>
          <t>81</t>
        </is>
      </c>
      <c r="AE411" s="7" t="inlineStr">
        <is>
          <t>2001</t>
        </is>
      </c>
      <c r="AG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13" t="inlineStr">
        <is>
          <t>P-8a &gt; Carrier Replacement Program &gt; Hull, Mechanical, and Electrical &gt; Other HM&amp;E</t>
        </is>
      </c>
      <c r="AD412" s="7" t="inlineStr">
        <is>
          <t>81</t>
        </is>
      </c>
      <c r="AE412" s="7" t="inlineStr">
        <is>
          <t>2001</t>
        </is>
      </c>
      <c r="AG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13" t="inlineStr">
        <is>
          <t>P-8a &gt; Carrier Replacement Program &gt; Ordnance &gt; ELECTROMAGNETIC AIRCRAFT LAUNCHING SYSTEM (EMALS) 1</t>
        </is>
      </c>
      <c r="AD413" s="7" t="inlineStr">
        <is>
          <t>82</t>
        </is>
      </c>
      <c r="AE413" s="7" t="inlineStr">
        <is>
          <t>2001</t>
        </is>
      </c>
      <c r="AG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13" t="inlineStr">
        <is>
          <t>P-8a &gt; Carrier Replacement Program &gt; Ordnance &gt; AN/SPY-6(V)3 ENTERPRISE AIR SURVEILLANCE RADAR (EASR) 1</t>
        </is>
      </c>
      <c r="AD414" s="7" t="inlineStr">
        <is>
          <t>82</t>
        </is>
      </c>
      <c r="AE414" s="7" t="inlineStr">
        <is>
          <t>2001</t>
        </is>
      </c>
      <c r="AG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13" t="inlineStr">
        <is>
          <t>P-8a &gt; Carrier Replacement Program &gt; Ordnance &gt; ADVANCED ARRESTING GEAR (AAG) 1</t>
        </is>
      </c>
      <c r="AD415" s="7" t="inlineStr">
        <is>
          <t>82</t>
        </is>
      </c>
      <c r="AE415" s="7" t="inlineStr">
        <is>
          <t>2001</t>
        </is>
      </c>
      <c r="AG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13" t="inlineStr">
        <is>
          <t>P-8a &gt; Carrier Replacement Program &gt; Ordnance &gt; PHALANX BLOCK 1B MK 15 MOD 21 &amp; 22, CLOSE - IN WEAPONS SYSTEM (CIWS) 3</t>
        </is>
      </c>
      <c r="AD416" s="7" t="inlineStr">
        <is>
          <t>82</t>
        </is>
      </c>
      <c r="AE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13" t="inlineStr">
        <is>
          <t>P-8a &gt; Carrier Replacement Program &gt; Ordnance &gt; AN/SQQ-34, CARRIER-TACTICAL SUPPORT CENTER (CV-TSC) 1</t>
        </is>
      </c>
      <c r="AD417" s="7" t="inlineStr">
        <is>
          <t>82</t>
        </is>
      </c>
      <c r="AE417" s="7" t="inlineStr">
        <is>
          <t>2001</t>
        </is>
      </c>
      <c r="AG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13" t="inlineStr">
        <is>
          <t>P-8a &gt; Carrier Replacement Program &gt; Ordnance &gt; MK-57 NATO SEASPARROW MISSILE SYSTEM (NSSMS) 1</t>
        </is>
      </c>
      <c r="AD418" s="7" t="inlineStr">
        <is>
          <t>82</t>
        </is>
      </c>
      <c r="AE418" s="7" t="inlineStr">
        <is>
          <t>2001</t>
        </is>
      </c>
      <c r="AG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13" t="inlineStr">
        <is>
          <t>P-8a &gt; Carrier Replacement Program &gt; Ordnance &gt; AVIATION DATA MANAGEMENT AND CONTROL SYSTEM (ADMACS) 1</t>
        </is>
      </c>
      <c r="AD419" s="7" t="inlineStr">
        <is>
          <t>82</t>
        </is>
      </c>
      <c r="AE419" s="7" t="inlineStr">
        <is>
          <t>2001</t>
        </is>
      </c>
      <c r="AG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13" t="inlineStr">
        <is>
          <t>P-8a &gt; Carrier Replacement Program &gt; Ordnance &gt; MK 49, MOD 5 ROLLING AIRFRAME MISSILE (RAM) 2</t>
        </is>
      </c>
      <c r="AD420" s="7" t="inlineStr">
        <is>
          <t>82</t>
        </is>
      </c>
      <c r="AE420" s="7" t="inlineStr">
        <is>
          <t>2001</t>
        </is>
      </c>
      <c r="AG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13" t="inlineStr">
        <is>
          <t>P-8a &gt; Carrier Replacement Program &gt; Ordnance &gt; TRACKING RADAR 1</t>
        </is>
      </c>
      <c r="AD421" s="7" t="inlineStr">
        <is>
          <t>82</t>
        </is>
      </c>
      <c r="AE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13" t="inlineStr">
        <is>
          <t>P-8a &gt; Carrier Replacement Program &gt; Ordnance &gt; IMPROVED FRESNEL LENS OPTICAL LANDING SYSTEM (IFLOLS) 0 - 1</t>
        </is>
      </c>
      <c r="AD422" s="7" t="inlineStr">
        <is>
          <t>82</t>
        </is>
      </c>
      <c r="AE422" s="7" t="inlineStr">
        <is>
          <t>2001</t>
        </is>
      </c>
      <c r="AG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13" t="inlineStr">
        <is>
          <t>P-8a &gt; Carrier Replacement Program &gt; Ordnance &gt; INTEGRATED LAUNCH AND RECOVERY TELEVISION SYSTEM (ILARTS) 0 - 1</t>
        </is>
      </c>
      <c r="AD423" s="7" t="inlineStr">
        <is>
          <t>82</t>
        </is>
      </c>
      <c r="AE423" s="7" t="inlineStr">
        <is>
          <t>2001</t>
        </is>
      </c>
      <c r="AG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13" t="inlineStr">
        <is>
          <t>P-8a &gt; Carrier Replacement Program &gt; Ordnance &gt; UNMANNED AVIATION WARFARE CENTER (UAWC) 0 - 1</t>
        </is>
      </c>
      <c r="AD424" s="7" t="inlineStr">
        <is>
          <t>82</t>
        </is>
      </c>
      <c r="AE424" s="7" t="inlineStr">
        <is>
          <t>2001</t>
        </is>
      </c>
      <c r="AG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13" t="inlineStr">
        <is>
          <t>P-8a &gt; Carrier Replacement Program &gt; Ordnance &gt; LANDING SIGNAL OFFICER DISPLAY SYSTEM (LSODS) 1</t>
        </is>
      </c>
      <c r="AD425" s="7" t="inlineStr">
        <is>
          <t>82</t>
        </is>
      </c>
      <c r="AE425" s="7" t="inlineStr">
        <is>
          <t>2001</t>
        </is>
      </c>
      <c r="AG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13" t="inlineStr">
        <is>
          <t>P-8a &gt; Carrier Replacement Program &gt; Ordnance &gt; MORIAH BLOCK 2 1</t>
        </is>
      </c>
      <c r="AD426" s="7" t="inlineStr">
        <is>
          <t>82</t>
        </is>
      </c>
      <c r="AE426" s="7" t="inlineStr">
        <is>
          <t>2001</t>
        </is>
      </c>
      <c r="AG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13" t="inlineStr">
        <is>
          <t>P-8a &gt; Carrier Replacement Program &gt; Ordnance &gt; LONG RANGE LINEUP SYSTEM (LRLS) 1</t>
        </is>
      </c>
      <c r="AD427" s="7" t="inlineStr">
        <is>
          <t>82</t>
        </is>
      </c>
      <c r="AE427" s="7" t="inlineStr">
        <is>
          <t>2001</t>
        </is>
      </c>
      <c r="AG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13" t="inlineStr">
        <is>
          <t>P-8a &gt; Carrier Replacement Program &gt; Ordnance &gt; IMPROVED FRESNEL LENS OPTICAL LANDING SYSTEM (IFLOLS) 1</t>
        </is>
      </c>
      <c r="AD428" s="7" t="inlineStr">
        <is>
          <t>82</t>
        </is>
      </c>
      <c r="AE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13" t="inlineStr">
        <is>
          <t>P-8a &gt; Carrier Replacement Program &gt; Ordnance &gt; INTEGRATED LAUNCH AND RECOVERY TELEVISION SYSTEM (ILARTS) 1</t>
        </is>
      </c>
      <c r="AD429" s="7" t="inlineStr">
        <is>
          <t>82</t>
        </is>
      </c>
      <c r="AE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13" t="inlineStr">
        <is>
          <t>P-8a &gt; Carrier Replacement Program &gt; Ordnance &gt; COMPACT SWAGING MACHINE (CSM) 2</t>
        </is>
      </c>
      <c r="AD430" s="7" t="inlineStr">
        <is>
          <t>82</t>
        </is>
      </c>
      <c r="AE430" s="7" t="inlineStr">
        <is>
          <t>2001</t>
        </is>
      </c>
      <c r="AG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13" t="inlineStr">
        <is>
          <t>P-8a &gt; Carrier Replacement Program &gt; Ordnance &gt; JOINT STRIKE FIGHTER ALIS 1</t>
        </is>
      </c>
      <c r="AD431" s="7" t="inlineStr">
        <is>
          <t>82</t>
        </is>
      </c>
      <c r="AE431" s="7" t="inlineStr">
        <is>
          <t>2001</t>
        </is>
      </c>
      <c r="AG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13" t="inlineStr">
        <is>
          <t>P-8a &gt; Carrier Replacement Program &gt; Ordnance &gt; MK-38 MOD 3 MACHINE GUN SYSTEM (MGS) 0 - 4</t>
        </is>
      </c>
      <c r="AD432" s="7" t="inlineStr">
        <is>
          <t>82</t>
        </is>
      </c>
      <c r="AE432" s="7" t="inlineStr">
        <is>
          <t>2001</t>
        </is>
      </c>
      <c r="AG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13" t="inlineStr">
        <is>
          <t>P-8a &gt; Carrier Replacement Program &gt; Ordnance &gt; MANUALLY OPERATED VISUAL LANDING AID SYSTEM (MOVLAS) 0 - 1</t>
        </is>
      </c>
      <c r="AD433" s="7" t="inlineStr">
        <is>
          <t>82</t>
        </is>
      </c>
      <c r="AE433" s="7" t="inlineStr">
        <is>
          <t>2001</t>
        </is>
      </c>
      <c r="AG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13" t="inlineStr">
        <is>
          <t>P-8a &gt; Carrier Replacement Program &gt; Ordnance &gt; CMBRE) - MAGAZINE OPERATIONS (MAGOPS) 0 - 1</t>
        </is>
      </c>
      <c r="AD434" s="7" t="inlineStr">
        <is>
          <t>82</t>
        </is>
      </c>
      <c r="AE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13" t="inlineStr">
        <is>
          <t>P-8a &gt; Carrier Replacement Program &gt; Ordnance &gt; DUAL BAND RADAR (DBR) (SPY-3 AND VOLUME SEARCH RADAR (VSR))</t>
        </is>
      </c>
      <c r="AD435" s="7" t="inlineStr">
        <is>
          <t>82</t>
        </is>
      </c>
      <c r="AE435" s="7" t="inlineStr">
        <is>
          <t>2001</t>
        </is>
      </c>
      <c r="AG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13" t="inlineStr">
        <is>
          <t>P-8a &gt; Carrier Replacement Program &gt; Ordnance &gt; Other ORDNANCE</t>
        </is>
      </c>
      <c r="AD436" s="7" t="inlineStr">
        <is>
          <t>82</t>
        </is>
      </c>
      <c r="AE436" s="7" t="inlineStr">
        <is>
          <t>2001</t>
        </is>
      </c>
      <c r="AG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13" t="inlineStr">
        <is>
          <t>P-8a &gt; Carrier Replacement Program &gt; Ordnance &gt; Ordnance: Total increase of $</t>
        </is>
      </c>
      <c r="AD437" s="7" t="inlineStr">
        <is>
          <t>83</t>
        </is>
      </c>
      <c r="AE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13" t="inlineStr">
        <is>
          <t>P-35 &gt; Carrier Replacement Program &gt; CONSOLIDATED AFLOAT NETWORK AND ENTERPRISE SERVICES (CANES) &gt; Major Hardware                                                                                                  1</t>
        </is>
      </c>
      <c r="AD438" s="7" t="inlineStr">
        <is>
          <t>84</t>
        </is>
      </c>
      <c r="AE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13" t="inlineStr">
        <is>
          <t>P-35 &gt; Carrier Replacement Program &gt; CONSOLIDATED AFLOAT NETWORK AND ENTERPRISE SERVICES (CANES) &gt; Technical Data and Documentation</t>
        </is>
      </c>
      <c r="AD439" s="7" t="inlineStr">
        <is>
          <t>84</t>
        </is>
      </c>
      <c r="AE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13" t="inlineStr">
        <is>
          <t>P-35 &gt; Carrier Replacement Program &gt; CONSOLIDATED AFLOAT NETWORK AND ENTERPRISE SERVICES (CANES) &gt; Spares</t>
        </is>
      </c>
      <c r="AD440" s="7" t="inlineStr">
        <is>
          <t>84</t>
        </is>
      </c>
      <c r="AE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13" t="inlineStr">
        <is>
          <t>P-35 &gt; Carrier Replacement Program &gt; CONSOLIDATED AFLOAT NETWORK AND ENTERPRISE SERVICES (CANES) &gt; System Engineering</t>
        </is>
      </c>
      <c r="AD441" s="7" t="inlineStr">
        <is>
          <t>84</t>
        </is>
      </c>
      <c r="AE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13" t="inlineStr">
        <is>
          <t>P-35 &gt; Carrier Replacement Program &gt; CONSOLIDATED AFLOAT NETWORK AND ENTERPRISE SERVICES (CANES) &gt; Technical Engineering Services</t>
        </is>
      </c>
      <c r="AD442" s="7" t="inlineStr">
        <is>
          <t>84</t>
        </is>
      </c>
      <c r="AE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13" t="inlineStr">
        <is>
          <t>P-35 &gt; Carrier Replacement Program &gt; CONSOLIDATED AFLOAT NETWORK AND ENTERPRISE SERVICES (CANES) &gt; Other Costs</t>
        </is>
      </c>
      <c r="AD443" s="7" t="inlineStr">
        <is>
          <t>84</t>
        </is>
      </c>
      <c r="AE443" s="7" t="inlineStr">
        <is>
          <t>2001</t>
        </is>
      </c>
      <c r="AG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13" t="inlineStr">
        <is>
          <t>P-35 &gt; Carrier Replacement Program &gt; AN/USG-2, COOPERATIVE ENGAGEMENT CAPABILITY (CEC) &gt; Major Hardware                                                                                                    1</t>
        </is>
      </c>
      <c r="AD444" s="7" t="inlineStr">
        <is>
          <t>85</t>
        </is>
      </c>
      <c r="AE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13" t="inlineStr">
        <is>
          <t>P-35 &gt; Carrier Replacement Program &gt; AN/USG-2, COOPERATIVE ENGAGEMENT CAPABILITY (CEC) &gt; Spares</t>
        </is>
      </c>
      <c r="AD445" s="7" t="inlineStr">
        <is>
          <t>85</t>
        </is>
      </c>
      <c r="AE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13" t="inlineStr">
        <is>
          <t>P-35 &gt; Carrier Replacement Program &gt; AN/USG-2, COOPERATIVE ENGAGEMENT CAPABILITY (CEC) &gt; System Engineering</t>
        </is>
      </c>
      <c r="AD446" s="7" t="inlineStr">
        <is>
          <t>85</t>
        </is>
      </c>
      <c r="AE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13" t="inlineStr">
        <is>
          <t>P-35 &gt; Carrier Replacement Program &gt; AN/USG-2, COOPERATIVE ENGAGEMENT CAPABILITY (CEC) &gt; Technical Engineering Services</t>
        </is>
      </c>
      <c r="AD447" s="7" t="inlineStr">
        <is>
          <t>85</t>
        </is>
      </c>
      <c r="AE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13" t="inlineStr">
        <is>
          <t>P-35 &gt; Carrier Replacement Program &gt; AN/USG-2, COOPERATIVE ENGAGEMENT CAPABILITY (CEC) &gt; Other Costs</t>
        </is>
      </c>
      <c r="AD448" s="7" t="inlineStr">
        <is>
          <t>85</t>
        </is>
      </c>
      <c r="AE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13" t="inlineStr">
        <is>
          <t>P-35 &gt; Carrier Replacement Program &gt; DIGITAL MODULAR RADIO (DMR) ULTRA HIGH FREQUENCY/VERY HIGH FREQUENCY LINE OF PARM Code: PMW 170 &gt; Major Hardware                                                                                          1</t>
        </is>
      </c>
      <c r="AD449" s="7" t="inlineStr">
        <is>
          <t>86</t>
        </is>
      </c>
      <c r="AE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13" t="inlineStr">
        <is>
          <t>P-35 &gt; Carrier Replacement Program &gt; DIGITAL MODULAR RADIO (DMR) ULTRA HIGH FREQUENCY/VERY HIGH FREQUENCY LINE OF PARM Code: PMW 170 &gt; Ancillary Equipment</t>
        </is>
      </c>
      <c r="AD450" s="7" t="inlineStr">
        <is>
          <t>86</t>
        </is>
      </c>
      <c r="AE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13" t="inlineStr">
        <is>
          <t>P-35 &gt; Carrier Replacement Program &gt; DIGITAL MODULAR RADIO (DMR) ULTRA HIGH FREQUENCY/VERY HIGH FREQUENCY LINE OF PARM Code: PMW 170 &gt; Spares</t>
        </is>
      </c>
      <c r="AD451" s="7" t="inlineStr">
        <is>
          <t>86</t>
        </is>
      </c>
      <c r="AE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13" t="inlineStr">
        <is>
          <t>P-35 &gt; Carrier Replacement Program &gt; DIGITAL MODULAR RADIO (DMR) ULTRA HIGH FREQUENCY/VERY HIGH FREQUENCY LINE OF PARM Code: PMW 170 &gt; System Engineering</t>
        </is>
      </c>
      <c r="AD452" s="7" t="inlineStr">
        <is>
          <t>86</t>
        </is>
      </c>
      <c r="AE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13" t="inlineStr">
        <is>
          <t>P-35 &gt; Carrier Replacement Program &gt; DIGITAL MODULAR RADIO (DMR) ULTRA HIGH FREQUENCY/VERY HIGH FREQUENCY LINE OF PARM Code: PMW 170 &gt; Technical Engineering Services</t>
        </is>
      </c>
      <c r="AD453" s="7" t="inlineStr">
        <is>
          <t>86</t>
        </is>
      </c>
      <c r="AE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13" t="inlineStr">
        <is>
          <t>P-35 &gt; Carrier Replacement Program &gt; DIGITAL MODULAR RADIO (DMR) ULTRA HIGH FREQUENCY/VERY HIGH FREQUENCY LINE OF PARM Code: PMW 170 &gt; Other Costs</t>
        </is>
      </c>
      <c r="AD454" s="7" t="inlineStr">
        <is>
          <t>86</t>
        </is>
      </c>
      <c r="AE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13" t="inlineStr">
        <is>
          <t>P-35 &gt; Carrier Replacement Program &gt; AN/UPX-29(V), INTERROGATOR FRIEND OR FOE (IFF) W/MK XII &gt; Major Hardware                                                                                                    1</t>
        </is>
      </c>
      <c r="AD455" s="7" t="inlineStr">
        <is>
          <t>87</t>
        </is>
      </c>
      <c r="AE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13" t="inlineStr">
        <is>
          <t>P-35 &gt; Carrier Replacement Program &gt; AN/UPX-29(V), INTERROGATOR FRIEND OR FOE (IFF) W/MK XII &gt; Ancillary Equipment</t>
        </is>
      </c>
      <c r="AD456" s="7" t="inlineStr">
        <is>
          <t>87</t>
        </is>
      </c>
      <c r="AE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13" t="inlineStr">
        <is>
          <t>P-35 &gt; Carrier Replacement Program &gt; AN/UPX-29(V), INTERROGATOR FRIEND OR FOE (IFF) W/MK XII &gt; Technical Data and Documentation</t>
        </is>
      </c>
      <c r="AD457" s="7" t="inlineStr">
        <is>
          <t>87</t>
        </is>
      </c>
      <c r="AE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13" t="inlineStr">
        <is>
          <t>P-35 &gt; Carrier Replacement Program &gt; AN/UPX-29(V), INTERROGATOR FRIEND OR FOE (IFF) W/MK XII &gt; Spares</t>
        </is>
      </c>
      <c r="AD458" s="7" t="inlineStr">
        <is>
          <t>87</t>
        </is>
      </c>
      <c r="AE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13" t="inlineStr">
        <is>
          <t>P-35 &gt; Carrier Replacement Program &gt; AN/UPX-29(V), INTERROGATOR FRIEND OR FOE (IFF) W/MK XII &gt; System Engineering</t>
        </is>
      </c>
      <c r="AD459" s="7" t="inlineStr">
        <is>
          <t>87</t>
        </is>
      </c>
      <c r="AE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13" t="inlineStr">
        <is>
          <t>P-35 &gt; Carrier Replacement Program &gt; AN/UPX-29(V), INTERROGATOR FRIEND OR FOE (IFF) W/MK XII &gt; Technical Engineering Services</t>
        </is>
      </c>
      <c r="AD460" s="7" t="inlineStr">
        <is>
          <t>87</t>
        </is>
      </c>
      <c r="AE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13" t="inlineStr">
        <is>
          <t>P-35 &gt; Carrier Replacement Program &gt; AN/UPX-29(V), INTERROGATOR FRIEND OR FOE (IFF) W/MK XII &gt; Other Costs</t>
        </is>
      </c>
      <c r="AD461" s="7" t="inlineStr">
        <is>
          <t>87</t>
        </is>
      </c>
      <c r="AE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13" t="inlineStr">
        <is>
          <t>P-35 &gt; Carrier Replacement Program &gt; SPN-46, AUTOMATIC CARRIER LANDING SYSTEM &gt; Major Hardware                                                                                                    1</t>
        </is>
      </c>
      <c r="AD462" s="7" t="inlineStr">
        <is>
          <t>88</t>
        </is>
      </c>
      <c r="AE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13" t="inlineStr">
        <is>
          <t>P-35 &gt; Carrier Replacement Program &gt; SPN-46, AUTOMATIC CARRIER LANDING SYSTEM &gt; System Engineering</t>
        </is>
      </c>
      <c r="AD463" s="7" t="inlineStr">
        <is>
          <t>88</t>
        </is>
      </c>
      <c r="AE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13" t="inlineStr">
        <is>
          <t>P-35 &gt; Carrier Replacement Program &gt; SPN-46, AUTOMATIC CARRIER LANDING SYSTEM &gt; Technical Engineering Services</t>
        </is>
      </c>
      <c r="AD464" s="7" t="inlineStr">
        <is>
          <t>88</t>
        </is>
      </c>
      <c r="AE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13" t="inlineStr">
        <is>
          <t>P-35 &gt; Carrier Replacement Program &gt; SPN-46, AUTOMATIC CARRIER LANDING SYSTEM &gt; Other Costs</t>
        </is>
      </c>
      <c r="AD465" s="7" t="inlineStr">
        <is>
          <t>88</t>
        </is>
      </c>
      <c r="AE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13" t="inlineStr">
        <is>
          <t>P-35 &gt; Carrier Replacement Program &gt; SHIP SELF DEFENSE SYSTEM (SSDS) &gt; Major Hardware                                                                                                1</t>
        </is>
      </c>
      <c r="AD466" s="7" t="inlineStr">
        <is>
          <t>89</t>
        </is>
      </c>
      <c r="AE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13" t="inlineStr">
        <is>
          <t>P-35 &gt; Carrier Replacement Program &gt; SHIP SELF DEFENSE SYSTEM (SSDS) &gt; Technical Data and Documentation</t>
        </is>
      </c>
      <c r="AD467" s="7" t="inlineStr">
        <is>
          <t>89</t>
        </is>
      </c>
      <c r="AE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13" t="inlineStr">
        <is>
          <t>P-35 &gt; Carrier Replacement Program &gt; SHIP SELF DEFENSE SYSTEM (SSDS) &gt; Spares</t>
        </is>
      </c>
      <c r="AD468" s="7" t="inlineStr">
        <is>
          <t>89</t>
        </is>
      </c>
      <c r="AE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13" t="inlineStr">
        <is>
          <t>P-35 &gt; Carrier Replacement Program &gt; SHIP SELF DEFENSE SYSTEM (SSDS) &gt; System Engineering</t>
        </is>
      </c>
      <c r="AD469" s="7" t="inlineStr">
        <is>
          <t>89</t>
        </is>
      </c>
      <c r="AE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13" t="inlineStr">
        <is>
          <t>P-35 &gt; Carrier Replacement Program &gt; SHIP SELF DEFENSE SYSTEM (SSDS) &gt; Technical Engineering Services</t>
        </is>
      </c>
      <c r="AD470" s="7" t="inlineStr">
        <is>
          <t>89</t>
        </is>
      </c>
      <c r="AE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13" t="inlineStr">
        <is>
          <t>P-35 &gt; Carrier Replacement Program &gt; SHIP SELF DEFENSE SYSTEM (SSDS) &gt; Other Costs</t>
        </is>
      </c>
      <c r="AD471" s="7" t="inlineStr">
        <is>
          <t>89</t>
        </is>
      </c>
      <c r="AE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13" t="inlineStr">
        <is>
          <t>P-35 &gt; Carrier Replacement Program &gt; AN/SYY-1(V)1 AIR TRAFFIC CONTROL SYSTEM, SHIPBOARD &gt; Major Hardware                                                                                                  1</t>
        </is>
      </c>
      <c r="AD472" s="7" t="inlineStr">
        <is>
          <t>90</t>
        </is>
      </c>
      <c r="AE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13" t="inlineStr">
        <is>
          <t>P-35 &gt; Carrier Replacement Program &gt; AN/SYY-1(V)1 AIR TRAFFIC CONTROL SYSTEM, SHIPBOARD &gt; Spares</t>
        </is>
      </c>
      <c r="AD473" s="7" t="inlineStr">
        <is>
          <t>90</t>
        </is>
      </c>
      <c r="AE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13" t="inlineStr">
        <is>
          <t>P-35 &gt; Carrier Replacement Program &gt; AN/SYY-1(V)1 AIR TRAFFIC CONTROL SYSTEM, SHIPBOARD &gt; System Engineering</t>
        </is>
      </c>
      <c r="AD474" s="7" t="inlineStr">
        <is>
          <t>90</t>
        </is>
      </c>
      <c r="AE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13" t="inlineStr">
        <is>
          <t>P-35 &gt; Carrier Replacement Program &gt; AN/SYY-1(V)1 AIR TRAFFIC CONTROL SYSTEM, SHIPBOARD &gt; Technical Engineering Services</t>
        </is>
      </c>
      <c r="AD475" s="7" t="inlineStr">
        <is>
          <t>90</t>
        </is>
      </c>
      <c r="AE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13" t="inlineStr">
        <is>
          <t>P-35 &gt; Carrier Replacement Program &gt; AN/SYY-1(V)1 AIR TRAFFIC CONTROL SYSTEM, SHIPBOARD &gt; Other Costs</t>
        </is>
      </c>
      <c r="AD476" s="7" t="inlineStr">
        <is>
          <t>90</t>
        </is>
      </c>
      <c r="AE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13" t="inlineStr">
        <is>
          <t>P-35 &gt; Carrier Replacement Program &gt; NAVY MULTI-BAND TERMINAL (NMT) &gt; Major Hardware                                                                                               1</t>
        </is>
      </c>
      <c r="AD477" s="7" t="inlineStr">
        <is>
          <t>91</t>
        </is>
      </c>
      <c r="AE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13" t="inlineStr">
        <is>
          <t>P-35 &gt; Carrier Replacement Program &gt; NAVY MULTI-BAND TERMINAL (NMT) &gt; Ancillary Equipment</t>
        </is>
      </c>
      <c r="AD478" s="7" t="inlineStr">
        <is>
          <t>91</t>
        </is>
      </c>
      <c r="AE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13" t="inlineStr">
        <is>
          <t>P-35 &gt; Carrier Replacement Program &gt; NAVY MULTI-BAND TERMINAL (NMT) &gt; Spares                                                                                                                                      -</t>
        </is>
      </c>
      <c r="AD479" s="7" t="inlineStr">
        <is>
          <t>91</t>
        </is>
      </c>
      <c r="AE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13" t="inlineStr">
        <is>
          <t>P-35 &gt; Carrier Replacement Program &gt; NAVY MULTI-BAND TERMINAL (NMT) &gt; System Engineering</t>
        </is>
      </c>
      <c r="AD480" s="7" t="inlineStr">
        <is>
          <t>91</t>
        </is>
      </c>
      <c r="AE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13" t="inlineStr">
        <is>
          <t>P-35 &gt; Carrier Replacement Program &gt; NAVY MULTI-BAND TERMINAL (NMT) &gt; Technical Engineering Services</t>
        </is>
      </c>
      <c r="AD481" s="7" t="inlineStr">
        <is>
          <t>91</t>
        </is>
      </c>
      <c r="AE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13" t="inlineStr">
        <is>
          <t>P-35 &gt; Carrier Replacement Program &gt; NAVY MULTI-BAND TERMINAL (NMT) &gt; Other Costs</t>
        </is>
      </c>
      <c r="AD482" s="7" t="inlineStr">
        <is>
          <t>91</t>
        </is>
      </c>
      <c r="AE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13" t="inlineStr">
        <is>
          <t>P-35 &gt; Carrier Replacement Program &gt; AN/SLQ-32(V)6, SURFACE ELECTRONIC WARFARE IMPROVEMENT PROGRAM (SEWIP) BLOCK PARM Code: PEO IWS 2E &gt; Major Hardware                                                                                                 1</t>
        </is>
      </c>
      <c r="AD483" s="7" t="inlineStr">
        <is>
          <t>92</t>
        </is>
      </c>
      <c r="AE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13" t="inlineStr">
        <is>
          <t>P-35 &gt; Carrier Replacement Program &gt; AN/SLQ-32(V)6, SURFACE ELECTRONIC WARFARE IMPROVEMENT PROGRAM (SEWIP) BLOCK PARM Code: PEO IWS 2E &gt; Ancillary Equipment</t>
        </is>
      </c>
      <c r="AD484" s="7" t="inlineStr">
        <is>
          <t>92</t>
        </is>
      </c>
      <c r="AE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13" t="inlineStr">
        <is>
          <t>P-35 &gt; Carrier Replacement Program &gt; AN/SLQ-32(V)6, SURFACE ELECTRONIC WARFARE IMPROVEMENT PROGRAM (SEWIP) BLOCK PARM Code: PEO IWS 2E &gt; Spares</t>
        </is>
      </c>
      <c r="AD485" s="7" t="inlineStr">
        <is>
          <t>92</t>
        </is>
      </c>
      <c r="AE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13" t="inlineStr">
        <is>
          <t>P-35 &gt; Carrier Replacement Program &gt; AN/SLQ-32(V)6, SURFACE ELECTRONIC WARFARE IMPROVEMENT PROGRAM (SEWIP) BLOCK PARM Code: PEO IWS 2E &gt; System Engineering</t>
        </is>
      </c>
      <c r="AD486" s="7" t="inlineStr">
        <is>
          <t>92</t>
        </is>
      </c>
      <c r="AE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13" t="inlineStr">
        <is>
          <t>P-35 &gt; Carrier Replacement Program &gt; AN/SLQ-32(V)6, SURFACE ELECTRONIC WARFARE IMPROVEMENT PROGRAM (SEWIP) BLOCK PARM Code: PEO IWS 2E &gt; Technical Engineering Services</t>
        </is>
      </c>
      <c r="AD487" s="7" t="inlineStr">
        <is>
          <t>92</t>
        </is>
      </c>
      <c r="AE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13" t="inlineStr">
        <is>
          <t>P-35 &gt; Carrier Replacement Program &gt; AN/SLQ-32(V)6, SURFACE ELECTRONIC WARFARE IMPROVEMENT PROGRAM (SEWIP) BLOCK PARM Code: PEO IWS 2E &gt; Other Costs</t>
        </is>
      </c>
      <c r="AD488" s="7" t="inlineStr">
        <is>
          <t>92</t>
        </is>
      </c>
      <c r="AE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13" t="inlineStr">
        <is>
          <t>P-35 &gt; Carrier Replacement Program &gt; AN/SSQ-130(V)8, SHIP'S SIGNAL EXPLOITATION EQUIPMENT INCREMENT F &gt; Major Hardware                                                                                                  1</t>
        </is>
      </c>
      <c r="AD489" s="7" t="inlineStr">
        <is>
          <t>93</t>
        </is>
      </c>
      <c r="AE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13" t="inlineStr">
        <is>
          <t>P-35 &gt; Carrier Replacement Program &gt; AN/SSQ-130(V)8, SHIP'S SIGNAL EXPLOITATION EQUIPMENT INCREMENT F &gt; Spares</t>
        </is>
      </c>
      <c r="AD490" s="7" t="inlineStr">
        <is>
          <t>93</t>
        </is>
      </c>
      <c r="AE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13" t="inlineStr">
        <is>
          <t>P-35 &gt; Carrier Replacement Program &gt; AN/SSQ-130(V)8, SHIP'S SIGNAL EXPLOITATION EQUIPMENT INCREMENT F &gt; System Engineering</t>
        </is>
      </c>
      <c r="AD491" s="7" t="inlineStr">
        <is>
          <t>93</t>
        </is>
      </c>
      <c r="AE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13" t="inlineStr">
        <is>
          <t>P-35 &gt; Carrier Replacement Program &gt; AN/SSQ-130(V)8, SHIP'S SIGNAL EXPLOITATION EQUIPMENT INCREMENT F &gt; Technical Engineering Services</t>
        </is>
      </c>
      <c r="AD492" s="7" t="inlineStr">
        <is>
          <t>93</t>
        </is>
      </c>
      <c r="AE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13" t="inlineStr">
        <is>
          <t>P-35 &gt; Carrier Replacement Program &gt; AN/SSQ-130(V)8, SHIP'S SIGNAL EXPLOITATION EQUIPMENT INCREMENT F &gt; Other Costs</t>
        </is>
      </c>
      <c r="AD493" s="7" t="inlineStr">
        <is>
          <t>93</t>
        </is>
      </c>
      <c r="AE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13" t="inlineStr">
        <is>
          <t>P-35 &gt; Carrier Replacement Program &gt; AN/SRC-66 (V)3 HFDAG &gt; Major Hardware                                                                                               1</t>
        </is>
      </c>
      <c r="AD494" s="7" t="inlineStr">
        <is>
          <t>94</t>
        </is>
      </c>
      <c r="AE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13" t="inlineStr">
        <is>
          <t>P-35 &gt; Carrier Replacement Program &gt; AN/SRC-66 (V)3 HFDAG &gt; Spares</t>
        </is>
      </c>
      <c r="AD495" s="7" t="inlineStr">
        <is>
          <t>94</t>
        </is>
      </c>
      <c r="AE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13" t="inlineStr">
        <is>
          <t>P-35 &gt; Carrier Replacement Program &gt; AN/SRC-66 (V)3 HFDAG &gt; System Engineering</t>
        </is>
      </c>
      <c r="AD496" s="7" t="inlineStr">
        <is>
          <t>94</t>
        </is>
      </c>
      <c r="AE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13" t="inlineStr">
        <is>
          <t>P-35 &gt; Carrier Replacement Program &gt; AN/SRC-66 (V)3 HFDAG &gt; Technical Engineering Services</t>
        </is>
      </c>
      <c r="AD497" s="7" t="inlineStr">
        <is>
          <t>94</t>
        </is>
      </c>
      <c r="AE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13" t="inlineStr">
        <is>
          <t>P-35 &gt; Carrier Replacement Program &gt; AN/SRC-66 (V)3 HFDAG &gt; Other Costs</t>
        </is>
      </c>
      <c r="AD498" s="7" t="inlineStr">
        <is>
          <t>94</t>
        </is>
      </c>
      <c r="AE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13" t="inlineStr">
        <is>
          <t>P-35 &gt; Carrier Replacement Program &gt; AN/USN-3(V)1 SATELLITE SIGNAL LANDING SYSTEM (SSLS) &gt; Major Hardware                                                                                                  1</t>
        </is>
      </c>
      <c r="AD499" s="7" t="inlineStr">
        <is>
          <t>95</t>
        </is>
      </c>
      <c r="AE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13" t="inlineStr">
        <is>
          <t>P-35 &gt; Carrier Replacement Program &gt; AN/USN-3(V)1 SATELLITE SIGNAL LANDING SYSTEM (SSLS) &gt; System Engineering</t>
        </is>
      </c>
      <c r="AD500" s="7" t="inlineStr">
        <is>
          <t>95</t>
        </is>
      </c>
      <c r="AE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13" t="inlineStr">
        <is>
          <t>P-35 &gt; Carrier Replacement Program &gt; AN/USN-3(V)1 SATELLITE SIGNAL LANDING SYSTEM (SSLS) &gt; Technical Engineering Services</t>
        </is>
      </c>
      <c r="AD501" s="7" t="inlineStr">
        <is>
          <t>95</t>
        </is>
      </c>
      <c r="AE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13" t="inlineStr">
        <is>
          <t>P-35 &gt; Carrier Replacement Program &gt; AN/USN-3(V)1 SATELLITE SIGNAL LANDING SYSTEM (SSLS) &gt; Other Costs</t>
        </is>
      </c>
      <c r="AD502" s="7" t="inlineStr">
        <is>
          <t>95</t>
        </is>
      </c>
      <c r="AE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13" t="inlineStr">
        <is>
          <t>P-35 &gt; Carrier Replacement Program &gt; ELECTRONIC CONSOLIDATED AUTOMATED SUPPORT SYSTEM (eCASS) &gt; Major Hardware                                                                                                 1</t>
        </is>
      </c>
      <c r="AD503" s="7" t="inlineStr">
        <is>
          <t>96</t>
        </is>
      </c>
      <c r="AE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13" t="inlineStr">
        <is>
          <t>P-35 &gt; Carrier Replacement Program &gt; ELECTRONIC CONSOLIDATED AUTOMATED SUPPORT SYSTEM (eCASS) &gt; Technical Engineering Services</t>
        </is>
      </c>
      <c r="AD504" s="7" t="inlineStr">
        <is>
          <t>96</t>
        </is>
      </c>
      <c r="AE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13" t="inlineStr">
        <is>
          <t>P-35 &gt; Carrier Replacement Program &gt; OA-9277 ULTRA HIGH FREQUENCY (UHF) MULTICOUPLER &gt; Major Hardware                                                                                            0                             -                                 1</t>
        </is>
      </c>
      <c r="AD505" s="7" t="inlineStr">
        <is>
          <t>97</t>
        </is>
      </c>
      <c r="AE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13" t="inlineStr">
        <is>
          <t>P-35 &gt; Carrier Replacement Program &gt; OA-9277 ULTRA HIGH FREQUENCY (UHF) MULTICOUPLER &gt; System Engineering                                                                                                                      -</t>
        </is>
      </c>
      <c r="AD506" s="7" t="inlineStr">
        <is>
          <t>97</t>
        </is>
      </c>
      <c r="AE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13" t="inlineStr">
        <is>
          <t>P-35 &gt; Carrier Replacement Program &gt; OA-9277 ULTRA HIGH FREQUENCY (UHF) MULTICOUPLER &gt; Technical Engineering Services                                                                                                          -</t>
        </is>
      </c>
      <c r="AD507" s="7" t="inlineStr">
        <is>
          <t>97</t>
        </is>
      </c>
      <c r="AE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13" t="inlineStr">
        <is>
          <t>P-35 &gt; Carrier Replacement Program &gt; OA-9277 ULTRA HIGH FREQUENCY (UHF) MULTICOUPLER &gt; Other Costs                                                                                                                             -</t>
        </is>
      </c>
      <c r="AD508" s="7" t="inlineStr">
        <is>
          <t>97</t>
        </is>
      </c>
      <c r="AE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13" t="inlineStr">
        <is>
          <t>P-35 &gt; Carrier Replacement Program &gt; AN/USQ-214(V)1, NETWORK TACTICAL COMMON DATA LINK (NTCDL) SYSTEM &gt; Major Hardware                                                                                                         0                           -                                 1</t>
        </is>
      </c>
      <c r="AD509" s="7" t="inlineStr">
        <is>
          <t>98</t>
        </is>
      </c>
      <c r="AE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13" t="inlineStr">
        <is>
          <t>P-35 &gt; Carrier Replacement Program &gt; AN/USQ-214(V)1, NETWORK TACTICAL COMMON DATA LINK (NTCDL) SYSTEM &gt; Spares                                                                                                                                             -</t>
        </is>
      </c>
      <c r="AD510" s="7" t="inlineStr">
        <is>
          <t>98</t>
        </is>
      </c>
      <c r="AE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13" t="inlineStr">
        <is>
          <t>P-35 &gt; Carrier Replacement Program &gt; AN/USQ-214(V)1, NETWORK TACTICAL COMMON DATA LINK (NTCDL) SYSTEM &gt; System Engineering                                                                                                                                 -</t>
        </is>
      </c>
      <c r="AD511" s="7" t="inlineStr">
        <is>
          <t>98</t>
        </is>
      </c>
      <c r="AE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13" t="inlineStr">
        <is>
          <t>P-35 &gt; Carrier Replacement Program &gt; AN/USQ-214(V)1, NETWORK TACTICAL COMMON DATA LINK (NTCDL) SYSTEM &gt; Technical Engineering Services                                                                                                                     -</t>
        </is>
      </c>
      <c r="AD512" s="7" t="inlineStr">
        <is>
          <t>98</t>
        </is>
      </c>
      <c r="AE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13" t="inlineStr">
        <is>
          <t>P-35 &gt; Carrier Replacement Program &gt; AN/USQ-214(V)1, NETWORK TACTICAL COMMON DATA LINK (NTCDL) SYSTEM &gt; Other Costs                                                                                                                                        -</t>
        </is>
      </c>
      <c r="AD513" s="7" t="inlineStr">
        <is>
          <t>98</t>
        </is>
      </c>
      <c r="AE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13" t="inlineStr">
        <is>
          <t>P-35 &gt; Carrier Replacement Program &gt; RING LASER GYRO NAVIGATOR (RLGN) AN/WSN-12(V)1 &gt; Major Hardware                                                                                            0                             -                                 1</t>
        </is>
      </c>
      <c r="AD514" s="7" t="inlineStr">
        <is>
          <t>99</t>
        </is>
      </c>
      <c r="AE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13" t="inlineStr">
        <is>
          <t>P-35 &gt; Carrier Replacement Program &gt; RING LASER GYRO NAVIGATOR (RLGN) AN/WSN-12(V)1 &gt; Technical Data and Documentation                                                                                                        -</t>
        </is>
      </c>
      <c r="AD515" s="7" t="inlineStr">
        <is>
          <t>99</t>
        </is>
      </c>
      <c r="AE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13" t="inlineStr">
        <is>
          <t>P-35 &gt; Carrier Replacement Program &gt; RING LASER GYRO NAVIGATOR (RLGN) AN/WSN-12(V)1 &gt; Spares                                                                                                                                  -</t>
        </is>
      </c>
      <c r="AD516" s="7" t="inlineStr">
        <is>
          <t>99</t>
        </is>
      </c>
      <c r="AE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13" t="inlineStr">
        <is>
          <t>P-35 &gt; Carrier Replacement Program &gt; RING LASER GYRO NAVIGATOR (RLGN) AN/WSN-12(V)1 &gt; System Engineering                                                                                                                      -</t>
        </is>
      </c>
      <c r="AD517" s="7" t="inlineStr">
        <is>
          <t>99</t>
        </is>
      </c>
      <c r="AE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13" t="inlineStr">
        <is>
          <t>P-35 &gt; Carrier Replacement Program &gt; RING LASER GYRO NAVIGATOR (RLGN) AN/WSN-12(V)1 &gt; Technical Engineering Services                                                                                                          -</t>
        </is>
      </c>
      <c r="AD518" s="7" t="inlineStr">
        <is>
          <t>99</t>
        </is>
      </c>
      <c r="AE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13" t="inlineStr">
        <is>
          <t>P-35 &gt; Carrier Replacement Program &gt; RING LASER GYRO NAVIGATOR (RLGN) AN/WSN-12(V)1 &gt; Other Costs                                                                                                                             -</t>
        </is>
      </c>
      <c r="AD519" s="7" t="inlineStr">
        <is>
          <t>99</t>
        </is>
      </c>
      <c r="AE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13" t="inlineStr">
        <is>
          <t>P-35 &gt; Carrier Replacement Program &gt; MK 53 MOD 15 DECOY LAUNCHING SYSTEM &gt; Major Hardware                                                                                                 0                              -                                 1</t>
        </is>
      </c>
      <c r="AD520" s="7" t="inlineStr">
        <is>
          <t>100</t>
        </is>
      </c>
      <c r="AE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13" t="inlineStr">
        <is>
          <t>P-35 &gt; Carrier Replacement Program &gt; MK 53 MOD 15 DECOY LAUNCHING SYSTEM &gt; Technical Data and Documentation                                                                                                              -</t>
        </is>
      </c>
      <c r="AD521" s="7" t="inlineStr">
        <is>
          <t>100</t>
        </is>
      </c>
      <c r="AE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13" t="inlineStr">
        <is>
          <t>P-35 &gt; Carrier Replacement Program &gt; MK 53 MOD 15 DECOY LAUNCHING SYSTEM &gt; Spares                                                                                                                                        -</t>
        </is>
      </c>
      <c r="AD522" s="7" t="inlineStr">
        <is>
          <t>100</t>
        </is>
      </c>
      <c r="AE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13" t="inlineStr">
        <is>
          <t>P-35 &gt; Carrier Replacement Program &gt; MK 53 MOD 15 DECOY LAUNCHING SYSTEM &gt; System Engineering                                                                                                                            -</t>
        </is>
      </c>
      <c r="AD523" s="7" t="inlineStr">
        <is>
          <t>100</t>
        </is>
      </c>
      <c r="AE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13" t="inlineStr">
        <is>
          <t>P-35 &gt; Carrier Replacement Program &gt; MK 53 MOD 15 DECOY LAUNCHING SYSTEM &gt; Technical Engineering Services                                                                                                                -</t>
        </is>
      </c>
      <c r="AD524" s="7" t="inlineStr">
        <is>
          <t>100</t>
        </is>
      </c>
      <c r="AE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13" t="inlineStr">
        <is>
          <t>P-35 &gt; Carrier Replacement Program &gt; MK 53 MOD 15 DECOY LAUNCHING SYSTEM &gt; Other Costs                                                                                                                                   -</t>
        </is>
      </c>
      <c r="AD525" s="7" t="inlineStr">
        <is>
          <t>100</t>
        </is>
      </c>
      <c r="AE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13" t="inlineStr">
        <is>
          <t>P-35 &gt; Carrier Replacement Program &gt; I-STALKER &gt; Major Hardware                                                                                                    0                              -                                 1</t>
        </is>
      </c>
      <c r="AD526" s="7" t="inlineStr">
        <is>
          <t>101</t>
        </is>
      </c>
      <c r="AE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13" t="inlineStr">
        <is>
          <t>P-35 &gt; Carrier Replacement Program &gt; I-STALKER &gt; Ancillary Equipment                                                                                                                              -</t>
        </is>
      </c>
      <c r="AD527" s="7" t="inlineStr">
        <is>
          <t>101</t>
        </is>
      </c>
      <c r="AE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13" t="inlineStr">
        <is>
          <t>P-35 &gt; Carrier Replacement Program &gt; I-STALKER &gt; Spares                                                                                                                                           -</t>
        </is>
      </c>
      <c r="AD528" s="7" t="inlineStr">
        <is>
          <t>101</t>
        </is>
      </c>
      <c r="AE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13" t="inlineStr">
        <is>
          <t>P-35 &gt; Carrier Replacement Program &gt; I-STALKER &gt; System Engineering                                                                                                                               -</t>
        </is>
      </c>
      <c r="AD529" s="7" t="inlineStr">
        <is>
          <t>101</t>
        </is>
      </c>
      <c r="AE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13" t="inlineStr">
        <is>
          <t>P-35 &gt; Carrier Replacement Program &gt; I-STALKER &gt; Technical Engineering Services                                                                                                                   -</t>
        </is>
      </c>
      <c r="AD530" s="7" t="inlineStr">
        <is>
          <t>101</t>
        </is>
      </c>
      <c r="AE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13" t="inlineStr">
        <is>
          <t>P-35 &gt; Carrier Replacement Program &gt; I-STALKER &gt; Other Costs                                                                                                                                      -</t>
        </is>
      </c>
      <c r="AD531" s="7" t="inlineStr">
        <is>
          <t>101</t>
        </is>
      </c>
      <c r="AE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13" t="inlineStr">
        <is>
          <t>P-35 &gt; Carrier Replacement Program &gt; ELECTROMAGNETIC AIRCRAFT LAUNCHING SYSTEM (EMALS) &gt; Major Hardware                                                                                                1</t>
        </is>
      </c>
      <c r="AD532" s="7" t="inlineStr">
        <is>
          <t>102</t>
        </is>
      </c>
      <c r="AE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13" t="inlineStr">
        <is>
          <t>P-35 &gt; Carrier Replacement Program &gt; ELECTROMAGNETIC AIRCRAFT LAUNCHING SYSTEM (EMALS) &gt; Spares</t>
        </is>
      </c>
      <c r="AD533" s="7" t="inlineStr">
        <is>
          <t>102</t>
        </is>
      </c>
      <c r="AE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13" t="inlineStr">
        <is>
          <t>P-35 &gt; Carrier Replacement Program &gt; ELECTROMAGNETIC AIRCRAFT LAUNCHING SYSTEM (EMALS) &gt; System Engineering</t>
        </is>
      </c>
      <c r="AD534" s="7" t="inlineStr">
        <is>
          <t>102</t>
        </is>
      </c>
      <c r="AE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13" t="inlineStr">
        <is>
          <t>P-35 &gt; Carrier Replacement Program &gt; ELECTROMAGNETIC AIRCRAFT LAUNCHING SYSTEM (EMALS) &gt; Technical Engineering Services</t>
        </is>
      </c>
      <c r="AD535" s="7" t="inlineStr">
        <is>
          <t>102</t>
        </is>
      </c>
      <c r="AE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13" t="inlineStr">
        <is>
          <t>P-35 &gt; Carrier Replacement Program &gt; ELECTROMAGNETIC AIRCRAFT LAUNCHING SYSTEM (EMALS) &gt; Other Costs</t>
        </is>
      </c>
      <c r="AD536" s="7" t="inlineStr">
        <is>
          <t>102</t>
        </is>
      </c>
      <c r="AE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13" t="inlineStr">
        <is>
          <t>P-35 &gt; Carrier Replacement Program &gt; AN/SPY-6(V)3 ENTERPRISE AIR SURVEILLANCE RADAR (EASR) &gt; Major Hardware                                                                                                  1</t>
        </is>
      </c>
      <c r="AD537" s="7" t="inlineStr">
        <is>
          <t>103</t>
        </is>
      </c>
      <c r="AE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13" t="inlineStr">
        <is>
          <t>P-35 &gt; Carrier Replacement Program &gt; AN/SPY-6(V)3 ENTERPRISE AIR SURVEILLANCE RADAR (EASR) &gt; Ancillary Equipment</t>
        </is>
      </c>
      <c r="AD538" s="7" t="inlineStr">
        <is>
          <t>103</t>
        </is>
      </c>
      <c r="AE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13" t="inlineStr">
        <is>
          <t>P-35 &gt; Carrier Replacement Program &gt; AN/SPY-6(V)3 ENTERPRISE AIR SURVEILLANCE RADAR (EASR) &gt; Spares</t>
        </is>
      </c>
      <c r="AD539" s="7" t="inlineStr">
        <is>
          <t>103</t>
        </is>
      </c>
      <c r="AE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13" t="inlineStr">
        <is>
          <t>P-35 &gt; Carrier Replacement Program &gt; AN/SPY-6(V)3 ENTERPRISE AIR SURVEILLANCE RADAR (EASR) &gt; System Engineering</t>
        </is>
      </c>
      <c r="AD540" s="7" t="inlineStr">
        <is>
          <t>103</t>
        </is>
      </c>
      <c r="AE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13" t="inlineStr">
        <is>
          <t>P-35 &gt; Carrier Replacement Program &gt; AN/SPY-6(V)3 ENTERPRISE AIR SURVEILLANCE RADAR (EASR) &gt; Technical Engineering Services</t>
        </is>
      </c>
      <c r="AD541" s="7" t="inlineStr">
        <is>
          <t>103</t>
        </is>
      </c>
      <c r="AE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13" t="inlineStr">
        <is>
          <t>P-35 &gt; Carrier Replacement Program &gt; AN/SPY-6(V)3 ENTERPRISE AIR SURVEILLANCE RADAR (EASR) &gt; Other Costs</t>
        </is>
      </c>
      <c r="AD542" s="7" t="inlineStr">
        <is>
          <t>103</t>
        </is>
      </c>
      <c r="AE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13" t="inlineStr">
        <is>
          <t>P-35 &gt; Carrier Replacement Program &gt; ADVANCED ARRESTING GEAR (AAG) &gt; Major Hardware                                                                                                  1</t>
        </is>
      </c>
      <c r="AD543" s="7" t="inlineStr">
        <is>
          <t>104</t>
        </is>
      </c>
      <c r="AE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13" t="inlineStr">
        <is>
          <t>P-35 &gt; Carrier Replacement Program &gt; ADVANCED ARRESTING GEAR (AAG) &gt; Spares</t>
        </is>
      </c>
      <c r="AD544" s="7" t="inlineStr">
        <is>
          <t>104</t>
        </is>
      </c>
      <c r="AE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13" t="inlineStr">
        <is>
          <t>P-35 &gt; Carrier Replacement Program &gt; ADVANCED ARRESTING GEAR (AAG) &gt; System Engineering</t>
        </is>
      </c>
      <c r="AD545" s="7" t="inlineStr">
        <is>
          <t>104</t>
        </is>
      </c>
      <c r="AE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13" t="inlineStr">
        <is>
          <t>P-35 &gt; Carrier Replacement Program &gt; ADVANCED ARRESTING GEAR (AAG) &gt; Technical Engineering Services</t>
        </is>
      </c>
      <c r="AD546" s="7" t="inlineStr">
        <is>
          <t>104</t>
        </is>
      </c>
      <c r="AE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13" t="inlineStr">
        <is>
          <t>P-35 &gt; Carrier Replacement Program &gt; ADVANCED ARRESTING GEAR (AAG) &gt; Other Costs</t>
        </is>
      </c>
      <c r="AD547" s="7" t="inlineStr">
        <is>
          <t>104</t>
        </is>
      </c>
      <c r="AE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13" t="inlineStr">
        <is>
          <t>P-35 &gt; Carrier Replacement Program &gt; PHALANX BLOCK 1B MK 15 MOD 21 &amp; 22, CLOSE - IN WEAPONS SYSTEM (CIWS) &gt; Major Hardware                                                                                                    3</t>
        </is>
      </c>
      <c r="AD548" s="7" t="inlineStr">
        <is>
          <t>105</t>
        </is>
      </c>
      <c r="AE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13" t="inlineStr">
        <is>
          <t>P-35 &gt; Carrier Replacement Program &gt; PHALANX BLOCK 1B MK 15 MOD 21 &amp; 22, CLOSE - IN WEAPONS SYSTEM (CIWS) &gt; Ancillary Equipment</t>
        </is>
      </c>
      <c r="AD549" s="7" t="inlineStr">
        <is>
          <t>105</t>
        </is>
      </c>
      <c r="AE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13" t="inlineStr">
        <is>
          <t>P-35 &gt; Carrier Replacement Program &gt; PHALANX BLOCK 1B MK 15 MOD 21 &amp; 22, CLOSE - IN WEAPONS SYSTEM (CIWS) &gt; Spares</t>
        </is>
      </c>
      <c r="AD550" s="7" t="inlineStr">
        <is>
          <t>105</t>
        </is>
      </c>
      <c r="AE550" s="7" t="inlineStr">
        <is>
          <t>2001</t>
        </is>
      </c>
      <c r="AG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13" t="inlineStr">
        <is>
          <t>P-35 &gt; Carrier Replacement Program &gt; PHALANX BLOCK 1B MK 15 MOD 21 &amp; 22, CLOSE - IN WEAPONS SYSTEM (CIWS) &gt; System Engineering</t>
        </is>
      </c>
      <c r="AD551" s="7" t="inlineStr">
        <is>
          <t>105</t>
        </is>
      </c>
      <c r="AE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13" t="inlineStr">
        <is>
          <t>P-35 &gt; Carrier Replacement Program &gt; PHALANX BLOCK 1B MK 15 MOD 21 &amp; 22, CLOSE - IN WEAPONS SYSTEM (CIWS) &gt; Technical Engineering Services</t>
        </is>
      </c>
      <c r="AD552" s="7" t="inlineStr">
        <is>
          <t>105</t>
        </is>
      </c>
      <c r="AE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13" t="inlineStr">
        <is>
          <t>P-35 &gt; Carrier Replacement Program &gt; PHALANX BLOCK 1B MK 15 MOD 21 &amp; 22, CLOSE - IN WEAPONS SYSTEM (CIWS) &gt; Other Costs</t>
        </is>
      </c>
      <c r="AD553" s="7" t="inlineStr">
        <is>
          <t>105</t>
        </is>
      </c>
      <c r="AE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13" t="inlineStr">
        <is>
          <t>P-35 &gt; Carrier Replacement Program &gt; AN/SQQ-34, CARRIER-TACTICAL SUPPORT CENTER (CV-TSC) &gt; Major Hardware                                                                                           1</t>
        </is>
      </c>
      <c r="AD554" s="7" t="inlineStr">
        <is>
          <t>106</t>
        </is>
      </c>
      <c r="AE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13" t="inlineStr">
        <is>
          <t>P-35 &gt; Carrier Replacement Program &gt; AN/SQQ-34, CARRIER-TACTICAL SUPPORT CENTER (CV-TSC) &gt; Spares</t>
        </is>
      </c>
      <c r="AD555" s="7" t="inlineStr">
        <is>
          <t>106</t>
        </is>
      </c>
      <c r="AE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13" t="inlineStr">
        <is>
          <t>P-35 &gt; Carrier Replacement Program &gt; AN/SQQ-34, CARRIER-TACTICAL SUPPORT CENTER (CV-TSC) &gt; System Engineering</t>
        </is>
      </c>
      <c r="AD556" s="7" t="inlineStr">
        <is>
          <t>106</t>
        </is>
      </c>
      <c r="AE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13" t="inlineStr">
        <is>
          <t>P-35 &gt; Carrier Replacement Program &gt; AN/SQQ-34, CARRIER-TACTICAL SUPPORT CENTER (CV-TSC) &gt; Technical Engineering Services</t>
        </is>
      </c>
      <c r="AD557" s="7" t="inlineStr">
        <is>
          <t>106</t>
        </is>
      </c>
      <c r="AE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13" t="inlineStr">
        <is>
          <t>P-35 &gt; Carrier Replacement Program &gt; AN/SQQ-34, CARRIER-TACTICAL SUPPORT CENTER (CV-TSC) &gt; Other Costs</t>
        </is>
      </c>
      <c r="AD558" s="7" t="inlineStr">
        <is>
          <t>106</t>
        </is>
      </c>
      <c r="AE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13" t="inlineStr">
        <is>
          <t>P-35 &gt; Carrier Replacement Program &gt; MK-57 NATO SEASPARROW MISSILE SYSTEM (NSSMS) &gt; Major Hardware                                                                                           1</t>
        </is>
      </c>
      <c r="AD559" s="7" t="inlineStr">
        <is>
          <t>107</t>
        </is>
      </c>
      <c r="AE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13" t="inlineStr">
        <is>
          <t>P-35 &gt; Carrier Replacement Program &gt; MK-57 NATO SEASPARROW MISSILE SYSTEM (NSSMS) &gt; Ancillary Equipment</t>
        </is>
      </c>
      <c r="AD560" s="7" t="inlineStr">
        <is>
          <t>107</t>
        </is>
      </c>
      <c r="AE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13" t="inlineStr">
        <is>
          <t>P-35 &gt; Carrier Replacement Program &gt; MK-57 NATO SEASPARROW MISSILE SYSTEM (NSSMS) &gt; Spares</t>
        </is>
      </c>
      <c r="AD561" s="7" t="inlineStr">
        <is>
          <t>107</t>
        </is>
      </c>
      <c r="AE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13" t="inlineStr">
        <is>
          <t>P-35 &gt; Carrier Replacement Program &gt; MK-57 NATO SEASPARROW MISSILE SYSTEM (NSSMS) &gt; System Engineering</t>
        </is>
      </c>
      <c r="AD562" s="7" t="inlineStr">
        <is>
          <t>107</t>
        </is>
      </c>
      <c r="AE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13" t="inlineStr">
        <is>
          <t>P-35 &gt; Carrier Replacement Program &gt; MK-57 NATO SEASPARROW MISSILE SYSTEM (NSSMS) &gt; Technical Engineering Services</t>
        </is>
      </c>
      <c r="AD563" s="7" t="inlineStr">
        <is>
          <t>107</t>
        </is>
      </c>
      <c r="AE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13" t="inlineStr">
        <is>
          <t>P-35 &gt; Carrier Replacement Program &gt; MK-57 NATO SEASPARROW MISSILE SYSTEM (NSSMS) &gt; Other Costs</t>
        </is>
      </c>
      <c r="AD564" s="7" t="inlineStr">
        <is>
          <t>107</t>
        </is>
      </c>
      <c r="AE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13" t="inlineStr">
        <is>
          <t>P-35 &gt; Carrier Replacement Program &gt; AVIATION DATA MANAGEMENT AND CONTROL SYSTEM (ADMACS) &gt; Major Hardware                                                                                                 1</t>
        </is>
      </c>
      <c r="AD565" s="7" t="inlineStr">
        <is>
          <t>108</t>
        </is>
      </c>
      <c r="AE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13" t="inlineStr">
        <is>
          <t>P-35 &gt; Carrier Replacement Program &gt; AVIATION DATA MANAGEMENT AND CONTROL SYSTEM (ADMACS) &gt; Spares                                                                                                                                         -</t>
        </is>
      </c>
      <c r="AD566" s="7" t="inlineStr">
        <is>
          <t>108</t>
        </is>
      </c>
      <c r="AE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13" t="inlineStr">
        <is>
          <t>P-35 &gt; Carrier Replacement Program &gt; AVIATION DATA MANAGEMENT AND CONTROL SYSTEM (ADMACS) &gt; System Engineering</t>
        </is>
      </c>
      <c r="AD567" s="7" t="inlineStr">
        <is>
          <t>108</t>
        </is>
      </c>
      <c r="AE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13" t="inlineStr">
        <is>
          <t>P-35 &gt; Carrier Replacement Program &gt; AVIATION DATA MANAGEMENT AND CONTROL SYSTEM (ADMACS) &gt; Technical Engineering Services</t>
        </is>
      </c>
      <c r="AD568" s="7" t="inlineStr">
        <is>
          <t>108</t>
        </is>
      </c>
      <c r="AE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13" t="inlineStr">
        <is>
          <t>P-35 &gt; Carrier Replacement Program &gt; AVIATION DATA MANAGEMENT AND CONTROL SYSTEM (ADMACS) &gt; Other Costs</t>
        </is>
      </c>
      <c r="AD569" s="7" t="inlineStr">
        <is>
          <t>108</t>
        </is>
      </c>
      <c r="AE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13" t="inlineStr">
        <is>
          <t>P-35 &gt; Carrier Replacement Program &gt; MK 49, MOD 5 ROLLING AIRFRAME MISSILE (RAM) &gt; Major Hardware                                                                                                 2</t>
        </is>
      </c>
      <c r="AD570" s="7" t="inlineStr">
        <is>
          <t>109</t>
        </is>
      </c>
      <c r="AE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13" t="inlineStr">
        <is>
          <t>P-35 &gt; Carrier Replacement Program &gt; MK 49, MOD 5 ROLLING AIRFRAME MISSILE (RAM) &gt; Ancillary Equipment</t>
        </is>
      </c>
      <c r="AD571" s="7" t="inlineStr">
        <is>
          <t>109</t>
        </is>
      </c>
      <c r="AE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13" t="inlineStr">
        <is>
          <t>P-35 &gt; Carrier Replacement Program &gt; MK 49, MOD 5 ROLLING AIRFRAME MISSILE (RAM) &gt; Spares                                                                                                                                        -</t>
        </is>
      </c>
      <c r="AD572" s="7" t="inlineStr">
        <is>
          <t>109</t>
        </is>
      </c>
      <c r="AE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13" t="inlineStr">
        <is>
          <t>P-35 &gt; Carrier Replacement Program &gt; MK 49, MOD 5 ROLLING AIRFRAME MISSILE (RAM) &gt; System Engineering</t>
        </is>
      </c>
      <c r="AD573" s="7" t="inlineStr">
        <is>
          <t>109</t>
        </is>
      </c>
      <c r="AE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13" t="inlineStr">
        <is>
          <t>P-35 &gt; Carrier Replacement Program &gt; MK 49, MOD 5 ROLLING AIRFRAME MISSILE (RAM) &gt; Technical Engineering Services</t>
        </is>
      </c>
      <c r="AD574" s="7" t="inlineStr">
        <is>
          <t>109</t>
        </is>
      </c>
      <c r="AE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13" t="inlineStr">
        <is>
          <t>P-35 &gt; Carrier Replacement Program &gt; MK 49, MOD 5 ROLLING AIRFRAME MISSILE (RAM) &gt; Other Costs</t>
        </is>
      </c>
      <c r="AD575" s="7" t="inlineStr">
        <is>
          <t>109</t>
        </is>
      </c>
      <c r="AE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13" t="inlineStr">
        <is>
          <t>P-35 &gt; Carrier Replacement Program &gt; AN/SPQ-9B, ANTI-SHIP MISSILE DEFENSE (ASMD) SURFACE SURVEILLANCE AND TRACKING &gt; Major Hardware                                                                                                1</t>
        </is>
      </c>
      <c r="AD576" s="7" t="inlineStr">
        <is>
          <t>110</t>
        </is>
      </c>
      <c r="AE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13" t="inlineStr">
        <is>
          <t>P-35 &gt; Carrier Replacement Program &gt; AN/SPQ-9B, ANTI-SHIP MISSILE DEFENSE (ASMD) SURFACE SURVEILLANCE AND TRACKING &gt; Spares</t>
        </is>
      </c>
      <c r="AD577" s="7" t="inlineStr">
        <is>
          <t>110</t>
        </is>
      </c>
      <c r="AE577" s="7" t="inlineStr">
        <is>
          <t>2001</t>
        </is>
      </c>
      <c r="AG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13" t="inlineStr">
        <is>
          <t>P-35 &gt; Carrier Replacement Program &gt; AN/SPQ-9B, ANTI-SHIP MISSILE DEFENSE (ASMD) SURFACE SURVEILLANCE AND TRACKING &gt; System Engineering</t>
        </is>
      </c>
      <c r="AD578" s="7" t="inlineStr">
        <is>
          <t>110</t>
        </is>
      </c>
      <c r="AE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13" t="inlineStr">
        <is>
          <t>P-35 &gt; Carrier Replacement Program &gt; AN/SPQ-9B, ANTI-SHIP MISSILE DEFENSE (ASMD) SURFACE SURVEILLANCE AND TRACKING &gt; Technical Engineering Services</t>
        </is>
      </c>
      <c r="AD579" s="7" t="inlineStr">
        <is>
          <t>110</t>
        </is>
      </c>
      <c r="AE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13" t="inlineStr">
        <is>
          <t>P-35 &gt; Carrier Replacement Program &gt; AN/SPQ-9B, ANTI-SHIP MISSILE DEFENSE (ASMD) SURFACE SURVEILLANCE AND TRACKING &gt; Other Costs</t>
        </is>
      </c>
      <c r="AD580" s="7" t="inlineStr">
        <is>
          <t>110</t>
        </is>
      </c>
      <c r="AE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13" t="inlineStr">
        <is>
          <t>P-35 &gt; Carrier Replacement Program &gt; IMPROVED FRESNEL LENS OPTICAL LANDING SYSTEM (IFLOLS) &gt; Major Hardware                                                                                                 0                              -                                 1</t>
        </is>
      </c>
      <c r="AD581" s="7" t="inlineStr">
        <is>
          <t>111</t>
        </is>
      </c>
      <c r="AE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13" t="inlineStr">
        <is>
          <t>P-35 &gt; Carrier Replacement Program &gt; IMPROVED FRESNEL LENS OPTICAL LANDING SYSTEM (IFLOLS) &gt; System Engineering                                                                                                                            -</t>
        </is>
      </c>
      <c r="AD582" s="7" t="inlineStr">
        <is>
          <t>111</t>
        </is>
      </c>
      <c r="AE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13" t="inlineStr">
        <is>
          <t>P-35 &gt; Carrier Replacement Program &gt; IMPROVED FRESNEL LENS OPTICAL LANDING SYSTEM (IFLOLS) &gt; Technical Engineering Services                                                                                                                -</t>
        </is>
      </c>
      <c r="AD583" s="7" t="inlineStr">
        <is>
          <t>111</t>
        </is>
      </c>
      <c r="AE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13" t="inlineStr">
        <is>
          <t>P-35 &gt; Carrier Replacement Program &gt; IMPROVED FRESNEL LENS OPTICAL LANDING SYSTEM (IFLOLS) &gt; Other Costs                                                                                                                                   -</t>
        </is>
      </c>
      <c r="AD584" s="7" t="inlineStr">
        <is>
          <t>111</t>
        </is>
      </c>
      <c r="AE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13" t="inlineStr">
        <is>
          <t>P-35 &gt; Carrier Replacement Program &gt; INTEGRATED LAUNCH AND RECOVERY TELEVISION SYSTEM (ILARTS) &gt; Major Hardware                                                                                                0                              -                                 1</t>
        </is>
      </c>
      <c r="AD585" s="7" t="inlineStr">
        <is>
          <t>112</t>
        </is>
      </c>
      <c r="AE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13" t="inlineStr">
        <is>
          <t>P-35 &gt; Carrier Replacement Program &gt; INTEGRATED LAUNCH AND RECOVERY TELEVISION SYSTEM (ILARTS) &gt; Spares                                                                                                                                       -</t>
        </is>
      </c>
      <c r="AD586" s="7" t="inlineStr">
        <is>
          <t>112</t>
        </is>
      </c>
      <c r="AE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13" t="inlineStr">
        <is>
          <t>P-35 &gt; Carrier Replacement Program &gt; INTEGRATED LAUNCH AND RECOVERY TELEVISION SYSTEM (ILARTS) &gt; System Engineering                                                                                                                           -</t>
        </is>
      </c>
      <c r="AD587" s="7" t="inlineStr">
        <is>
          <t>112</t>
        </is>
      </c>
      <c r="AE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13" t="inlineStr">
        <is>
          <t>P-35 &gt; Carrier Replacement Program &gt; INTEGRATED LAUNCH AND RECOVERY TELEVISION SYSTEM (ILARTS) &gt; Technical Engineering Services                                                                                                               -</t>
        </is>
      </c>
      <c r="AD588" s="7" t="inlineStr">
        <is>
          <t>112</t>
        </is>
      </c>
      <c r="AE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13" t="inlineStr">
        <is>
          <t>P-35 &gt; Carrier Replacement Program &gt; INTEGRATED LAUNCH AND RECOVERY TELEVISION SYSTEM (ILARTS) &gt; Other Costs                                                                                                                                  -</t>
        </is>
      </c>
      <c r="AD589" s="7" t="inlineStr">
        <is>
          <t>112</t>
        </is>
      </c>
      <c r="AE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13" t="inlineStr">
        <is>
          <t>P-35 &gt; Carrier Replacement Program &gt; UNMANNED AVIATION WARFARE CENTER (UAWC) &gt; Major Hardware                                                                                                 0                              -                                 1</t>
        </is>
      </c>
      <c r="AD590" s="7" t="inlineStr">
        <is>
          <t>113</t>
        </is>
      </c>
      <c r="AE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13" t="inlineStr">
        <is>
          <t>P-35 &gt; Carrier Replacement Program &gt; UNMANNED AVIATION WARFARE CENTER (UAWC) &gt; Technical Engineering Services                                                                                                                -</t>
        </is>
      </c>
      <c r="AD591" s="7" t="inlineStr">
        <is>
          <t>113</t>
        </is>
      </c>
      <c r="AE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13" t="inlineStr">
        <is>
          <t>P-10 &gt; Carrier Replacement Program &gt; CVN 82 - Basic</t>
        </is>
      </c>
      <c r="AD592" s="7" t="inlineStr">
        <is>
          <t>115</t>
        </is>
      </c>
      <c r="AE592" s="7" t="inlineStr">
        <is>
          <t>2001</t>
        </is>
      </c>
      <c r="AG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13" t="inlineStr">
        <is>
          <t>P-10 &gt; Carrier Replacement Program &gt; CVN 82 - Propulsion Equipment</t>
        </is>
      </c>
      <c r="AD593" s="7" t="inlineStr">
        <is>
          <t>115</t>
        </is>
      </c>
      <c r="AE593" s="7" t="inlineStr">
        <is>
          <t>2001</t>
        </is>
      </c>
      <c r="AG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13" t="inlineStr">
        <is>
          <t>P-10 &gt; Carrier Replacement Program &gt; CVN 82 - Ordnance</t>
        </is>
      </c>
      <c r="AD594" s="7" t="inlineStr">
        <is>
          <t>115</t>
        </is>
      </c>
      <c r="AE594" s="7" t="inlineStr">
        <is>
          <t>2001</t>
        </is>
      </c>
      <c r="AG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13" t="inlineStr">
        <is>
          <t>P-10 &gt; Carrier Replacement Program &gt; CVN 83 - Basic                                                                                       -               -              -             -</t>
        </is>
      </c>
      <c r="AD595" s="7" t="inlineStr">
        <is>
          <t>115</t>
        </is>
      </c>
      <c r="AE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13" t="inlineStr">
        <is>
          <t>P-10 &gt; Carrier Replacement Program &gt; CVN 83 - Ordnance                                                                                    -               -              -             -</t>
        </is>
      </c>
      <c r="AD596" s="7" t="inlineStr">
        <is>
          <t>115</t>
        </is>
      </c>
      <c r="AE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13" t="inlineStr">
        <is>
          <t>P-10 &gt; Carrier Replacement Program &gt; CVN 83 - Basic                                                                                         -                   -                 -                                      -</t>
        </is>
      </c>
      <c r="AD597" s="7" t="inlineStr">
        <is>
          <t>116</t>
        </is>
      </c>
      <c r="AE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13" t="inlineStr">
        <is>
          <t>P-10 &gt; Carrier Replacement Program &gt; CVN 83 - Ordnance                                                                                      -                   -                 -                                      -</t>
        </is>
      </c>
      <c r="AD598" s="7" t="inlineStr">
        <is>
          <t>116</t>
        </is>
      </c>
      <c r="AE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13" t="inlineStr">
        <is>
          <t>P-5c &gt; CVN-81 &gt; Basic Construction</t>
        </is>
      </c>
      <c r="AD599" s="7" t="inlineStr">
        <is>
          <t>119</t>
        </is>
      </c>
      <c r="AE599" s="7" t="inlineStr">
        <is>
          <t>2004</t>
        </is>
      </c>
      <c r="AG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13" t="inlineStr">
        <is>
          <t>P-5c &gt; CVN-81 &gt; Change Orders</t>
        </is>
      </c>
      <c r="AD600" s="7" t="inlineStr">
        <is>
          <t>119</t>
        </is>
      </c>
      <c r="AE600" s="7" t="inlineStr">
        <is>
          <t>2004</t>
        </is>
      </c>
      <c r="AG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13" t="inlineStr">
        <is>
          <t>P-5c &gt; CVN-81 &gt; Electronics</t>
        </is>
      </c>
      <c r="AD601" s="7" t="inlineStr">
        <is>
          <t>119</t>
        </is>
      </c>
      <c r="AE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13" t="inlineStr">
        <is>
          <t>P-5c &gt; CVN-81 &gt; Propulsion Equipment</t>
        </is>
      </c>
      <c r="AD602" s="7" t="inlineStr">
        <is>
          <t>119</t>
        </is>
      </c>
      <c r="AE602" s="7" t="inlineStr">
        <is>
          <t>2004</t>
        </is>
      </c>
      <c r="AG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13" t="inlineStr">
        <is>
          <t>P-5c &gt; CVN-81 &gt; Hull, Mechanical, and Electrical</t>
        </is>
      </c>
      <c r="AD603" s="7" t="inlineStr">
        <is>
          <t>119</t>
        </is>
      </c>
      <c r="AE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13" t="inlineStr">
        <is>
          <t>P-5c &gt; CVN-81 &gt; Ordnance</t>
        </is>
      </c>
      <c r="AD604" s="7" t="inlineStr">
        <is>
          <t>119</t>
        </is>
      </c>
      <c r="AE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13" t="inlineStr">
        <is>
          <t>P-5c &gt; CVN-81 &gt; Other Cost</t>
        </is>
      </c>
      <c r="AD605" s="7" t="inlineStr">
        <is>
          <t>119</t>
        </is>
      </c>
      <c r="AE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13" t="inlineStr">
        <is>
          <t>P-8a &gt; CVN-81 &gt; Electronics &gt; CONSOLIDATED AFLOAT NETWORK AND ENTERPRISE SERVICES (CANES) 1</t>
        </is>
      </c>
      <c r="AD606" s="7" t="inlineStr">
        <is>
          <t>121</t>
        </is>
      </c>
      <c r="AE606" s="7" t="inlineStr">
        <is>
          <t>2004</t>
        </is>
      </c>
      <c r="AG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13" t="inlineStr">
        <is>
          <t>P-8a &gt; CVN-81 &gt; Electronics &gt; AN/USG-2, COOPERATIVE ENGAGEMENT CAPABILITY (CEC) 1</t>
        </is>
      </c>
      <c r="AD607" s="7" t="inlineStr">
        <is>
          <t>121</t>
        </is>
      </c>
      <c r="AE607" s="7" t="inlineStr">
        <is>
          <t>2004</t>
        </is>
      </c>
      <c r="AG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13" t="inlineStr">
        <is>
          <t>P-8a &gt; CVN-81 &gt; Electronics &gt; SAT 1</t>
        </is>
      </c>
      <c r="AD608" s="7" t="inlineStr">
        <is>
          <t>121</t>
        </is>
      </c>
      <c r="AE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13" t="inlineStr">
        <is>
          <t>P-8a &gt; CVN-81 &gt; Electronics &gt; AN/UPX-29(V), INTERROGATOR FRIEND OR FOE (IFF) W/MK XII 1</t>
        </is>
      </c>
      <c r="AD609" s="7" t="inlineStr">
        <is>
          <t>121</t>
        </is>
      </c>
      <c r="AE609" s="7" t="inlineStr">
        <is>
          <t>2004</t>
        </is>
      </c>
      <c r="AG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13" t="inlineStr">
        <is>
          <t>P-8a &gt; CVN-81 &gt; Electronics &gt; SPN-46, AUTOMATIC CARRIER LANDING SYSTEM 1</t>
        </is>
      </c>
      <c r="AD610" s="7" t="inlineStr">
        <is>
          <t>121</t>
        </is>
      </c>
      <c r="AE610" s="7" t="inlineStr">
        <is>
          <t>2004</t>
        </is>
      </c>
      <c r="AG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13" t="inlineStr">
        <is>
          <t>P-8a &gt; CVN-81 &gt; Electronics &gt; SHIP SELF DEFENSE SYSTEM (SSDS) 1</t>
        </is>
      </c>
      <c r="AD611" s="7" t="inlineStr">
        <is>
          <t>121</t>
        </is>
      </c>
      <c r="AE611" s="7" t="inlineStr">
        <is>
          <t>2004</t>
        </is>
      </c>
      <c r="AG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13" t="inlineStr">
        <is>
          <t>P-8a &gt; CVN-81 &gt; Electronics &gt; AN/SYY-1(V)1 AIR TRAFFIC CONTROL SYSTEM, SHIPBOARD 1</t>
        </is>
      </c>
      <c r="AD612" s="7" t="inlineStr">
        <is>
          <t>121</t>
        </is>
      </c>
      <c r="AE612" s="7" t="inlineStr">
        <is>
          <t>2004</t>
        </is>
      </c>
      <c r="AG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13" t="inlineStr">
        <is>
          <t>P-8a &gt; CVN-81 &gt; Electronics &gt; NAVY MULTI-BAND TERMINAL (NMT) 1</t>
        </is>
      </c>
      <c r="AD613" s="7" t="inlineStr">
        <is>
          <t>121</t>
        </is>
      </c>
      <c r="AE613" s="7" t="inlineStr">
        <is>
          <t>2004</t>
        </is>
      </c>
      <c r="AG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13" t="inlineStr">
        <is>
          <t>P-8a &gt; CVN-81 &gt; Electronics &gt; AN/SLQ-32(V)7, SURFACE ELECTRONIC WARFARE IMPROVEMENT PROGRAM (SEWIP) BLOCK 3 1</t>
        </is>
      </c>
      <c r="AD614" s="7" t="inlineStr">
        <is>
          <t>121</t>
        </is>
      </c>
      <c r="AE614" s="7" t="inlineStr">
        <is>
          <t>2004</t>
        </is>
      </c>
      <c r="AG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13" t="inlineStr">
        <is>
          <t>P-8a &gt; CVN-81 &gt; Electronics &gt; SPECTRAL 1</t>
        </is>
      </c>
      <c r="AD615" s="7" t="inlineStr">
        <is>
          <t>121</t>
        </is>
      </c>
      <c r="AE615" s="7" t="inlineStr">
        <is>
          <t>2004</t>
        </is>
      </c>
      <c r="AG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13" t="inlineStr">
        <is>
          <t>P-8a &gt; CVN-81 &gt; Electronics &gt; AN/SRC-66(V)3 HFDAG 1</t>
        </is>
      </c>
      <c r="AD616" s="7" t="inlineStr">
        <is>
          <t>121</t>
        </is>
      </c>
      <c r="AE616" s="7" t="inlineStr">
        <is>
          <t>2004</t>
        </is>
      </c>
      <c r="AG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13" t="inlineStr">
        <is>
          <t>P-8a &gt; CVN-81 &gt; Electronics &gt; AN/USN-3(V)1 SATELLITE SIGNAL LANDING SYSTEM (SSLS) 1</t>
        </is>
      </c>
      <c r="AD617" s="7" t="inlineStr">
        <is>
          <t>121</t>
        </is>
      </c>
      <c r="AE617" s="7" t="inlineStr">
        <is>
          <t>2004</t>
        </is>
      </c>
      <c r="AG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13" t="inlineStr">
        <is>
          <t>P-8a &gt; CVN-81 &gt; Electronics &gt; OA-9277 ULTRA HIGH FREQUENCY (UHF) MULTICOUPLER 1</t>
        </is>
      </c>
      <c r="AD618" s="7" t="inlineStr">
        <is>
          <t>121</t>
        </is>
      </c>
      <c r="AE618" s="7" t="inlineStr">
        <is>
          <t>2004</t>
        </is>
      </c>
      <c r="AG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13" t="inlineStr">
        <is>
          <t>P-8a &gt; CVN-81 &gt; Electronics &gt; AN/WSN-12(V)1, RING LASER GYRO NAVIGATOR (RLGN) 1</t>
        </is>
      </c>
      <c r="AD619" s="7" t="inlineStr">
        <is>
          <t>121</t>
        </is>
      </c>
      <c r="AE619" s="7" t="inlineStr">
        <is>
          <t>2004</t>
        </is>
      </c>
      <c r="AG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13" t="inlineStr">
        <is>
          <t>P-8a &gt; CVN-81 &gt; Electronics &gt; AN/USQ-214(V)1, NETWORK TACTICAL COMMON DATA LINK (NTCDL) SYSTEM 1</t>
        </is>
      </c>
      <c r="AD620" s="7" t="inlineStr">
        <is>
          <t>121</t>
        </is>
      </c>
      <c r="AE620" s="7" t="inlineStr">
        <is>
          <t>2004</t>
        </is>
      </c>
      <c r="AG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13" t="inlineStr">
        <is>
          <t>P-8a &gt; CVN-81 &gt; Electronics &gt; MK 53 MOD 15 DECOY LAUNCHING SYSTEM (DLS) 1</t>
        </is>
      </c>
      <c r="AD621" s="7" t="inlineStr">
        <is>
          <t>121</t>
        </is>
      </c>
      <c r="AE621" s="7" t="inlineStr">
        <is>
          <t>2004</t>
        </is>
      </c>
      <c r="AG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13" t="inlineStr">
        <is>
          <t>P-8a &gt; CVN-81 &gt; Electronics &gt; I-STALKER 1</t>
        </is>
      </c>
      <c r="AD622" s="7" t="inlineStr">
        <is>
          <t>121</t>
        </is>
      </c>
      <c r="AE622" s="7" t="inlineStr">
        <is>
          <t>2004</t>
        </is>
      </c>
      <c r="AG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13" t="inlineStr">
        <is>
          <t>P-8a &gt; CVN-81 &gt; Electronics &gt; AN/USQ-155(V)1 TACTICAL VARIANT SWITCH 1</t>
        </is>
      </c>
      <c r="AD623" s="7" t="inlineStr">
        <is>
          <t>121</t>
        </is>
      </c>
      <c r="AE623" s="7" t="inlineStr">
        <is>
          <t>2004</t>
        </is>
      </c>
      <c r="AG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13" t="inlineStr">
        <is>
          <t>P-8a &gt; CVN-81 &gt; Electronics &gt; INFORMATION ASSURANCE (IA)</t>
        </is>
      </c>
      <c r="AD624" s="7" t="inlineStr">
        <is>
          <t>121</t>
        </is>
      </c>
      <c r="AE624" s="7" t="inlineStr">
        <is>
          <t>2004</t>
        </is>
      </c>
      <c r="AG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13" t="inlineStr">
        <is>
          <t>P-8a &gt; CVN-81 &gt; Electronics &gt; AN/URC-141X, MULTI-FUNCTION INFORMATION DISTRIBUTION SYSTEM (MIDS)-ON SHIP (MOS) 1</t>
        </is>
      </c>
      <c r="AD625" s="7" t="inlineStr">
        <is>
          <t>121</t>
        </is>
      </c>
      <c r="AE625" s="7" t="inlineStr">
        <is>
          <t>2004</t>
        </is>
      </c>
      <c r="AG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13" t="inlineStr">
        <is>
          <t>P-8a &gt; CVN-81 &gt; Electronics &gt; AN/SLQ-25E DUAL, SURFACE SHIP TORPEDO DEFENSE SYSTEM, NIXIE 1</t>
        </is>
      </c>
      <c r="AD626" s="7" t="inlineStr">
        <is>
          <t>121</t>
        </is>
      </c>
      <c r="AE626" s="7" t="inlineStr">
        <is>
          <t>2004</t>
        </is>
      </c>
      <c r="AG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13" t="inlineStr">
        <is>
          <t>P-8a &gt; CVN-81 &gt; Electronics &gt; SHIPBOARD AIR TRAFFIC CONTROL COMMUNICATIONS (SATCC) 1</t>
        </is>
      </c>
      <c r="AD627" s="7" t="inlineStr">
        <is>
          <t>121</t>
        </is>
      </c>
      <c r="AE627" s="7" t="inlineStr">
        <is>
          <t>2004</t>
        </is>
      </c>
      <c r="AG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13" t="inlineStr">
        <is>
          <t>P-8a &gt; CVN-81 &gt; Electronics &gt; DISTRIBUTED SYSTEMS DESIGN INTEGRATION SERVICES 1</t>
        </is>
      </c>
      <c r="AD628" s="7" t="inlineStr">
        <is>
          <t>121</t>
        </is>
      </c>
      <c r="AE628" s="7" t="inlineStr">
        <is>
          <t>2004</t>
        </is>
      </c>
      <c r="AG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13" t="inlineStr">
        <is>
          <t>P-8a &gt; CVN-81 &gt; Electronics &gt; C4I INTEGRATION &amp; COORDINATION</t>
        </is>
      </c>
      <c r="AD629" s="7" t="inlineStr">
        <is>
          <t>121</t>
        </is>
      </c>
      <c r="AE629" s="7" t="inlineStr">
        <is>
          <t>2004</t>
        </is>
      </c>
      <c r="AG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13" t="inlineStr">
        <is>
          <t>P-8a &gt; CVN-81 &gt; Electronics &gt; DISTRIBUTED COMMON GROUND STATION - NAVY (DCGS-N) TACTICAL EDGE EQUIPMENT (DTEE) 1</t>
        </is>
      </c>
      <c r="AD630" s="7" t="inlineStr">
        <is>
          <t>121</t>
        </is>
      </c>
      <c r="AE630" s="7" t="inlineStr">
        <is>
          <t>2004</t>
        </is>
      </c>
      <c r="AG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13" t="inlineStr">
        <is>
          <t>P-8a &gt; CVN-81 &gt; Electronics &gt; AN/USQ-144M(V)2 AUTOMATED DIGITAL NETWORK SYSTEM (ADNS) 1</t>
        </is>
      </c>
      <c r="AD631" s="7" t="inlineStr">
        <is>
          <t>121</t>
        </is>
      </c>
      <c r="AE631" s="7" t="inlineStr">
        <is>
          <t>2004</t>
        </is>
      </c>
      <c r="AG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13" t="inlineStr">
        <is>
          <t>P-8a &gt; CVN-81 &gt; Electronics &gt; AN/UYQ-131 COMMAND &amp; CONTROL PROCESSOR SYSTEM (C2P MOD) 1</t>
        </is>
      </c>
      <c r="AD632" s="7" t="inlineStr">
        <is>
          <t>121</t>
        </is>
      </c>
      <c r="AE632" s="7" t="inlineStr">
        <is>
          <t>2004</t>
        </is>
      </c>
      <c r="AG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13" t="inlineStr">
        <is>
          <t>P-8a &gt; CVN-81 &gt; Electronics &gt; ARC-210 CARRIER AIR TRAFFIC CONTROL CENTER (CATCC) - PRIFLY - LANDING SIGNAL OFFICER (LSO) SYSTEM 1</t>
        </is>
      </c>
      <c r="AD633" s="7" t="inlineStr">
        <is>
          <t>121</t>
        </is>
      </c>
      <c r="AE633" s="7" t="inlineStr">
        <is>
          <t>2004</t>
        </is>
      </c>
      <c r="AG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13" t="inlineStr">
        <is>
          <t>P-8a &gt; CVN-81 &gt; Electronics &gt; WARFARE SYSTEM INTEGRATION</t>
        </is>
      </c>
      <c r="AD634" s="7" t="inlineStr">
        <is>
          <t>121</t>
        </is>
      </c>
      <c r="AE634" s="7" t="inlineStr">
        <is>
          <t>2004</t>
        </is>
      </c>
      <c r="AG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13" t="inlineStr">
        <is>
          <t>P-8a &gt; CVN-81 &gt; Electronics &gt; COMMERCIAL BROADBAND SATELLITE PROGRAM, FORCE LEVEL VARIANT (CBSP-FLV) 2</t>
        </is>
      </c>
      <c r="AD635" s="7" t="inlineStr">
        <is>
          <t>121</t>
        </is>
      </c>
      <c r="AE635" s="7" t="inlineStr">
        <is>
          <t>2004</t>
        </is>
      </c>
      <c r="AG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13" t="inlineStr">
        <is>
          <t>P-8a &gt; CVN-81 &gt; Electronics &gt; GLOBAL POSITIONING SYSTEM, NAVIGATION, AND TIMING SERVICE (GPNTS) 1</t>
        </is>
      </c>
      <c r="AD636" s="7" t="inlineStr">
        <is>
          <t>122</t>
        </is>
      </c>
      <c r="AE636" s="7" t="inlineStr">
        <is>
          <t>2004</t>
        </is>
      </c>
      <c r="AG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13" t="inlineStr">
        <is>
          <t>P-8a &gt; CVN-81 &gt; Electronics &gt; INTEGRATED STRIKE PLANNING &amp; EXECUTION SYSTEMS (ISP&amp;E) 1</t>
        </is>
      </c>
      <c r="AD637" s="7" t="inlineStr">
        <is>
          <t>122</t>
        </is>
      </c>
      <c r="AE637" s="7" t="inlineStr">
        <is>
          <t>2004</t>
        </is>
      </c>
      <c r="AG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13" t="inlineStr">
        <is>
          <t>P-8a &gt; CVN-81 &gt; Electronics &gt; AN/SPN-41 (V), INSTRUMENT LANDING SYSTEM (ILS) 1</t>
        </is>
      </c>
      <c r="AD638" s="7" t="inlineStr">
        <is>
          <t>122</t>
        </is>
      </c>
      <c r="AE638" s="7" t="inlineStr">
        <is>
          <t>2004</t>
        </is>
      </c>
      <c r="AG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13" t="inlineStr">
        <is>
          <t>P-8a &gt; CVN-81 &gt; Electronics &gt; SHIP SIGNAL EXPLOITATION SPACE (SSES/SI) COMMUNICATIONS 1</t>
        </is>
      </c>
      <c r="AD639" s="7" t="inlineStr">
        <is>
          <t>122</t>
        </is>
      </c>
      <c r="AE639" s="7" t="inlineStr">
        <is>
          <t>2004</t>
        </is>
      </c>
      <c r="AG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13" t="inlineStr">
        <is>
          <t>P-8a &gt; CVN-81 &gt; Electronics &gt; TURNKEY RADIO COMMUNICATIONS SYSTEM (RCS) 1</t>
        </is>
      </c>
      <c r="AD640" s="7" t="inlineStr">
        <is>
          <t>122</t>
        </is>
      </c>
      <c r="AE640" s="7" t="inlineStr">
        <is>
          <t>2004</t>
        </is>
      </c>
      <c r="AG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13" t="inlineStr">
        <is>
          <t>P-8a &gt; CVN-81 &gt; Electronics &gt; AN/USQ-T52 TRAINING INTERFACE UNIT (TIU) ADVANCED TRAINING DOMAIN (ATD) 1</t>
        </is>
      </c>
      <c r="AD641" s="7" t="inlineStr">
        <is>
          <t>122</t>
        </is>
      </c>
      <c r="AE641" s="7" t="inlineStr">
        <is>
          <t>2004</t>
        </is>
      </c>
      <c r="AG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13" t="inlineStr">
        <is>
          <t>P-8a &gt; CVN-81 &gt; Electronics &gt; AN/SPS-73(V)18 NEXT GENERATION SURFACE SEARCH RADAR (NGSSR) 1</t>
        </is>
      </c>
      <c r="AD642" s="7" t="inlineStr">
        <is>
          <t>122</t>
        </is>
      </c>
      <c r="AE642" s="7" t="inlineStr">
        <is>
          <t>2004</t>
        </is>
      </c>
      <c r="AG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13" t="inlineStr">
        <is>
          <t>P-8a &gt; CVN-81 &gt; Electronics &gt; READY ROOM (JSF) 1</t>
        </is>
      </c>
      <c r="AD643" s="7" t="inlineStr">
        <is>
          <t>122</t>
        </is>
      </c>
      <c r="AE643" s="7" t="inlineStr">
        <is>
          <t>2004</t>
        </is>
      </c>
      <c r="AG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13" t="inlineStr">
        <is>
          <t>P-8a &gt; CVN-81 &gt; Electronics &gt; LITHIUM ION BATTERY HANDLING &amp; STORAGE</t>
        </is>
      </c>
      <c r="AD644" s="7" t="inlineStr">
        <is>
          <t>122</t>
        </is>
      </c>
      <c r="AE644" s="7" t="inlineStr">
        <is>
          <t>2004</t>
        </is>
      </c>
      <c r="AG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13" t="inlineStr">
        <is>
          <t>P-8a &gt; CVN-81 &gt; Electronics &gt; OE-570G SATELLITE ANTENNA 1</t>
        </is>
      </c>
      <c r="AD645" s="7" t="inlineStr">
        <is>
          <t>122</t>
        </is>
      </c>
      <c r="AE645" s="7" t="inlineStr">
        <is>
          <t>2004</t>
        </is>
      </c>
      <c r="AG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13" t="inlineStr">
        <is>
          <t>P-8a &gt; CVN-81 &gt; Electronics &gt; ELECTRONIC CHART DISPLAY AND INFORMATION SYSTEM, NAVY (ECDIS-N) 1</t>
        </is>
      </c>
      <c r="AD646" s="7" t="inlineStr">
        <is>
          <t>122</t>
        </is>
      </c>
      <c r="AE646" s="7" t="inlineStr">
        <is>
          <t>2004</t>
        </is>
      </c>
      <c r="AG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13" t="inlineStr">
        <is>
          <t>P-8a &gt; CVN-81 &gt; Electronics &gt; ENVIRONMENTAL SATELLITE RECEIVER PROGRAM (ESRP) 1</t>
        </is>
      </c>
      <c r="AD647" s="7" t="inlineStr">
        <is>
          <t>122</t>
        </is>
      </c>
      <c r="AE647" s="7" t="inlineStr">
        <is>
          <t>2004</t>
        </is>
      </c>
      <c r="AG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13" t="inlineStr">
        <is>
          <t>P-8a &gt; CVN-81 &gt; Electronics &gt; Other ELECTRONICS</t>
        </is>
      </c>
      <c r="AD648" s="7" t="inlineStr">
        <is>
          <t>122</t>
        </is>
      </c>
      <c r="AE648" s="7" t="inlineStr">
        <is>
          <t>2004</t>
        </is>
      </c>
      <c r="AG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13" t="inlineStr">
        <is>
          <t>P-8a &gt; CVN-81 &gt; Hull, Mechanical, and Electrical &gt; HM&amp;E ENGINEERING SERVICES</t>
        </is>
      </c>
      <c r="AD649" s="7" t="inlineStr">
        <is>
          <t>123</t>
        </is>
      </c>
      <c r="AE649" s="7" t="inlineStr">
        <is>
          <t>2004</t>
        </is>
      </c>
      <c r="AG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13" t="inlineStr">
        <is>
          <t>P-8a &gt; CVN-81 &gt; Hull, Mechanical, and Electrical &gt; LIFE RAFTS</t>
        </is>
      </c>
      <c r="AD650" s="7" t="inlineStr">
        <is>
          <t>123</t>
        </is>
      </c>
      <c r="AE650" s="7" t="inlineStr">
        <is>
          <t>2004</t>
        </is>
      </c>
      <c r="AG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13" t="inlineStr">
        <is>
          <t>P-8a &gt; CVN-81 &gt; Hull, Mechanical, and Electrical &gt; SUPSHIP MATERIAL AND GFE</t>
        </is>
      </c>
      <c r="AD651" s="7" t="inlineStr">
        <is>
          <t>123</t>
        </is>
      </c>
      <c r="AE651" s="7" t="inlineStr">
        <is>
          <t>2004</t>
        </is>
      </c>
      <c r="AG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13" t="inlineStr">
        <is>
          <t>P-8a &gt; CVN-81 &gt; Hull, Mechanical, and Electrical &gt; TRUCKS (FORKLIFTS)</t>
        </is>
      </c>
      <c r="AD652" s="7" t="inlineStr">
        <is>
          <t>123</t>
        </is>
      </c>
      <c r="AE652" s="7" t="inlineStr">
        <is>
          <t>2004</t>
        </is>
      </c>
      <c r="AG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13" t="inlineStr">
        <is>
          <t>P-8a &gt; CVN-81 &gt; Hull, Mechanical, and Electrical &gt; Other HM&amp;E</t>
        </is>
      </c>
      <c r="AD653" s="7" t="inlineStr">
        <is>
          <t>123</t>
        </is>
      </c>
      <c r="AE653" s="7" t="inlineStr">
        <is>
          <t>2004</t>
        </is>
      </c>
      <c r="AG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13" t="inlineStr">
        <is>
          <t>P-8a &gt; CVN-81 &gt; Ordnance &gt; ELECTROMAGNETIC AIRCRAFT LAUNCHING SYSTEM (EMALS) 1</t>
        </is>
      </c>
      <c r="AD654" s="7" t="inlineStr">
        <is>
          <t>124</t>
        </is>
      </c>
      <c r="AE654" s="7" t="inlineStr">
        <is>
          <t>2004</t>
        </is>
      </c>
      <c r="AG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13" t="inlineStr">
        <is>
          <t>P-8a &gt; CVN-81 &gt; Ordnance &gt; AN/SPY-6(V)3 ENTERPRISE AIR SURVEILLANCE RADAR (EASR) 1</t>
        </is>
      </c>
      <c r="AD655" s="7" t="inlineStr">
        <is>
          <t>124</t>
        </is>
      </c>
      <c r="AE655" s="7" t="inlineStr">
        <is>
          <t>2004</t>
        </is>
      </c>
      <c r="AG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13" t="inlineStr">
        <is>
          <t>P-8a &gt; CVN-81 &gt; Ordnance &gt; ADVANCED ARRESTING GEAR (AAG) 1</t>
        </is>
      </c>
      <c r="AD656" s="7" t="inlineStr">
        <is>
          <t>124</t>
        </is>
      </c>
      <c r="AE656" s="7" t="inlineStr">
        <is>
          <t>2004</t>
        </is>
      </c>
      <c r="AG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13" t="inlineStr">
        <is>
          <t>P-8a &gt; CVN-81 &gt; Ordnance &gt; PHALANX BLOCK 1B MK 15 MOD 21 &amp; 22, CLOSE - IN WEAPONS SYSTEM (CIWS) 3</t>
        </is>
      </c>
      <c r="AD657" s="7" t="inlineStr">
        <is>
          <t>124</t>
        </is>
      </c>
      <c r="AE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13" t="inlineStr">
        <is>
          <t>P-8a &gt; CVN-81 &gt; Ordnance &gt; AN/SQQ-34, CARRIER-TACTICAL SUPPORT CENTER (CV-TSC) 1</t>
        </is>
      </c>
      <c r="AD658" s="7" t="inlineStr">
        <is>
          <t>124</t>
        </is>
      </c>
      <c r="AE658" s="7" t="inlineStr">
        <is>
          <t>2004</t>
        </is>
      </c>
      <c r="AG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13" t="inlineStr">
        <is>
          <t>P-8a &gt; CVN-81 &gt; Ordnance &gt; MK-57 NATO SEASPARROW MISSILE SYSTEM (NSSMS) 1</t>
        </is>
      </c>
      <c r="AD659" s="7" t="inlineStr">
        <is>
          <t>124</t>
        </is>
      </c>
      <c r="AE659" s="7" t="inlineStr">
        <is>
          <t>2004</t>
        </is>
      </c>
      <c r="AG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13" t="inlineStr">
        <is>
          <t>P-8a &gt; CVN-81 &gt; Ordnance &gt; AVIATION DATA MANAGEMENT AND CONTROL SYSTEM (ADMACS) 1</t>
        </is>
      </c>
      <c r="AD660" s="7" t="inlineStr">
        <is>
          <t>124</t>
        </is>
      </c>
      <c r="AE660" s="7" t="inlineStr">
        <is>
          <t>2004</t>
        </is>
      </c>
      <c r="AG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13" t="inlineStr">
        <is>
          <t>P-8a &gt; CVN-81 &gt; Ordnance &gt; MK 49, MOD 3 ROLLING AIRFRAME MISSILE (RAM) 2</t>
        </is>
      </c>
      <c r="AD661" s="7" t="inlineStr">
        <is>
          <t>124</t>
        </is>
      </c>
      <c r="AE661" s="7" t="inlineStr">
        <is>
          <t>2004</t>
        </is>
      </c>
      <c r="AG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13" t="inlineStr">
        <is>
          <t>P-8a &gt; CVN-81 &gt; Ordnance &gt; AN/SPQ-9B, ANTI-SHIP MISSILE DEFENSE (ASMD) SURFACE SURVEILLANCE AND TRACKING RADAR 1</t>
        </is>
      </c>
      <c r="AD662" s="7" t="inlineStr">
        <is>
          <t>124</t>
        </is>
      </c>
      <c r="AE662" s="7" t="inlineStr">
        <is>
          <t>2004</t>
        </is>
      </c>
      <c r="AG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13" t="inlineStr">
        <is>
          <t>P-8a &gt; CVN-81 &gt; Ordnance &gt; IMPROVED FRESNEL LENS OPTICAL LANDING SYSTEM (IFLOLS) 1</t>
        </is>
      </c>
      <c r="AD663" s="7" t="inlineStr">
        <is>
          <t>124</t>
        </is>
      </c>
      <c r="AE663" s="7" t="inlineStr">
        <is>
          <t>2004</t>
        </is>
      </c>
      <c r="AG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13" t="inlineStr">
        <is>
          <t>P-8a &gt; CVN-81 &gt; Ordnance &gt; INTEGRATED LAUNCH AND RECOVERY TELEVISION SYSTEM (ILARTS) 1</t>
        </is>
      </c>
      <c r="AD664" s="7" t="inlineStr">
        <is>
          <t>124</t>
        </is>
      </c>
      <c r="AE664" s="7" t="inlineStr">
        <is>
          <t>2004</t>
        </is>
      </c>
      <c r="AG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13" t="inlineStr">
        <is>
          <t>P-8a &gt; CVN-81 &gt; Ordnance &gt; UNMANNED AVIATION WARFARE CENTER (UAWC) 1</t>
        </is>
      </c>
      <c r="AD665" s="7" t="inlineStr">
        <is>
          <t>124</t>
        </is>
      </c>
      <c r="AE665" s="7" t="inlineStr">
        <is>
          <t>2004</t>
        </is>
      </c>
      <c r="AG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13" t="inlineStr">
        <is>
          <t>P-8a &gt; CVN-81 &gt; Ordnance &gt; LANDING SIGNAL OFFICER DISPLAY SYSTEM (LSODS) 1</t>
        </is>
      </c>
      <c r="AD666" s="7" t="inlineStr">
        <is>
          <t>124</t>
        </is>
      </c>
      <c r="AE666" s="7" t="inlineStr">
        <is>
          <t>2004</t>
        </is>
      </c>
      <c r="AG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13" t="inlineStr">
        <is>
          <t>P-8a &gt; CVN-81 &gt; Ordnance &gt; MORIAH BLOCK 2 1</t>
        </is>
      </c>
      <c r="AD667" s="7" t="inlineStr">
        <is>
          <t>124</t>
        </is>
      </c>
      <c r="AE667" s="7" t="inlineStr">
        <is>
          <t>2004</t>
        </is>
      </c>
      <c r="AG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13" t="inlineStr">
        <is>
          <t>P-8a &gt; CVN-81 &gt; Ordnance &gt; LONG RANGE LINEUP SYSTEM (LRLS) 1</t>
        </is>
      </c>
      <c r="AD668" s="7" t="inlineStr">
        <is>
          <t>124</t>
        </is>
      </c>
      <c r="AE668" s="7" t="inlineStr">
        <is>
          <t>2004</t>
        </is>
      </c>
      <c r="AG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13" t="inlineStr">
        <is>
          <t>P-8a &gt; CVN-81 &gt; Ordnance &gt; COMPACT SWAGING MACHINE (CSM) 2</t>
        </is>
      </c>
      <c r="AD669" s="7" t="inlineStr">
        <is>
          <t>124</t>
        </is>
      </c>
      <c r="AE669" s="7" t="inlineStr">
        <is>
          <t>2004</t>
        </is>
      </c>
      <c r="AG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13" t="inlineStr">
        <is>
          <t>P-8a &gt; CVN-81 &gt; Ordnance &gt; JOINT STRIKE FIGHTER ALIS 1</t>
        </is>
      </c>
      <c r="AD670" s="7" t="inlineStr">
        <is>
          <t>124</t>
        </is>
      </c>
      <c r="AE670" s="7" t="inlineStr">
        <is>
          <t>2004</t>
        </is>
      </c>
      <c r="AG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13" t="inlineStr">
        <is>
          <t>P-8a &gt; CVN-81 &gt; Ordnance &gt; MK-38 MOD 3 MACHINE GUN SYSTEM (MGS) 4</t>
        </is>
      </c>
      <c r="AD671" s="7" t="inlineStr">
        <is>
          <t>124</t>
        </is>
      </c>
      <c r="AE671" s="7" t="inlineStr">
        <is>
          <t>2004</t>
        </is>
      </c>
      <c r="AG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13" t="inlineStr">
        <is>
          <t>P-8a &gt; CVN-81 &gt; Ordnance &gt; MANUALLY OPERATED VISUAL LANDING AID SYSTEM (MOVLAS) 1</t>
        </is>
      </c>
      <c r="AD672" s="7" t="inlineStr">
        <is>
          <t>124</t>
        </is>
      </c>
      <c r="AE672" s="7" t="inlineStr">
        <is>
          <t>2004</t>
        </is>
      </c>
      <c r="AG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13" t="inlineStr">
        <is>
          <t>P-8a &gt; CVN-81 &gt; Ordnance &gt; MAGOPS) 1</t>
        </is>
      </c>
      <c r="AD673" s="7" t="inlineStr">
        <is>
          <t>124</t>
        </is>
      </c>
      <c r="AE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13" t="inlineStr">
        <is>
          <t>P-8a &gt; CVN-81 &gt; Ordnance &gt; Other ORDNANCE</t>
        </is>
      </c>
      <c r="AD674" s="7" t="inlineStr">
        <is>
          <t>124</t>
        </is>
      </c>
      <c r="AE674" s="7" t="inlineStr">
        <is>
          <t>2004</t>
        </is>
      </c>
      <c r="AG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13" t="inlineStr">
        <is>
          <t>P-35 &gt; CVN-81 &gt; CONSOLIDATED AFLOAT NETWORK AND ENTERPRISE SERVICES (CANES) &gt; Major Hardware                                                                                                                                                     1</t>
        </is>
      </c>
      <c r="AD675" s="7" t="inlineStr">
        <is>
          <t>125</t>
        </is>
      </c>
      <c r="AE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13" t="inlineStr">
        <is>
          <t>P-35 &gt; CVN-81 &gt; CONSOLIDATED AFLOAT NETWORK AND ENTERPRISE SERVICES (CANES) &gt; Technical Data and Documentation</t>
        </is>
      </c>
      <c r="AD676" s="7" t="inlineStr">
        <is>
          <t>125</t>
        </is>
      </c>
      <c r="AE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13" t="inlineStr">
        <is>
          <t>P-35 &gt; CVN-81 &gt; CONSOLIDATED AFLOAT NETWORK AND ENTERPRISE SERVICES (CANES) &gt; Spares</t>
        </is>
      </c>
      <c r="AD677" s="7" t="inlineStr">
        <is>
          <t>125</t>
        </is>
      </c>
      <c r="AE677" s="7" t="inlineStr">
        <is>
          <t>2004</t>
        </is>
      </c>
      <c r="AG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13" t="inlineStr">
        <is>
          <t>P-35 &gt; CVN-81 &gt; CONSOLIDATED AFLOAT NETWORK AND ENTERPRISE SERVICES (CANES) &gt; System Engineering</t>
        </is>
      </c>
      <c r="AD678" s="7" t="inlineStr">
        <is>
          <t>125</t>
        </is>
      </c>
      <c r="AE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13" t="inlineStr">
        <is>
          <t>P-35 &gt; CVN-81 &gt; CONSOLIDATED AFLOAT NETWORK AND ENTERPRISE SERVICES (CANES) &gt; Technical Engineering Services</t>
        </is>
      </c>
      <c r="AD679" s="7" t="inlineStr">
        <is>
          <t>125</t>
        </is>
      </c>
      <c r="AE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13" t="inlineStr">
        <is>
          <t>P-35 &gt; CVN-81 &gt; CONSOLIDATED AFLOAT NETWORK AND ENTERPRISE SERVICES (CANES) &gt; Other Costs</t>
        </is>
      </c>
      <c r="AD680" s="7" t="inlineStr">
        <is>
          <t>125</t>
        </is>
      </c>
      <c r="AE680" s="7" t="inlineStr">
        <is>
          <t>2004</t>
        </is>
      </c>
      <c r="AG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13" t="inlineStr">
        <is>
          <t>P-35 &gt; CVN-81 &gt; AN/USG-2, COOPERATIVE ENGAGEMENT CAPABILITY (CEC) &gt; Major Hardware                                                                                                                                                       1</t>
        </is>
      </c>
      <c r="AD681" s="7" t="inlineStr">
        <is>
          <t>126</t>
        </is>
      </c>
      <c r="AE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13" t="inlineStr">
        <is>
          <t>P-35 &gt; CVN-81 &gt; AN/USG-2, COOPERATIVE ENGAGEMENT CAPABILITY (CEC) &gt; Spares</t>
        </is>
      </c>
      <c r="AD682" s="7" t="inlineStr">
        <is>
          <t>126</t>
        </is>
      </c>
      <c r="AE682" s="7" t="inlineStr">
        <is>
          <t>2004</t>
        </is>
      </c>
      <c r="AG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13" t="inlineStr">
        <is>
          <t>P-35 &gt; CVN-81 &gt; AN/USG-2, COOPERATIVE ENGAGEMENT CAPABILITY (CEC) &gt; System Engineering</t>
        </is>
      </c>
      <c r="AD683" s="7" t="inlineStr">
        <is>
          <t>126</t>
        </is>
      </c>
      <c r="AE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13" t="inlineStr">
        <is>
          <t>P-35 &gt; CVN-81 &gt; AN/USG-2, COOPERATIVE ENGAGEMENT CAPABILITY (CEC) &gt; Technical Engineering Services</t>
        </is>
      </c>
      <c r="AD684" s="7" t="inlineStr">
        <is>
          <t>126</t>
        </is>
      </c>
      <c r="AE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13" t="inlineStr">
        <is>
          <t>P-35 &gt; CVN-81 &gt; AN/USG-2, COOPERATIVE ENGAGEMENT CAPABILITY (CEC) &gt; Other Costs</t>
        </is>
      </c>
      <c r="AD685" s="7" t="inlineStr">
        <is>
          <t>126</t>
        </is>
      </c>
      <c r="AE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13" t="inlineStr">
        <is>
          <t>P-35 &gt; CVN-81 &gt; DIGITAL MODULAR RADIO (DMR) ULTRA HIGH FREQUENCY/VERY HIGH FREQUENCY LINE OF PARM Code: PMW 170 &gt; Major Hardware                                                                                                                                               1</t>
        </is>
      </c>
      <c r="AD686" s="7" t="inlineStr">
        <is>
          <t>127</t>
        </is>
      </c>
      <c r="AE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13" t="inlineStr">
        <is>
          <t>P-35 &gt; CVN-81 &gt; DIGITAL MODULAR RADIO (DMR) ULTRA HIGH FREQUENCY/VERY HIGH FREQUENCY LINE OF PARM Code: PMW 170 &gt; Spares</t>
        </is>
      </c>
      <c r="AD687" s="7" t="inlineStr">
        <is>
          <t>127</t>
        </is>
      </c>
      <c r="AE687" s="7" t="inlineStr">
        <is>
          <t>2004</t>
        </is>
      </c>
      <c r="AG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13" t="inlineStr">
        <is>
          <t>P-35 &gt; CVN-81 &gt; DIGITAL MODULAR RADIO (DMR) ULTRA HIGH FREQUENCY/VERY HIGH FREQUENCY LINE OF PARM Code: PMW 170 &gt; System Engineering</t>
        </is>
      </c>
      <c r="AD688" s="7" t="inlineStr">
        <is>
          <t>127</t>
        </is>
      </c>
      <c r="AE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13" t="inlineStr">
        <is>
          <t>P-35 &gt; CVN-81 &gt; DIGITAL MODULAR RADIO (DMR) ULTRA HIGH FREQUENCY/VERY HIGH FREQUENCY LINE OF PARM Code: PMW 170 &gt; Technical Engineering Services</t>
        </is>
      </c>
      <c r="AD689" s="7" t="inlineStr">
        <is>
          <t>127</t>
        </is>
      </c>
      <c r="AE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13" t="inlineStr">
        <is>
          <t>P-35 &gt; CVN-81 &gt; DIGITAL MODULAR RADIO (DMR) ULTRA HIGH FREQUENCY/VERY HIGH FREQUENCY LINE OF PARM Code: PMW 170 &gt; Other Costs</t>
        </is>
      </c>
      <c r="AD690" s="7" t="inlineStr">
        <is>
          <t>127</t>
        </is>
      </c>
      <c r="AE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13" t="inlineStr">
        <is>
          <t>P-35 &gt; CVN-81 &gt; AN/UPX-29(V), INTERROGATOR FRIEND OR FOE (IFF) W/MK XII &gt; Major Hardware                                                                                                                                                       1</t>
        </is>
      </c>
      <c r="AD691" s="7" t="inlineStr">
        <is>
          <t>128</t>
        </is>
      </c>
      <c r="AE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13" t="inlineStr">
        <is>
          <t>P-35 &gt; CVN-81 &gt; AN/UPX-29(V), INTERROGATOR FRIEND OR FOE (IFF) W/MK XII &gt; Ancillary Equipment</t>
        </is>
      </c>
      <c r="AD692" s="7" t="inlineStr">
        <is>
          <t>128</t>
        </is>
      </c>
      <c r="AE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13" t="inlineStr">
        <is>
          <t>P-35 &gt; CVN-81 &gt; AN/UPX-29(V), INTERROGATOR FRIEND OR FOE (IFF) W/MK XII &gt; Technical Data and Documentation</t>
        </is>
      </c>
      <c r="AD693" s="7" t="inlineStr">
        <is>
          <t>128</t>
        </is>
      </c>
      <c r="AE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13" t="inlineStr">
        <is>
          <t>P-35 &gt; CVN-81 &gt; AN/UPX-29(V), INTERROGATOR FRIEND OR FOE (IFF) W/MK XII &gt; Spares</t>
        </is>
      </c>
      <c r="AD694" s="7" t="inlineStr">
        <is>
          <t>128</t>
        </is>
      </c>
      <c r="AE694" s="7" t="inlineStr">
        <is>
          <t>2004</t>
        </is>
      </c>
      <c r="AG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13" t="inlineStr">
        <is>
          <t>P-35 &gt; CVN-81 &gt; AN/UPX-29(V), INTERROGATOR FRIEND OR FOE (IFF) W/MK XII &gt; System Engineering</t>
        </is>
      </c>
      <c r="AD695" s="7" t="inlineStr">
        <is>
          <t>128</t>
        </is>
      </c>
      <c r="AE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13" t="inlineStr">
        <is>
          <t>P-35 &gt; CVN-81 &gt; AN/UPX-29(V), INTERROGATOR FRIEND OR FOE (IFF) W/MK XII &gt; Technical Engineering Services</t>
        </is>
      </c>
      <c r="AD696" s="7" t="inlineStr">
        <is>
          <t>128</t>
        </is>
      </c>
      <c r="AE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13" t="inlineStr">
        <is>
          <t>P-35 &gt; CVN-81 &gt; AN/UPX-29(V), INTERROGATOR FRIEND OR FOE (IFF) W/MK XII &gt; Other Costs</t>
        </is>
      </c>
      <c r="AD697" s="7" t="inlineStr">
        <is>
          <t>128</t>
        </is>
      </c>
      <c r="AE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13" t="inlineStr">
        <is>
          <t>P-35 &gt; CVN-81 &gt; SPN-46, AUTOMATIC CARRIER LANDING SYSTEM &gt; Major Hardware                                                                                                                                                 1</t>
        </is>
      </c>
      <c r="AD698" s="7" t="inlineStr">
        <is>
          <t>129</t>
        </is>
      </c>
      <c r="AE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13" t="inlineStr">
        <is>
          <t>P-35 &gt; CVN-81 &gt; SPN-46, AUTOMATIC CARRIER LANDING SYSTEM &gt; System Engineering</t>
        </is>
      </c>
      <c r="AD699" s="7" t="inlineStr">
        <is>
          <t>129</t>
        </is>
      </c>
      <c r="AE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13" t="inlineStr">
        <is>
          <t>P-35 &gt; CVN-81 &gt; SPN-46, AUTOMATIC CARRIER LANDING SYSTEM &gt; Technical Engineering Services</t>
        </is>
      </c>
      <c r="AD700" s="7" t="inlineStr">
        <is>
          <t>129</t>
        </is>
      </c>
      <c r="AE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13" t="inlineStr">
        <is>
          <t>P-35 &gt; CVN-81 &gt; SPN-46, AUTOMATIC CARRIER LANDING SYSTEM &gt; Other Costs</t>
        </is>
      </c>
      <c r="AD701" s="7" t="inlineStr">
        <is>
          <t>129</t>
        </is>
      </c>
      <c r="AE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13" t="inlineStr">
        <is>
          <t>P-35 &gt; CVN-81 &gt; SHIP SELF DEFENSE SYSTEM (SSDS) &gt; Major Hardware                                                                                                                                                  1</t>
        </is>
      </c>
      <c r="AD702" s="7" t="inlineStr">
        <is>
          <t>130</t>
        </is>
      </c>
      <c r="AE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13" t="inlineStr">
        <is>
          <t>P-35 &gt; CVN-81 &gt; SHIP SELF DEFENSE SYSTEM (SSDS) &gt; Technical Data and Documentation</t>
        </is>
      </c>
      <c r="AD703" s="7" t="inlineStr">
        <is>
          <t>130</t>
        </is>
      </c>
      <c r="AE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13" t="inlineStr">
        <is>
          <t>P-35 &gt; CVN-81 &gt; SHIP SELF DEFENSE SYSTEM (SSDS) &gt; Spares</t>
        </is>
      </c>
      <c r="AD704" s="7" t="inlineStr">
        <is>
          <t>130</t>
        </is>
      </c>
      <c r="AE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13" t="inlineStr">
        <is>
          <t>P-35 &gt; CVN-81 &gt; SHIP SELF DEFENSE SYSTEM (SSDS) &gt; System Engineering</t>
        </is>
      </c>
      <c r="AD705" s="7" t="inlineStr">
        <is>
          <t>130</t>
        </is>
      </c>
      <c r="AE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13" t="inlineStr">
        <is>
          <t>P-35 &gt; CVN-81 &gt; SHIP SELF DEFENSE SYSTEM (SSDS) &gt; Technical Engineering Services</t>
        </is>
      </c>
      <c r="AD706" s="7" t="inlineStr">
        <is>
          <t>130</t>
        </is>
      </c>
      <c r="AE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13" t="inlineStr">
        <is>
          <t>P-35 &gt; CVN-81 &gt; SHIP SELF DEFENSE SYSTEM (SSDS) &gt; Other Costs</t>
        </is>
      </c>
      <c r="AD707" s="7" t="inlineStr">
        <is>
          <t>130</t>
        </is>
      </c>
      <c r="AE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13" t="inlineStr">
        <is>
          <t>P-35 &gt; CVN-81 &gt; AN/SYY-1(V)1 AIR TRAFFIC CONTROL SYSTEM, SHIPBOARD &gt; Major Hardware                                                                                                                                                     1</t>
        </is>
      </c>
      <c r="AD708" s="7" t="inlineStr">
        <is>
          <t>131</t>
        </is>
      </c>
      <c r="AE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13" t="inlineStr">
        <is>
          <t>P-35 &gt; CVN-81 &gt; AN/SYY-1(V)1 AIR TRAFFIC CONTROL SYSTEM, SHIPBOARD &gt; Spares</t>
        </is>
      </c>
      <c r="AD709" s="7" t="inlineStr">
        <is>
          <t>131</t>
        </is>
      </c>
      <c r="AE709" s="7" t="inlineStr">
        <is>
          <t>2004</t>
        </is>
      </c>
      <c r="AG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13" t="inlineStr">
        <is>
          <t>P-35 &gt; CVN-81 &gt; AN/SYY-1(V)1 AIR TRAFFIC CONTROL SYSTEM, SHIPBOARD &gt; System Engineering</t>
        </is>
      </c>
      <c r="AD710" s="7" t="inlineStr">
        <is>
          <t>131</t>
        </is>
      </c>
      <c r="AE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13" t="inlineStr">
        <is>
          <t>P-35 &gt; CVN-81 &gt; AN/SYY-1(V)1 AIR TRAFFIC CONTROL SYSTEM, SHIPBOARD &gt; Technical Engineering Services</t>
        </is>
      </c>
      <c r="AD711" s="7" t="inlineStr">
        <is>
          <t>131</t>
        </is>
      </c>
      <c r="AE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13" t="inlineStr">
        <is>
          <t>P-35 &gt; CVN-81 &gt; AN/SYY-1(V)1 AIR TRAFFIC CONTROL SYSTEM, SHIPBOARD &gt; Other Costs</t>
        </is>
      </c>
      <c r="AD712" s="7" t="inlineStr">
        <is>
          <t>131</t>
        </is>
      </c>
      <c r="AE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13" t="inlineStr">
        <is>
          <t>P-35 &gt; CVN-81 &gt; NAVY MULTI-BAND TERMINAL (NMT) &gt; Major Hardware                                                                                                                                                     1</t>
        </is>
      </c>
      <c r="AD713" s="7" t="inlineStr">
        <is>
          <t>132</t>
        </is>
      </c>
      <c r="AE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13" t="inlineStr">
        <is>
          <t>P-35 &gt; CVN-81 &gt; NAVY MULTI-BAND TERMINAL (NMT) &gt; Spares</t>
        </is>
      </c>
      <c r="AD714" s="7" t="inlineStr">
        <is>
          <t>132</t>
        </is>
      </c>
      <c r="AE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13" t="inlineStr">
        <is>
          <t>P-35 &gt; CVN-81 &gt; NAVY MULTI-BAND TERMINAL (NMT) &gt; System Engineering</t>
        </is>
      </c>
      <c r="AD715" s="7" t="inlineStr">
        <is>
          <t>132</t>
        </is>
      </c>
      <c r="AE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13" t="inlineStr">
        <is>
          <t>P-35 &gt; CVN-81 &gt; NAVY MULTI-BAND TERMINAL (NMT) &gt; Technical Engineering Services</t>
        </is>
      </c>
      <c r="AD716" s="7" t="inlineStr">
        <is>
          <t>132</t>
        </is>
      </c>
      <c r="AE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13" t="inlineStr">
        <is>
          <t>P-35 &gt; CVN-81 &gt; NAVY MULTI-BAND TERMINAL (NMT) &gt; Other Costs</t>
        </is>
      </c>
      <c r="AD717" s="7" t="inlineStr">
        <is>
          <t>132</t>
        </is>
      </c>
      <c r="AE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13" t="inlineStr">
        <is>
          <t>P-35 &gt; CVN-81 &gt; AN/SLQ-32(V)7, SURFACE ELECTRONIC WARFARE IMPROVEMENT PROGRAM (SEWIP) BLOCK PARM Code: PEO IWS 2E &gt; Major Hardware                                                                                                                                                   1</t>
        </is>
      </c>
      <c r="AD718" s="7" t="inlineStr">
        <is>
          <t>133</t>
        </is>
      </c>
      <c r="AE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13" t="inlineStr">
        <is>
          <t>P-35 &gt; CVN-81 &gt; AN/SLQ-32(V)7, SURFACE ELECTRONIC WARFARE IMPROVEMENT PROGRAM (SEWIP) BLOCK PARM Code: PEO IWS 2E &gt; Ancillary Equipment</t>
        </is>
      </c>
      <c r="AD719" s="7" t="inlineStr">
        <is>
          <t>133</t>
        </is>
      </c>
      <c r="AE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13" t="inlineStr">
        <is>
          <t>P-35 &gt; CVN-81 &gt; AN/SLQ-32(V)7, SURFACE ELECTRONIC WARFARE IMPROVEMENT PROGRAM (SEWIP) BLOCK PARM Code: PEO IWS 2E &gt; Spares</t>
        </is>
      </c>
      <c r="AD720" s="7" t="inlineStr">
        <is>
          <t>133</t>
        </is>
      </c>
      <c r="AE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13" t="inlineStr">
        <is>
          <t>P-35 &gt; CVN-81 &gt; AN/SLQ-32(V)7, SURFACE ELECTRONIC WARFARE IMPROVEMENT PROGRAM (SEWIP) BLOCK PARM Code: PEO IWS 2E &gt; System Engineering</t>
        </is>
      </c>
      <c r="AD721" s="7" t="inlineStr">
        <is>
          <t>133</t>
        </is>
      </c>
      <c r="AE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13" t="inlineStr">
        <is>
          <t>P-35 &gt; CVN-81 &gt; AN/SLQ-32(V)7, SURFACE ELECTRONIC WARFARE IMPROVEMENT PROGRAM (SEWIP) BLOCK PARM Code: PEO IWS 2E &gt; Technical Engineering Services</t>
        </is>
      </c>
      <c r="AD722" s="7" t="inlineStr">
        <is>
          <t>133</t>
        </is>
      </c>
      <c r="AE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13" t="inlineStr">
        <is>
          <t>P-35 &gt; CVN-81 &gt; AN/SLQ-32(V)7, SURFACE ELECTRONIC WARFARE IMPROVEMENT PROGRAM (SEWIP) BLOCK PARM Code: PEO IWS 2E &gt; Other Costs</t>
        </is>
      </c>
      <c r="AD723" s="7" t="inlineStr">
        <is>
          <t>133</t>
        </is>
      </c>
      <c r="AE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13" t="inlineStr">
        <is>
          <t>P-35 &gt; CVN-81 &gt; SPECTRAL &gt; Major Hardware                                                                                                                                                          1</t>
        </is>
      </c>
      <c r="AD724" s="7" t="inlineStr">
        <is>
          <t>134</t>
        </is>
      </c>
      <c r="AE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13" t="inlineStr">
        <is>
          <t>P-35 &gt; CVN-81 &gt; SPECTRAL &gt; Spares</t>
        </is>
      </c>
      <c r="AD725" s="7" t="inlineStr">
        <is>
          <t>134</t>
        </is>
      </c>
      <c r="AE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13" t="inlineStr">
        <is>
          <t>P-35 &gt; CVN-81 &gt; SPECTRAL &gt; System Engineering</t>
        </is>
      </c>
      <c r="AD726" s="7" t="inlineStr">
        <is>
          <t>134</t>
        </is>
      </c>
      <c r="AE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13" t="inlineStr">
        <is>
          <t>P-35 &gt; CVN-81 &gt; SPECTRAL &gt; Technical Engineering Services</t>
        </is>
      </c>
      <c r="AD727" s="7" t="inlineStr">
        <is>
          <t>134</t>
        </is>
      </c>
      <c r="AE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13" t="inlineStr">
        <is>
          <t>P-35 &gt; CVN-81 &gt; SPECTRAL &gt; Other Costs</t>
        </is>
      </c>
      <c r="AD728" s="7" t="inlineStr">
        <is>
          <t>134</t>
        </is>
      </c>
      <c r="AE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13" t="inlineStr">
        <is>
          <t>P-35 &gt; CVN-81 &gt; AN/SRC-66(V)3 HFDAG &gt; Major Hardware                                                                                                                                                 1</t>
        </is>
      </c>
      <c r="AD729" s="7" t="inlineStr">
        <is>
          <t>135</t>
        </is>
      </c>
      <c r="AE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13" t="inlineStr">
        <is>
          <t>P-35 &gt; CVN-81 &gt; AN/SRC-66(V)3 HFDAG &gt; Spares</t>
        </is>
      </c>
      <c r="AD730" s="7" t="inlineStr">
        <is>
          <t>135</t>
        </is>
      </c>
      <c r="AE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13" t="inlineStr">
        <is>
          <t>P-35 &gt; CVN-81 &gt; AN/SRC-66(V)3 HFDAG &gt; System Engineering</t>
        </is>
      </c>
      <c r="AD731" s="7" t="inlineStr">
        <is>
          <t>135</t>
        </is>
      </c>
      <c r="AE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13" t="inlineStr">
        <is>
          <t>P-35 &gt; CVN-81 &gt; AN/SRC-66(V)3 HFDAG &gt; Technical Engineering Services</t>
        </is>
      </c>
      <c r="AD732" s="7" t="inlineStr">
        <is>
          <t>135</t>
        </is>
      </c>
      <c r="AE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13" t="inlineStr">
        <is>
          <t>P-35 &gt; CVN-81 &gt; AN/SRC-66(V)3 HFDAG &gt; Other Costs</t>
        </is>
      </c>
      <c r="AD733" s="7" t="inlineStr">
        <is>
          <t>135</t>
        </is>
      </c>
      <c r="AE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13" t="inlineStr">
        <is>
          <t>P-35 &gt; CVN-81 &gt; AN/USN-3(V)1 SATELLITE SIGNAL LANDING SYSTEM (SSLS) &gt; Major Hardware                                                                                                                                                    1</t>
        </is>
      </c>
      <c r="AD734" s="7" t="inlineStr">
        <is>
          <t>136</t>
        </is>
      </c>
      <c r="AE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13" t="inlineStr">
        <is>
          <t>P-35 &gt; CVN-81 &gt; AN/USN-3(V)1 SATELLITE SIGNAL LANDING SYSTEM (SSLS) &gt; Spares</t>
        </is>
      </c>
      <c r="AD735" s="7" t="inlineStr">
        <is>
          <t>136</t>
        </is>
      </c>
      <c r="AE735" s="7" t="inlineStr">
        <is>
          <t>2004</t>
        </is>
      </c>
      <c r="AG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13" t="inlineStr">
        <is>
          <t>P-35 &gt; CVN-81 &gt; AN/USN-3(V)1 SATELLITE SIGNAL LANDING SYSTEM (SSLS) &gt; System Engineering</t>
        </is>
      </c>
      <c r="AD736" s="7" t="inlineStr">
        <is>
          <t>136</t>
        </is>
      </c>
      <c r="AE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13" t="inlineStr">
        <is>
          <t>P-35 &gt; CVN-81 &gt; AN/USN-3(V)1 SATELLITE SIGNAL LANDING SYSTEM (SSLS) &gt; Technical Engineering Services</t>
        </is>
      </c>
      <c r="AD737" s="7" t="inlineStr">
        <is>
          <t>136</t>
        </is>
      </c>
      <c r="AE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13" t="inlineStr">
        <is>
          <t>P-35 &gt; CVN-81 &gt; AN/USN-3(V)1 SATELLITE SIGNAL LANDING SYSTEM (SSLS) &gt; Other Costs</t>
        </is>
      </c>
      <c r="AD738" s="7" t="inlineStr">
        <is>
          <t>136</t>
        </is>
      </c>
      <c r="AE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13" t="inlineStr">
        <is>
          <t>P-35 &gt; CVN-81 &gt; OA-9277 ULTRA HIGH FREQUENCY (UHF) MULTICOUPLER &gt; Major Hardware                                                                                                                                             1</t>
        </is>
      </c>
      <c r="AD739" s="7" t="inlineStr">
        <is>
          <t>137</t>
        </is>
      </c>
      <c r="AE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13" t="inlineStr">
        <is>
          <t>P-35 &gt; CVN-81 &gt; OA-9277 ULTRA HIGH FREQUENCY (UHF) MULTICOUPLER &gt; System Engineering</t>
        </is>
      </c>
      <c r="AD740" s="7" t="inlineStr">
        <is>
          <t>137</t>
        </is>
      </c>
      <c r="AE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13" t="inlineStr">
        <is>
          <t>P-35 &gt; CVN-81 &gt; OA-9277 ULTRA HIGH FREQUENCY (UHF) MULTICOUPLER &gt; Technical Engineering Services</t>
        </is>
      </c>
      <c r="AD741" s="7" t="inlineStr">
        <is>
          <t>137</t>
        </is>
      </c>
      <c r="AE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13" t="inlineStr">
        <is>
          <t>P-35 &gt; CVN-81 &gt; OA-9277 ULTRA HIGH FREQUENCY (UHF) MULTICOUPLER &gt; Other Costs</t>
        </is>
      </c>
      <c r="AD742" s="7" t="inlineStr">
        <is>
          <t>137</t>
        </is>
      </c>
      <c r="AE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13" t="inlineStr">
        <is>
          <t>P-35 &gt; CVN-81 &gt; AN/WSN-12(V)1, RING LASER GYRO NAVIGATOR (RLGN) &gt; Major Hardware                                                                                                                                              1</t>
        </is>
      </c>
      <c r="AD743" s="7" t="inlineStr">
        <is>
          <t>138</t>
        </is>
      </c>
      <c r="AE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13" t="inlineStr">
        <is>
          <t>P-35 &gt; CVN-81 &gt; AN/WSN-12(V)1, RING LASER GYRO NAVIGATOR (RLGN) &gt; Spares</t>
        </is>
      </c>
      <c r="AD744" s="7" t="inlineStr">
        <is>
          <t>138</t>
        </is>
      </c>
      <c r="AE744" s="7" t="inlineStr">
        <is>
          <t>2004</t>
        </is>
      </c>
      <c r="AG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13" t="inlineStr">
        <is>
          <t>P-35 &gt; CVN-81 &gt; AN/WSN-12(V)1, RING LASER GYRO NAVIGATOR (RLGN) &gt; System Engineering</t>
        </is>
      </c>
      <c r="AD745" s="7" t="inlineStr">
        <is>
          <t>138</t>
        </is>
      </c>
      <c r="AE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13" t="inlineStr">
        <is>
          <t>P-35 &gt; CVN-81 &gt; AN/WSN-12(V)1, RING LASER GYRO NAVIGATOR (RLGN) &gt; Technical Engineering Services</t>
        </is>
      </c>
      <c r="AD746" s="7" t="inlineStr">
        <is>
          <t>138</t>
        </is>
      </c>
      <c r="AE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13" t="inlineStr">
        <is>
          <t>P-35 &gt; CVN-81 &gt; AN/WSN-12(V)1, RING LASER GYRO NAVIGATOR (RLGN) &gt; Other Costs</t>
        </is>
      </c>
      <c r="AD747" s="7" t="inlineStr">
        <is>
          <t>138</t>
        </is>
      </c>
      <c r="AE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13" t="inlineStr">
        <is>
          <t>P-35 &gt; CVN-81 &gt; AN/USQ-214(V)1, NETWORK TACTICAL COMMON DATA LINK (NTCDL) SYSTEM &gt; Major Hardware                                                                                                                                                    1</t>
        </is>
      </c>
      <c r="AD748" s="7" t="inlineStr">
        <is>
          <t>139</t>
        </is>
      </c>
      <c r="AE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13" t="inlineStr">
        <is>
          <t>P-35 &gt; CVN-81 &gt; AN/USQ-214(V)1, NETWORK TACTICAL COMMON DATA LINK (NTCDL) SYSTEM &gt; Spares</t>
        </is>
      </c>
      <c r="AD749" s="7" t="inlineStr">
        <is>
          <t>139</t>
        </is>
      </c>
      <c r="AE749" s="7" t="inlineStr">
        <is>
          <t>2004</t>
        </is>
      </c>
      <c r="AG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13" t="inlineStr">
        <is>
          <t>P-35 &gt; CVN-81 &gt; AN/USQ-214(V)1, NETWORK TACTICAL COMMON DATA LINK (NTCDL) SYSTEM &gt; System Engineering</t>
        </is>
      </c>
      <c r="AD750" s="7" t="inlineStr">
        <is>
          <t>139</t>
        </is>
      </c>
      <c r="AE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13" t="inlineStr">
        <is>
          <t>P-35 &gt; CVN-81 &gt; AN/USQ-214(V)1, NETWORK TACTICAL COMMON DATA LINK (NTCDL) SYSTEM &gt; Technical Engineering Services</t>
        </is>
      </c>
      <c r="AD751" s="7" t="inlineStr">
        <is>
          <t>139</t>
        </is>
      </c>
      <c r="AE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13" t="inlineStr">
        <is>
          <t>P-35 &gt; CVN-81 &gt; AN/USQ-214(V)1, NETWORK TACTICAL COMMON DATA LINK (NTCDL) SYSTEM &gt; Other Costs</t>
        </is>
      </c>
      <c r="AD752" s="7" t="inlineStr">
        <is>
          <t>139</t>
        </is>
      </c>
      <c r="AE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13" t="inlineStr">
        <is>
          <t>P-35 &gt; CVN-81 &gt; MK 53 MOD 15 DECOY LAUNCHING SYSTEM (DLS) &gt; Major Hardware                                                                                                                                                   1</t>
        </is>
      </c>
      <c r="AD753" s="7" t="inlineStr">
        <is>
          <t>140</t>
        </is>
      </c>
      <c r="AE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13" t="inlineStr">
        <is>
          <t>P-35 &gt; CVN-81 &gt; MK 53 MOD 15 DECOY LAUNCHING SYSTEM (DLS) &gt; Technical Data and Documentation</t>
        </is>
      </c>
      <c r="AD754" s="7" t="inlineStr">
        <is>
          <t>140</t>
        </is>
      </c>
      <c r="AE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13" t="inlineStr">
        <is>
          <t>P-35 &gt; CVN-81 &gt; MK 53 MOD 15 DECOY LAUNCHING SYSTEM (DLS) &gt; Spares</t>
        </is>
      </c>
      <c r="AD755" s="7" t="inlineStr">
        <is>
          <t>140</t>
        </is>
      </c>
      <c r="AE755" s="7" t="inlineStr">
        <is>
          <t>2004</t>
        </is>
      </c>
      <c r="AG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13" t="inlineStr">
        <is>
          <t>P-35 &gt; CVN-81 &gt; MK 53 MOD 15 DECOY LAUNCHING SYSTEM (DLS) &gt; System Engineering</t>
        </is>
      </c>
      <c r="AD756" s="7" t="inlineStr">
        <is>
          <t>140</t>
        </is>
      </c>
      <c r="AE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13" t="inlineStr">
        <is>
          <t>P-35 &gt; CVN-81 &gt; MK 53 MOD 15 DECOY LAUNCHING SYSTEM (DLS) &gt; Technical Engineering Services</t>
        </is>
      </c>
      <c r="AD757" s="7" t="inlineStr">
        <is>
          <t>140</t>
        </is>
      </c>
      <c r="AE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13" t="inlineStr">
        <is>
          <t>P-35 &gt; CVN-81 &gt; MK 53 MOD 15 DECOY LAUNCHING SYSTEM (DLS) &gt; Other Costs</t>
        </is>
      </c>
      <c r="AD758" s="7" t="inlineStr">
        <is>
          <t>140</t>
        </is>
      </c>
      <c r="AE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13" t="inlineStr">
        <is>
          <t>P-35 &gt; CVN-81 &gt; I-STALKER &gt; Major Hardware                                                                                                                                                       1</t>
        </is>
      </c>
      <c r="AD759" s="7" t="inlineStr">
        <is>
          <t>141</t>
        </is>
      </c>
      <c r="AE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13" t="inlineStr">
        <is>
          <t>P-35 &gt; CVN-81 &gt; I-STALKER &gt; Ancillary Equipment</t>
        </is>
      </c>
      <c r="AD760" s="7" t="inlineStr">
        <is>
          <t>141</t>
        </is>
      </c>
      <c r="AE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13" t="inlineStr">
        <is>
          <t>P-35 &gt; CVN-81 &gt; I-STALKER &gt; Spares</t>
        </is>
      </c>
      <c r="AD761" s="7" t="inlineStr">
        <is>
          <t>141</t>
        </is>
      </c>
      <c r="AE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13" t="inlineStr">
        <is>
          <t>P-35 &gt; CVN-81 &gt; I-STALKER &gt; System Engineering</t>
        </is>
      </c>
      <c r="AD762" s="7" t="inlineStr">
        <is>
          <t>141</t>
        </is>
      </c>
      <c r="AE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13" t="inlineStr">
        <is>
          <t>P-35 &gt; CVN-81 &gt; I-STALKER &gt; Technical Engineering Services</t>
        </is>
      </c>
      <c r="AD763" s="7" t="inlineStr">
        <is>
          <t>141</t>
        </is>
      </c>
      <c r="AE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13" t="inlineStr">
        <is>
          <t>P-35 &gt; CVN-81 &gt; I-STALKER &gt; Other Costs</t>
        </is>
      </c>
      <c r="AD764" s="7" t="inlineStr">
        <is>
          <t>141</t>
        </is>
      </c>
      <c r="AE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13" t="inlineStr">
        <is>
          <t>P-35 &gt; CVN-81 &gt; ELECTROMAGNETIC AIRCRAFT LAUNCHING SYSTEM (EMALS) &gt; Major Hardware                                                                                                                                                  1</t>
        </is>
      </c>
      <c r="AD765" s="7" t="inlineStr">
        <is>
          <t>142</t>
        </is>
      </c>
      <c r="AE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13" t="inlineStr">
        <is>
          <t>P-35 &gt; CVN-81 &gt; ELECTROMAGNETIC AIRCRAFT LAUNCHING SYSTEM (EMALS) &gt; Spares</t>
        </is>
      </c>
      <c r="AD766" s="7" t="inlineStr">
        <is>
          <t>142</t>
        </is>
      </c>
      <c r="AE766" s="7" t="inlineStr">
        <is>
          <t>2004</t>
        </is>
      </c>
      <c r="AG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13" t="inlineStr">
        <is>
          <t>P-35 &gt; CVN-81 &gt; ELECTROMAGNETIC AIRCRAFT LAUNCHING SYSTEM (EMALS) &gt; System Engineering</t>
        </is>
      </c>
      <c r="AD767" s="7" t="inlineStr">
        <is>
          <t>142</t>
        </is>
      </c>
      <c r="AE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13" t="inlineStr">
        <is>
          <t>P-35 &gt; CVN-81 &gt; ELECTROMAGNETIC AIRCRAFT LAUNCHING SYSTEM (EMALS) &gt; Technical Engineering Services</t>
        </is>
      </c>
      <c r="AD768" s="7" t="inlineStr">
        <is>
          <t>142</t>
        </is>
      </c>
      <c r="AE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13" t="inlineStr">
        <is>
          <t>P-35 &gt; CVN-81 &gt; ELECTROMAGNETIC AIRCRAFT LAUNCHING SYSTEM (EMALS) &gt; Other Costs</t>
        </is>
      </c>
      <c r="AD769" s="7" t="inlineStr">
        <is>
          <t>142</t>
        </is>
      </c>
      <c r="AE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13" t="inlineStr">
        <is>
          <t>P-35 &gt; CVN-81 &gt; AN/SPY-6(V)3 ENTERPRISE AIR SURVEILLANCE RADAR (EASR) &gt; Major Hardware                                                                                                                                                     1</t>
        </is>
      </c>
      <c r="AD770" s="7" t="inlineStr">
        <is>
          <t>143</t>
        </is>
      </c>
      <c r="AE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13" t="inlineStr">
        <is>
          <t>P-35 &gt; CVN-81 &gt; AN/SPY-6(V)3 ENTERPRISE AIR SURVEILLANCE RADAR (EASR) &gt; Ancillary Equipment</t>
        </is>
      </c>
      <c r="AD771" s="7" t="inlineStr">
        <is>
          <t>143</t>
        </is>
      </c>
      <c r="AE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13" t="inlineStr">
        <is>
          <t>P-35 &gt; CVN-81 &gt; AN/SPY-6(V)3 ENTERPRISE AIR SURVEILLANCE RADAR (EASR) &gt; Spares</t>
        </is>
      </c>
      <c r="AD772" s="7" t="inlineStr">
        <is>
          <t>143</t>
        </is>
      </c>
      <c r="AE772" s="7" t="inlineStr">
        <is>
          <t>2004</t>
        </is>
      </c>
      <c r="AG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13" t="inlineStr">
        <is>
          <t>P-35 &gt; CVN-81 &gt; AN/SPY-6(V)3 ENTERPRISE AIR SURVEILLANCE RADAR (EASR) &gt; System Engineering</t>
        </is>
      </c>
      <c r="AD773" s="7" t="inlineStr">
        <is>
          <t>143</t>
        </is>
      </c>
      <c r="AE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13" t="inlineStr">
        <is>
          <t>P-35 &gt; CVN-81 &gt; AN/SPY-6(V)3 ENTERPRISE AIR SURVEILLANCE RADAR (EASR) &gt; Technical Engineering Services</t>
        </is>
      </c>
      <c r="AD774" s="7" t="inlineStr">
        <is>
          <t>143</t>
        </is>
      </c>
      <c r="AE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13" t="inlineStr">
        <is>
          <t>P-35 &gt; CVN-81 &gt; AN/SPY-6(V)3 ENTERPRISE AIR SURVEILLANCE RADAR (EASR) &gt; Other Costs</t>
        </is>
      </c>
      <c r="AD775" s="7" t="inlineStr">
        <is>
          <t>143</t>
        </is>
      </c>
      <c r="AE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13" t="inlineStr">
        <is>
          <t>P-35 &gt; CVN-81 &gt; ADVANCED ARRESTING GEAR (AAG) &gt; Major Hardware                                                                                                                                                       1</t>
        </is>
      </c>
      <c r="AD776" s="7" t="inlineStr">
        <is>
          <t>144</t>
        </is>
      </c>
      <c r="AE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13" t="inlineStr">
        <is>
          <t>P-35 &gt; CVN-81 &gt; ADVANCED ARRESTING GEAR (AAG) &gt; Spares</t>
        </is>
      </c>
      <c r="AD777" s="7" t="inlineStr">
        <is>
          <t>144</t>
        </is>
      </c>
      <c r="AE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13" t="inlineStr">
        <is>
          <t>P-35 &gt; CVN-81 &gt; ADVANCED ARRESTING GEAR (AAG) &gt; System Engineering</t>
        </is>
      </c>
      <c r="AD778" s="7" t="inlineStr">
        <is>
          <t>144</t>
        </is>
      </c>
      <c r="AE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13" t="inlineStr">
        <is>
          <t>P-35 &gt; CVN-81 &gt; ADVANCED ARRESTING GEAR (AAG) &gt; Technical Engineering Services</t>
        </is>
      </c>
      <c r="AD779" s="7" t="inlineStr">
        <is>
          <t>144</t>
        </is>
      </c>
      <c r="AE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13" t="inlineStr">
        <is>
          <t>P-35 &gt; CVN-81 &gt; ADVANCED ARRESTING GEAR (AAG) &gt; Other Costs</t>
        </is>
      </c>
      <c r="AD780" s="7" t="inlineStr">
        <is>
          <t>144</t>
        </is>
      </c>
      <c r="AE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13" t="inlineStr">
        <is>
          <t>P-35 &gt; CVN-81 &gt; PHALANX BLOCK 1B MK 15 MOD 21 &amp; 22, CLOSE - IN WEAPONS SYSTEM (CIWS) &gt; Major Hardware                                                                                                                                                         3</t>
        </is>
      </c>
      <c r="AD781" s="7" t="inlineStr">
        <is>
          <t>145</t>
        </is>
      </c>
      <c r="AE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13" t="inlineStr">
        <is>
          <t>P-35 &gt; CVN-81 &gt; PHALANX BLOCK 1B MK 15 MOD 21 &amp; 22, CLOSE - IN WEAPONS SYSTEM (CIWS) &gt; Ancillary Equipment</t>
        </is>
      </c>
      <c r="AD782" s="7" t="inlineStr">
        <is>
          <t>145</t>
        </is>
      </c>
      <c r="AE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13" t="inlineStr">
        <is>
          <t>P-35 &gt; CVN-81 &gt; PHALANX BLOCK 1B MK 15 MOD 21 &amp; 22, CLOSE - IN WEAPONS SYSTEM (CIWS) &gt; Spares</t>
        </is>
      </c>
      <c r="AD783" s="7" t="inlineStr">
        <is>
          <t>145</t>
        </is>
      </c>
      <c r="AE783" s="7" t="inlineStr">
        <is>
          <t>2004</t>
        </is>
      </c>
      <c r="AG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13" t="inlineStr">
        <is>
          <t>P-35 &gt; CVN-81 &gt; PHALANX BLOCK 1B MK 15 MOD 21 &amp; 22, CLOSE - IN WEAPONS SYSTEM (CIWS) &gt; System Engineering</t>
        </is>
      </c>
      <c r="AD784" s="7" t="inlineStr">
        <is>
          <t>145</t>
        </is>
      </c>
      <c r="AE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13" t="inlineStr">
        <is>
          <t>P-35 &gt; CVN-81 &gt; PHALANX BLOCK 1B MK 15 MOD 21 &amp; 22, CLOSE - IN WEAPONS SYSTEM (CIWS) &gt; Technical Engineering Services</t>
        </is>
      </c>
      <c r="AD785" s="7" t="inlineStr">
        <is>
          <t>145</t>
        </is>
      </c>
      <c r="AE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13" t="inlineStr">
        <is>
          <t>P-35 &gt; CVN-81 &gt; PHALANX BLOCK 1B MK 15 MOD 21 &amp; 22, CLOSE - IN WEAPONS SYSTEM (CIWS) &gt; Other Costs</t>
        </is>
      </c>
      <c r="AD786" s="7" t="inlineStr">
        <is>
          <t>145</t>
        </is>
      </c>
      <c r="AE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13" t="inlineStr">
        <is>
          <t>P-35 &gt; CVN-81 &gt; AN/SQQ-34, CARRIER-TACTICAL SUPPORT CENTER (CV-TSC) &gt; Major Hardware                                                                                                                                             1</t>
        </is>
      </c>
      <c r="AD787" s="7" t="inlineStr">
        <is>
          <t>146</t>
        </is>
      </c>
      <c r="AE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13" t="inlineStr">
        <is>
          <t>P-35 &gt; CVN-81 &gt; AN/SQQ-34, CARRIER-TACTICAL SUPPORT CENTER (CV-TSC) &gt; Spares</t>
        </is>
      </c>
      <c r="AD788" s="7" t="inlineStr">
        <is>
          <t>146</t>
        </is>
      </c>
      <c r="AE788" s="7" t="inlineStr">
        <is>
          <t>2004</t>
        </is>
      </c>
      <c r="AG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13" t="inlineStr">
        <is>
          <t>P-35 &gt; CVN-81 &gt; AN/SQQ-34, CARRIER-TACTICAL SUPPORT CENTER (CV-TSC) &gt; System Engineering</t>
        </is>
      </c>
      <c r="AD789" s="7" t="inlineStr">
        <is>
          <t>146</t>
        </is>
      </c>
      <c r="AE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13" t="inlineStr">
        <is>
          <t>P-35 &gt; CVN-81 &gt; AN/SQQ-34, CARRIER-TACTICAL SUPPORT CENTER (CV-TSC) &gt; Other Costs</t>
        </is>
      </c>
      <c r="AD790" s="7" t="inlineStr">
        <is>
          <t>146</t>
        </is>
      </c>
      <c r="AE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13" t="inlineStr">
        <is>
          <t>P-35 &gt; CVN-81 &gt; MK-57 NATO SEASPARROW MISSILE SYSTEM (NSSMS) &gt; Major Hardware                                                                                                                                                1</t>
        </is>
      </c>
      <c r="AD791" s="7" t="inlineStr">
        <is>
          <t>147</t>
        </is>
      </c>
      <c r="AE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13" t="inlineStr">
        <is>
          <t>P-35 &gt; CVN-81 &gt; MK-57 NATO SEASPARROW MISSILE SYSTEM (NSSMS) &gt; Ancillary Equipment</t>
        </is>
      </c>
      <c r="AD792" s="7" t="inlineStr">
        <is>
          <t>147</t>
        </is>
      </c>
      <c r="AE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13" t="inlineStr">
        <is>
          <t>P-35 &gt; CVN-81 &gt; MK-57 NATO SEASPARROW MISSILE SYSTEM (NSSMS) &gt; Spares</t>
        </is>
      </c>
      <c r="AD793" s="7" t="inlineStr">
        <is>
          <t>147</t>
        </is>
      </c>
      <c r="AE793" s="7" t="inlineStr">
        <is>
          <t>2004</t>
        </is>
      </c>
      <c r="AG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13" t="inlineStr">
        <is>
          <t>P-35 &gt; CVN-81 &gt; MK-57 NATO SEASPARROW MISSILE SYSTEM (NSSMS) &gt; System Engineering</t>
        </is>
      </c>
      <c r="AD794" s="7" t="inlineStr">
        <is>
          <t>147</t>
        </is>
      </c>
      <c r="AE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13" t="inlineStr">
        <is>
          <t>P-35 &gt; CVN-81 &gt; MK-57 NATO SEASPARROW MISSILE SYSTEM (NSSMS) &gt; Technical Engineering Services</t>
        </is>
      </c>
      <c r="AD795" s="7" t="inlineStr">
        <is>
          <t>147</t>
        </is>
      </c>
      <c r="AE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13" t="inlineStr">
        <is>
          <t>P-35 &gt; CVN-81 &gt; MK-57 NATO SEASPARROW MISSILE SYSTEM (NSSMS) &gt; Other Costs</t>
        </is>
      </c>
      <c r="AD796" s="7" t="inlineStr">
        <is>
          <t>147</t>
        </is>
      </c>
      <c r="AE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13" t="inlineStr">
        <is>
          <t>P-35 &gt; CVN-81 &gt; AVIATION DATA MANAGEMENT AND CONTROL SYSTEM (ADMACS) &gt; Major Hardware                                                                                                                                                    1</t>
        </is>
      </c>
      <c r="AD797" s="7" t="inlineStr">
        <is>
          <t>148</t>
        </is>
      </c>
      <c r="AE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13" t="inlineStr">
        <is>
          <t>P-35 &gt; CVN-81 &gt; AVIATION DATA MANAGEMENT AND CONTROL SYSTEM (ADMACS) &gt; System Engineering</t>
        </is>
      </c>
      <c r="AD798" s="7" t="inlineStr">
        <is>
          <t>148</t>
        </is>
      </c>
      <c r="AE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13" t="inlineStr">
        <is>
          <t>P-35 &gt; CVN-81 &gt; AVIATION DATA MANAGEMENT AND CONTROL SYSTEM (ADMACS) &gt; Technical Engineering Services</t>
        </is>
      </c>
      <c r="AD799" s="7" t="inlineStr">
        <is>
          <t>148</t>
        </is>
      </c>
      <c r="AE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13" t="inlineStr">
        <is>
          <t>P-35 &gt; CVN-81 &gt; AVIATION DATA MANAGEMENT AND CONTROL SYSTEM (ADMACS) &gt; Other Costs</t>
        </is>
      </c>
      <c r="AD800" s="7" t="inlineStr">
        <is>
          <t>148</t>
        </is>
      </c>
      <c r="AE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13" t="inlineStr">
        <is>
          <t>P-35 &gt; CVN-81 &gt; MK 49, MOD 3 ROLLING AIRFRAME MISSILE (RAM) &gt; Major Hardware                                                                                                                                                   2</t>
        </is>
      </c>
      <c r="AD801" s="7" t="inlineStr">
        <is>
          <t>149</t>
        </is>
      </c>
      <c r="AE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13" t="inlineStr">
        <is>
          <t>P-35 &gt; CVN-81 &gt; MK 49, MOD 3 ROLLING AIRFRAME MISSILE (RAM) &gt; Ancillary Equipment</t>
        </is>
      </c>
      <c r="AD802" s="7" t="inlineStr">
        <is>
          <t>149</t>
        </is>
      </c>
      <c r="AE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13" t="inlineStr">
        <is>
          <t>P-35 &gt; CVN-81 &gt; MK 49, MOD 3 ROLLING AIRFRAME MISSILE (RAM) &gt; Spares</t>
        </is>
      </c>
      <c r="AD803" s="7" t="inlineStr">
        <is>
          <t>149</t>
        </is>
      </c>
      <c r="AE803" s="7" t="inlineStr">
        <is>
          <t>2004</t>
        </is>
      </c>
      <c r="AG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13" t="inlineStr">
        <is>
          <t>P-35 &gt; CVN-81 &gt; MK 49, MOD 3 ROLLING AIRFRAME MISSILE (RAM) &gt; System Engineering</t>
        </is>
      </c>
      <c r="AD804" s="7" t="inlineStr">
        <is>
          <t>149</t>
        </is>
      </c>
      <c r="AE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13" t="inlineStr">
        <is>
          <t>P-35 &gt; CVN-81 &gt; MK 49, MOD 3 ROLLING AIRFRAME MISSILE (RAM) &gt; Technical Engineering Services</t>
        </is>
      </c>
      <c r="AD805" s="7" t="inlineStr">
        <is>
          <t>149</t>
        </is>
      </c>
      <c r="AE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13" t="inlineStr">
        <is>
          <t>P-35 &gt; CVN-81 &gt; MK 49, MOD 3 ROLLING AIRFRAME MISSILE (RAM) &gt; Other Costs</t>
        </is>
      </c>
      <c r="AD806" s="7" t="inlineStr">
        <is>
          <t>149</t>
        </is>
      </c>
      <c r="AE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13" t="inlineStr">
        <is>
          <t>P-35 &gt; CVN-81 &gt; AN/SPQ-9B, ANTI-SHIP MISSILE DEFENSE (ASMD) SURFACE SURVEILLANCE AND TRACKING &gt; Major Hardware                                                                                                                                                  1</t>
        </is>
      </c>
      <c r="AD807" s="7" t="inlineStr">
        <is>
          <t>150</t>
        </is>
      </c>
      <c r="AE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13" t="inlineStr">
        <is>
          <t>P-35 &gt; CVN-81 &gt; AN/SPQ-9B, ANTI-SHIP MISSILE DEFENSE (ASMD) SURFACE SURVEILLANCE AND TRACKING &gt; Spares</t>
        </is>
      </c>
      <c r="AD808" s="7" t="inlineStr">
        <is>
          <t>150</t>
        </is>
      </c>
      <c r="AE808" s="7" t="inlineStr">
        <is>
          <t>2004</t>
        </is>
      </c>
      <c r="AG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13" t="inlineStr">
        <is>
          <t>P-35 &gt; CVN-81 &gt; AN/SPQ-9B, ANTI-SHIP MISSILE DEFENSE (ASMD) SURFACE SURVEILLANCE AND TRACKING &gt; System Engineering</t>
        </is>
      </c>
      <c r="AD809" s="7" t="inlineStr">
        <is>
          <t>150</t>
        </is>
      </c>
      <c r="AE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13" t="inlineStr">
        <is>
          <t>P-35 &gt; CVN-81 &gt; AN/SPQ-9B, ANTI-SHIP MISSILE DEFENSE (ASMD) SURFACE SURVEILLANCE AND TRACKING &gt; Technical Engineering Services</t>
        </is>
      </c>
      <c r="AD810" s="7" t="inlineStr">
        <is>
          <t>150</t>
        </is>
      </c>
      <c r="AE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13" t="inlineStr">
        <is>
          <t>P-35 &gt; CVN-81 &gt; AN/SPQ-9B, ANTI-SHIP MISSILE DEFENSE (ASMD) SURFACE SURVEILLANCE AND TRACKING &gt; Other Costs</t>
        </is>
      </c>
      <c r="AD811" s="7" t="inlineStr">
        <is>
          <t>150</t>
        </is>
      </c>
      <c r="AE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13" t="inlineStr">
        <is>
          <t>P-35 &gt; CVN-81 &gt; IMPROVED FRESNEL LENS OPTICAL LANDING SYSTEM (IFLOLS) &gt; Major Hardware                                                                                                                                                    1</t>
        </is>
      </c>
      <c r="AD812" s="7" t="inlineStr">
        <is>
          <t>151</t>
        </is>
      </c>
      <c r="AE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13" t="inlineStr">
        <is>
          <t>P-35 &gt; CVN-81 &gt; IMPROVED FRESNEL LENS OPTICAL LANDING SYSTEM (IFLOLS) &gt; System Engineering</t>
        </is>
      </c>
      <c r="AD813" s="7" t="inlineStr">
        <is>
          <t>151</t>
        </is>
      </c>
      <c r="AE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13" t="inlineStr">
        <is>
          <t>P-35 &gt; CVN-81 &gt; IMPROVED FRESNEL LENS OPTICAL LANDING SYSTEM (IFLOLS) &gt; Technical Engineering Services</t>
        </is>
      </c>
      <c r="AD814" s="7" t="inlineStr">
        <is>
          <t>151</t>
        </is>
      </c>
      <c r="AE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13" t="inlineStr">
        <is>
          <t>P-35 &gt; CVN-81 &gt; IMPROVED FRESNEL LENS OPTICAL LANDING SYSTEM (IFLOLS) &gt; Other Costs</t>
        </is>
      </c>
      <c r="AD815" s="7" t="inlineStr">
        <is>
          <t>151</t>
        </is>
      </c>
      <c r="AE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13" t="inlineStr">
        <is>
          <t>P-35 &gt; CVN-81 &gt; INTEGRATED LAUNCH AND RECOVERY TELEVISION SYSTEM (ILARTS) &gt; Major Hardware                                                                                                                                                     1</t>
        </is>
      </c>
      <c r="AD816" s="7" t="inlineStr">
        <is>
          <t>152</t>
        </is>
      </c>
      <c r="AE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13" t="inlineStr">
        <is>
          <t>P-35 &gt; CVN-81 &gt; INTEGRATED LAUNCH AND RECOVERY TELEVISION SYSTEM (ILARTS) &gt; System Engineering</t>
        </is>
      </c>
      <c r="AD817" s="7" t="inlineStr">
        <is>
          <t>152</t>
        </is>
      </c>
      <c r="AE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13" t="inlineStr">
        <is>
          <t>P-35 &gt; CVN-81 &gt; INTEGRATED LAUNCH AND RECOVERY TELEVISION SYSTEM (ILARTS) &gt; Technical Engineering Services</t>
        </is>
      </c>
      <c r="AD818" s="7" t="inlineStr">
        <is>
          <t>152</t>
        </is>
      </c>
      <c r="AE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13" t="inlineStr">
        <is>
          <t>P-35 &gt; CVN-81 &gt; INTEGRATED LAUNCH AND RECOVERY TELEVISION SYSTEM (ILARTS) &gt; Other Costs</t>
        </is>
      </c>
      <c r="AD819" s="7" t="inlineStr">
        <is>
          <t>152</t>
        </is>
      </c>
      <c r="AE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13" t="inlineStr">
        <is>
          <t>P-35 &gt; CVN-81 &gt; UNMANNED AVIATION WARFARE CENTER (UAWC) &gt; Major Hardware                                                                                                                                                   1</t>
        </is>
      </c>
      <c r="AD820" s="7" t="inlineStr">
        <is>
          <t>153</t>
        </is>
      </c>
      <c r="AE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13" t="inlineStr">
        <is>
          <t>P-35 &gt; CVN-81 &gt; UNMANNED AVIATION WARFARE CENTER (UAWC) &gt; Technical Engineering Services</t>
        </is>
      </c>
      <c r="AD821" s="7" t="inlineStr">
        <is>
          <t>153</t>
        </is>
      </c>
      <c r="AE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13" t="inlineStr">
        <is>
          <t>P-5c &gt; Virginia Class Submarine &gt; Plan Costs</t>
        </is>
      </c>
      <c r="AD822" s="7" t="inlineStr">
        <is>
          <t>158</t>
        </is>
      </c>
      <c r="AE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13" t="inlineStr">
        <is>
          <t>P-5c &gt; Virginia Class Submarine &gt; Basic Construction</t>
        </is>
      </c>
      <c r="AD823" s="7" t="inlineStr">
        <is>
          <t>158</t>
        </is>
      </c>
      <c r="AE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13" t="inlineStr">
        <is>
          <t>P-5c &gt; Virginia Class Submarine &gt; Change Orders</t>
        </is>
      </c>
      <c r="AD824" s="7" t="inlineStr">
        <is>
          <t>158</t>
        </is>
      </c>
      <c r="AE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13" t="inlineStr">
        <is>
          <t>P-5c &gt; Virginia Class Submarine &gt; Electronics</t>
        </is>
      </c>
      <c r="AD825" s="7" t="inlineStr">
        <is>
          <t>158</t>
        </is>
      </c>
      <c r="AE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13" t="inlineStr">
        <is>
          <t>P-5c &gt; Virginia Class Submarine &gt; Technology Insertion</t>
        </is>
      </c>
      <c r="AD826" s="7" t="inlineStr">
        <is>
          <t>158</t>
        </is>
      </c>
      <c r="AE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13" t="inlineStr">
        <is>
          <t>P-5c &gt; Virginia Class Submarine &gt; Propulsion Equipment</t>
        </is>
      </c>
      <c r="AD827" s="7" t="inlineStr">
        <is>
          <t>158</t>
        </is>
      </c>
      <c r="AE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13" t="inlineStr">
        <is>
          <t>P-5c &gt; Virginia Class Submarine &gt; Other Cost</t>
        </is>
      </c>
      <c r="AD828" s="7" t="inlineStr">
        <is>
          <t>158</t>
        </is>
      </c>
      <c r="AE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13" t="inlineStr">
        <is>
          <t>P-5c &gt; Virginia Class Submarine &gt; 2014</t>
        </is>
      </c>
      <c r="AD829" s="7" t="inlineStr">
        <is>
          <t>158</t>
        </is>
      </c>
      <c r="AE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13" t="inlineStr">
        <is>
          <t>P-5c &gt; Virginia Class Submarine &gt; 2015</t>
        </is>
      </c>
      <c r="AD830" s="7" t="inlineStr">
        <is>
          <t>158</t>
        </is>
      </c>
      <c r="AE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13" t="inlineStr">
        <is>
          <t>P-5c &gt; Virginia Class Submarine &gt; 2016                                                      -</t>
        </is>
      </c>
      <c r="AD831" s="7" t="inlineStr">
        <is>
          <t>158</t>
        </is>
      </c>
      <c r="AE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13" t="inlineStr">
        <is>
          <t>P-5c &gt; Virginia Class Submarine &gt; 2017                                                      -                          -</t>
        </is>
      </c>
      <c r="AD832" s="7" t="inlineStr">
        <is>
          <t>158</t>
        </is>
      </c>
      <c r="AE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13" t="inlineStr">
        <is>
          <t>P-5c &gt; Virginia Class Submarine &gt; 2018                                                      -                          -                          -</t>
        </is>
      </c>
      <c r="AD833" s="7" t="inlineStr">
        <is>
          <t>158</t>
        </is>
      </c>
      <c r="AE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13" t="inlineStr">
        <is>
          <t>P-5c &gt; Virginia Class Submarine &gt; 2019                                                      -                          -                          -                           -</t>
        </is>
      </c>
      <c r="AD834" s="7" t="inlineStr">
        <is>
          <t>158</t>
        </is>
      </c>
      <c r="AE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13" t="inlineStr">
        <is>
          <t>P-5c &gt; Virginia Class Submarine &gt; 2020                                                      -                          -                          -                           -                          -</t>
        </is>
      </c>
      <c r="AD835" s="7" t="inlineStr">
        <is>
          <t>158</t>
        </is>
      </c>
      <c r="AE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13" t="inlineStr">
        <is>
          <t>P-5c &gt; Virginia Class Submarine &gt; 2021                                                      -                          -                          -                           -                          -                             -</t>
        </is>
      </c>
      <c r="AD836" s="7" t="inlineStr">
        <is>
          <t>158</t>
        </is>
      </c>
      <c r="AE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13" t="inlineStr">
        <is>
          <t>P-5c &gt; Virginia Class Submarine &gt; 2022                                                      -                          -                          -                           -                          -                             -                          -</t>
        </is>
      </c>
      <c r="AD837" s="7" t="inlineStr">
        <is>
          <t>158</t>
        </is>
      </c>
      <c r="AE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13" t="inlineStr">
        <is>
          <t>P-5c &gt; Virginia Class Submarine &gt; 2023</t>
        </is>
      </c>
      <c r="AD838" s="7" t="inlineStr">
        <is>
          <t>158</t>
        </is>
      </c>
      <c r="AE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13" t="inlineStr">
        <is>
          <t>P-5c &gt; Virginia Class Submarine &gt; 2024</t>
        </is>
      </c>
      <c r="AD839" s="7" t="inlineStr">
        <is>
          <t>159</t>
        </is>
      </c>
      <c r="AE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13" t="inlineStr">
        <is>
          <t>P-5c &gt; Virginia Class Submarine &gt; 2025                                           -</t>
        </is>
      </c>
      <c r="AD840" s="7" t="inlineStr">
        <is>
          <t>159</t>
        </is>
      </c>
      <c r="AE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13" t="inlineStr">
        <is>
          <t>P-5c &gt; Virginia Class Submarine &gt; 2026</t>
        </is>
      </c>
      <c r="AD841" s="7" t="inlineStr">
        <is>
          <t>159</t>
        </is>
      </c>
      <c r="AE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13" t="inlineStr">
        <is>
          <t>P-5c &gt; Virginia Class Submarine &gt; 2027                                           -                      -                      -</t>
        </is>
      </c>
      <c r="AD842" s="7" t="inlineStr">
        <is>
          <t>159</t>
        </is>
      </c>
      <c r="AE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13" t="inlineStr">
        <is>
          <t>P-5c &gt; Virginia Class Submarine &gt; 2028                                           -                      -                      -</t>
        </is>
      </c>
      <c r="AD843" s="7" t="inlineStr">
        <is>
          <t>159</t>
        </is>
      </c>
      <c r="AE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13" t="inlineStr">
        <is>
          <t>P-5c &gt; Virginia Class Submarine &gt; 2029                                           -                      -                      -                         -</t>
        </is>
      </c>
      <c r="AD844" s="7" t="inlineStr">
        <is>
          <t>159</t>
        </is>
      </c>
      <c r="AE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13" t="inlineStr">
        <is>
          <t>P-5c &gt; Virginia Class Submarine &gt; 2030                                           -                      -                      -                         -                      -</t>
        </is>
      </c>
      <c r="AD845" s="7" t="inlineStr">
        <is>
          <t>159</t>
        </is>
      </c>
      <c r="AE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13" t="inlineStr">
        <is>
          <t>P-5c &gt; Virginia Class Submarine &gt; Plan Costs</t>
        </is>
      </c>
      <c r="AD846" s="7" t="inlineStr">
        <is>
          <t>160</t>
        </is>
      </c>
      <c r="AE846" s="7" t="inlineStr">
        <is>
          <t>2013</t>
        </is>
      </c>
      <c r="AG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13" t="inlineStr">
        <is>
          <t>P-5c &gt; Virginia Class Submarine &gt; Basic Construction</t>
        </is>
      </c>
      <c r="AD847" s="7" t="inlineStr">
        <is>
          <t>160</t>
        </is>
      </c>
      <c r="AE847" s="7" t="inlineStr">
        <is>
          <t>2013</t>
        </is>
      </c>
      <c r="AG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13" t="inlineStr">
        <is>
          <t>P-5c &gt; Virginia Class Submarine &gt; Change Orders</t>
        </is>
      </c>
      <c r="AD848" s="7" t="inlineStr">
        <is>
          <t>160</t>
        </is>
      </c>
      <c r="AE848" s="7" t="inlineStr">
        <is>
          <t>2013</t>
        </is>
      </c>
      <c r="AG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13" t="inlineStr">
        <is>
          <t>P-5c &gt; Virginia Class Submarine &gt; Electronics</t>
        </is>
      </c>
      <c r="AD849" s="7" t="inlineStr">
        <is>
          <t>160</t>
        </is>
      </c>
      <c r="AE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13" t="inlineStr">
        <is>
          <t>P-5c &gt; Virginia Class Submarine &gt; Technology Insertion</t>
        </is>
      </c>
      <c r="AD850" s="7" t="inlineStr">
        <is>
          <t>160</t>
        </is>
      </c>
      <c r="AE850" s="7" t="inlineStr">
        <is>
          <t>2013</t>
        </is>
      </c>
      <c r="AG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13" t="inlineStr">
        <is>
          <t>P-5c &gt; Virginia Class Submarine &gt; Propulsion Equipment</t>
        </is>
      </c>
      <c r="AD851" s="7" t="inlineStr">
        <is>
          <t>160</t>
        </is>
      </c>
      <c r="AE851" s="7" t="inlineStr">
        <is>
          <t>2013</t>
        </is>
      </c>
      <c r="AG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13" t="inlineStr">
        <is>
          <t>P-5c &gt; Virginia Class Submarine &gt; Hull, Mechanical, and Electrical</t>
        </is>
      </c>
      <c r="AD852" s="7" t="inlineStr">
        <is>
          <t>160</t>
        </is>
      </c>
      <c r="AE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13" t="inlineStr">
        <is>
          <t>P-5c &gt; Virginia Class Submarine &gt; Other Cost</t>
        </is>
      </c>
      <c r="AD853" s="7" t="inlineStr">
        <is>
          <t>160</t>
        </is>
      </c>
      <c r="AE853" s="7" t="inlineStr">
        <is>
          <t>2013</t>
        </is>
      </c>
      <c r="AG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13" t="inlineStr">
        <is>
          <t>P-8a &gt; Virginia Class Submarine &gt; Electronics &gt; Sonar, Combat Control &amp; Architecture 2</t>
        </is>
      </c>
      <c r="AD854" s="7" t="inlineStr">
        <is>
          <t>163</t>
        </is>
      </c>
      <c r="AE854" s="7" t="inlineStr">
        <is>
          <t>2013</t>
        </is>
      </c>
      <c r="AG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13" t="inlineStr">
        <is>
          <t>P-8a &gt; Virginia Class Submarine &gt; Electronics &gt; Electronic Support Measures (ESM) 2</t>
        </is>
      </c>
      <c r="AD855" s="7" t="inlineStr">
        <is>
          <t>163</t>
        </is>
      </c>
      <c r="AE855" s="7" t="inlineStr">
        <is>
          <t>2013</t>
        </is>
      </c>
      <c r="AG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13" t="inlineStr">
        <is>
          <t>P-8a &gt; Virginia Class Submarine &gt; Electronics &gt; Photonics Masts 2</t>
        </is>
      </c>
      <c r="AD856" s="7" t="inlineStr">
        <is>
          <t>163</t>
        </is>
      </c>
      <c r="AE856" s="7" t="inlineStr">
        <is>
          <t>2013</t>
        </is>
      </c>
      <c r="AG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13" t="inlineStr">
        <is>
          <t>P-8a &gt; Virginia Class Submarine &gt; Electronics &gt; Universal Modular Mast (UMM) 2</t>
        </is>
      </c>
      <c r="AD857" s="7" t="inlineStr">
        <is>
          <t>163</t>
        </is>
      </c>
      <c r="AE857" s="7" t="inlineStr">
        <is>
          <t>2013</t>
        </is>
      </c>
      <c r="AG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13" t="inlineStr">
        <is>
          <t>P-8a &gt; Virginia Class Submarine &gt; Electronics &gt; Exterior Communications System (ECS) Recurring 2</t>
        </is>
      </c>
      <c r="AD858" s="7" t="inlineStr">
        <is>
          <t>163</t>
        </is>
      </c>
      <c r="AE858" s="7" t="inlineStr">
        <is>
          <t>2013</t>
        </is>
      </c>
      <c r="AG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13" t="inlineStr">
        <is>
          <t>P-8a &gt; Virginia Class Submarine &gt; Electronics &gt; System Level Activities 2</t>
        </is>
      </c>
      <c r="AD859" s="7" t="inlineStr">
        <is>
          <t>163</t>
        </is>
      </c>
      <c r="AE859" s="7" t="inlineStr">
        <is>
          <t>2013</t>
        </is>
      </c>
      <c r="AG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13" t="inlineStr">
        <is>
          <t>P-8a &gt; Virginia Class Submarine &gt; Electronics &gt; AN/BPS-16 2</t>
        </is>
      </c>
      <c r="AD860" s="7" t="inlineStr">
        <is>
          <t>163</t>
        </is>
      </c>
      <c r="AE860" s="7" t="inlineStr">
        <is>
          <t>2013</t>
        </is>
      </c>
      <c r="AG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13" t="inlineStr">
        <is>
          <t>P-8a &gt; Virginia Class Submarine &gt; Electronics &gt; Navigation 2</t>
        </is>
      </c>
      <c r="AD861" s="7" t="inlineStr">
        <is>
          <t>163</t>
        </is>
      </c>
      <c r="AE861" s="7" t="inlineStr">
        <is>
          <t>2013</t>
        </is>
      </c>
      <c r="AG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13" t="inlineStr">
        <is>
          <t>P-8a &gt; Virginia Class Submarine &gt; Electronics &gt; CWITT 2</t>
        </is>
      </c>
      <c r="AD862" s="7" t="inlineStr">
        <is>
          <t>163</t>
        </is>
      </c>
      <c r="AE862" s="7" t="inlineStr">
        <is>
          <t>2013</t>
        </is>
      </c>
      <c r="AG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13" t="inlineStr">
        <is>
          <t>P-8a &gt; Virginia Class Submarine &gt; Electronics &gt; Integration (NPES SE&amp;I) 2</t>
        </is>
      </c>
      <c r="AD863" s="7" t="inlineStr">
        <is>
          <t>163</t>
        </is>
      </c>
      <c r="AE863" s="7" t="inlineStr">
        <is>
          <t>2013</t>
        </is>
      </c>
      <c r="AG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13" t="inlineStr">
        <is>
          <t>P-8a &gt; Virginia Class Submarine &gt; Electronics &gt; Misc Electronics</t>
        </is>
      </c>
      <c r="AD864" s="7" t="inlineStr">
        <is>
          <t>163</t>
        </is>
      </c>
      <c r="AE864" s="7" t="inlineStr">
        <is>
          <t>2013</t>
        </is>
      </c>
      <c r="AG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13" t="inlineStr">
        <is>
          <t>P-8a &gt; Virginia Class Submarine &gt; Hull, Mechanical, and Electrical &gt; Propulsor 2</t>
        </is>
      </c>
      <c r="AD865" s="7" t="inlineStr">
        <is>
          <t>164</t>
        </is>
      </c>
      <c r="AE865" s="7" t="inlineStr">
        <is>
          <t>2013</t>
        </is>
      </c>
      <c r="AG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13" t="inlineStr">
        <is>
          <t>P-8a &gt; Virginia Class Submarine &gt; Hull, Mechanical, and Electrical &gt; CSA</t>
        </is>
      </c>
      <c r="AD866" s="7" t="inlineStr">
        <is>
          <t>164</t>
        </is>
      </c>
      <c r="AE866" s="7" t="inlineStr">
        <is>
          <t>2013</t>
        </is>
      </c>
      <c r="AG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13" t="inlineStr">
        <is>
          <t>P-8a &gt; Virginia Class Submarine &gt; Hull, Mechanical, and Electrical &gt; HM&amp;E Installation and testing</t>
        </is>
      </c>
      <c r="AD867" s="7" t="inlineStr">
        <is>
          <t>164</t>
        </is>
      </c>
      <c r="AE867" s="7" t="inlineStr">
        <is>
          <t>2013</t>
        </is>
      </c>
      <c r="AG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13" t="inlineStr">
        <is>
          <t>P-8a &gt; Virginia Class Submarine &gt; Hull, Mechanical, and Electrical &gt; T&amp;E</t>
        </is>
      </c>
      <c r="AD868" s="7" t="inlineStr">
        <is>
          <t>164</t>
        </is>
      </c>
      <c r="AE868" s="7" t="inlineStr">
        <is>
          <t>2013</t>
        </is>
      </c>
      <c r="AG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13" t="inlineStr">
        <is>
          <t>P-8a &gt; Virginia Class Submarine &gt; Hull, Mechanical, and Electrical &gt; SUPSHIP responsible material</t>
        </is>
      </c>
      <c r="AD869" s="7" t="inlineStr">
        <is>
          <t>164</t>
        </is>
      </c>
      <c r="AE869" s="7" t="inlineStr">
        <is>
          <t>2013</t>
        </is>
      </c>
      <c r="AG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13" t="inlineStr">
        <is>
          <t>P-35 &gt; Virginia Class Submarine &gt; Sonar, Combat Control &amp; Architecture &gt; Major Hardware                                                                         2</t>
        </is>
      </c>
      <c r="AD870" s="7" t="inlineStr">
        <is>
          <t>165</t>
        </is>
      </c>
      <c r="AE870" s="7" t="inlineStr">
        <is>
          <t>2013</t>
        </is>
      </c>
      <c r="AG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13" t="inlineStr">
        <is>
          <t>P-35 &gt; Virginia Class Submarine &gt; Sonar, Combat Control &amp; Architecture &gt; Technical Engineering Services</t>
        </is>
      </c>
      <c r="AD871" s="7" t="inlineStr">
        <is>
          <t>165</t>
        </is>
      </c>
      <c r="AE871" s="7" t="inlineStr">
        <is>
          <t>2013</t>
        </is>
      </c>
      <c r="AG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13" t="inlineStr">
        <is>
          <t>P-35 &gt; Virginia Class Submarine &gt; Sonar, Combat Control &amp; Architecture &gt; Other Costs</t>
        </is>
      </c>
      <c r="AD872" s="7" t="inlineStr">
        <is>
          <t>165</t>
        </is>
      </c>
      <c r="AE872" s="7" t="inlineStr">
        <is>
          <t>2013</t>
        </is>
      </c>
      <c r="AG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13" t="inlineStr">
        <is>
          <t>P-35 &gt; Virginia Class Submarine &gt; Electronic Support Measures (ESM) &gt; Major Hardware                                                                         2</t>
        </is>
      </c>
      <c r="AD873" s="7" t="inlineStr">
        <is>
          <t>166</t>
        </is>
      </c>
      <c r="AE873" s="7" t="inlineStr">
        <is>
          <t>2013</t>
        </is>
      </c>
      <c r="AG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13" t="inlineStr">
        <is>
          <t>P-35 &gt; Virginia Class Submarine &gt; Electronic Support Measures (ESM) &gt; Technical Engineering Services</t>
        </is>
      </c>
      <c r="AD874" s="7" t="inlineStr">
        <is>
          <t>166</t>
        </is>
      </c>
      <c r="AE874" s="7" t="inlineStr">
        <is>
          <t>2013</t>
        </is>
      </c>
      <c r="AG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13" t="inlineStr">
        <is>
          <t>P-35 &gt; Virginia Class Submarine &gt; Electronic Support Measures (ESM) &gt; Other Costs</t>
        </is>
      </c>
      <c r="AD875" s="7" t="inlineStr">
        <is>
          <t>166</t>
        </is>
      </c>
      <c r="AE875" s="7" t="inlineStr">
        <is>
          <t>2013</t>
        </is>
      </c>
      <c r="AG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13" t="inlineStr">
        <is>
          <t>P-35 &gt; Virginia Class Submarine &gt; Photonics Masts &gt; Major Hardware                                                                       2</t>
        </is>
      </c>
      <c r="AD876" s="7" t="inlineStr">
        <is>
          <t>167</t>
        </is>
      </c>
      <c r="AE876" s="7" t="inlineStr">
        <is>
          <t>2013</t>
        </is>
      </c>
      <c r="AG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13" t="inlineStr">
        <is>
          <t>P-35 &gt; Virginia Class Submarine &gt; Photonics Masts &gt; Technical Engineering Services</t>
        </is>
      </c>
      <c r="AD877" s="7" t="inlineStr">
        <is>
          <t>167</t>
        </is>
      </c>
      <c r="AE877" s="7" t="inlineStr">
        <is>
          <t>2013</t>
        </is>
      </c>
      <c r="AG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13" t="inlineStr">
        <is>
          <t>P-35 &gt; Virginia Class Submarine &gt; Photonics Masts &gt; Other Costs</t>
        </is>
      </c>
      <c r="AD878" s="7" t="inlineStr">
        <is>
          <t>167</t>
        </is>
      </c>
      <c r="AE878" s="7" t="inlineStr">
        <is>
          <t>2013</t>
        </is>
      </c>
      <c r="AG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13" t="inlineStr">
        <is>
          <t>P-35 &gt; Virginia Class Submarine &gt; Universal Modular Mast (UMM) &gt; Major Hardware                                                                            2</t>
        </is>
      </c>
      <c r="AD879" s="7" t="inlineStr">
        <is>
          <t>168</t>
        </is>
      </c>
      <c r="AE879" s="7" t="inlineStr">
        <is>
          <t>2013</t>
        </is>
      </c>
      <c r="AG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13" t="inlineStr">
        <is>
          <t>P-35 &gt; Virginia Class Submarine &gt; Universal Modular Mast (UMM) &gt; Technical Engineering Services</t>
        </is>
      </c>
      <c r="AD880" s="7" t="inlineStr">
        <is>
          <t>168</t>
        </is>
      </c>
      <c r="AE880" s="7" t="inlineStr">
        <is>
          <t>2013</t>
        </is>
      </c>
      <c r="AG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13" t="inlineStr">
        <is>
          <t>P-35 &gt; Virginia Class Submarine &gt; Universal Modular Mast (UMM) &gt; Other Costs</t>
        </is>
      </c>
      <c r="AD881" s="7" t="inlineStr">
        <is>
          <t>168</t>
        </is>
      </c>
      <c r="AE881" s="7" t="inlineStr">
        <is>
          <t>2013</t>
        </is>
      </c>
      <c r="AG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13" t="inlineStr">
        <is>
          <t>P-35 &gt; Virginia Class Submarine &gt; Exterior Communications System (ECS) Recurring &gt; Major Hardware                                                                          2</t>
        </is>
      </c>
      <c r="AD882" s="7" t="inlineStr">
        <is>
          <t>169</t>
        </is>
      </c>
      <c r="AE882" s="7" t="inlineStr">
        <is>
          <t>2013</t>
        </is>
      </c>
      <c r="AG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13" t="inlineStr">
        <is>
          <t>P-35 &gt; Virginia Class Submarine &gt; Exterior Communications System (ECS) Recurring &gt; Technical Engineering Services</t>
        </is>
      </c>
      <c r="AD883" s="7" t="inlineStr">
        <is>
          <t>169</t>
        </is>
      </c>
      <c r="AE883" s="7" t="inlineStr">
        <is>
          <t>2013</t>
        </is>
      </c>
      <c r="AG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13" t="inlineStr">
        <is>
          <t>P-35 &gt; Virginia Class Submarine &gt; Exterior Communications System (ECS) Recurring &gt; Other Costs</t>
        </is>
      </c>
      <c r="AD884" s="7" t="inlineStr">
        <is>
          <t>169</t>
        </is>
      </c>
      <c r="AE884" s="7" t="inlineStr">
        <is>
          <t>2013</t>
        </is>
      </c>
      <c r="AG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13" t="inlineStr">
        <is>
          <t>P-35 &gt; Virginia Class Submarine &gt; Propulsor &gt; Major Hardware                                                                         2</t>
        </is>
      </c>
      <c r="AD885" s="7" t="inlineStr">
        <is>
          <t>170</t>
        </is>
      </c>
      <c r="AE885" s="7" t="inlineStr">
        <is>
          <t>2013</t>
        </is>
      </c>
      <c r="AG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13" t="inlineStr">
        <is>
          <t>P-35 &gt; Virginia Class Submarine &gt; Propulsor &gt; TECH ENGINEERING SERVICES</t>
        </is>
      </c>
      <c r="AD886" s="7" t="inlineStr">
        <is>
          <t>170</t>
        </is>
      </c>
      <c r="AE886" s="7" t="inlineStr">
        <is>
          <t>2013</t>
        </is>
      </c>
      <c r="AG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13" t="inlineStr">
        <is>
          <t>P-10 &gt; Virginia Class Submarine &gt; (1)</t>
        </is>
      </c>
      <c r="AD887" s="7" t="inlineStr">
        <is>
          <t>171</t>
        </is>
      </c>
      <c r="AE887" s="7" t="inlineStr">
        <is>
          <t>2013</t>
        </is>
      </c>
      <c r="AG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13" t="inlineStr">
        <is>
          <t>P-10 &gt; Virginia Class Submarine &gt; (2)</t>
        </is>
      </c>
      <c r="AD888" s="7" t="inlineStr">
        <is>
          <t>171</t>
        </is>
      </c>
      <c r="AE888" s="7" t="inlineStr">
        <is>
          <t>2013</t>
        </is>
      </c>
      <c r="AG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13" t="inlineStr">
        <is>
          <t>P-10 &gt; Virginia Class Submarine &gt; (3)</t>
        </is>
      </c>
      <c r="AD889" s="7" t="inlineStr">
        <is>
          <t>171</t>
        </is>
      </c>
      <c r="AE889" s="7" t="inlineStr">
        <is>
          <t>2013</t>
        </is>
      </c>
      <c r="AG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13" t="inlineStr">
        <is>
          <t>P-10 &gt; Virginia Class Submarine &gt; (4)</t>
        </is>
      </c>
      <c r="AD890" s="7" t="inlineStr">
        <is>
          <t>171</t>
        </is>
      </c>
      <c r="AE890" s="7" t="inlineStr">
        <is>
          <t>2013</t>
        </is>
      </c>
      <c r="AG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13" t="inlineStr">
        <is>
          <t>P-10 &gt; Virginia Class Submarine &gt; (5)</t>
        </is>
      </c>
      <c r="AD891" s="7" t="inlineStr">
        <is>
          <t>171</t>
        </is>
      </c>
      <c r="AE891" s="7" t="inlineStr">
        <is>
          <t>2013</t>
        </is>
      </c>
      <c r="AG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13" t="inlineStr">
        <is>
          <t>P-10 &gt; Virginia Class Submarine &gt; EOQ for FY25 SSNs                                                                           -               -</t>
        </is>
      </c>
      <c r="AD892" s="7" t="inlineStr">
        <is>
          <t>171</t>
        </is>
      </c>
      <c r="AE892" s="7" t="inlineStr">
        <is>
          <t>2013</t>
        </is>
      </c>
      <c r="AG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13" t="inlineStr">
        <is>
          <t>P-10 &gt; Virginia Class Submarine &gt; EOQ for FY26 SSNs                                                                           -               -</t>
        </is>
      </c>
      <c r="AD893" s="7" t="inlineStr">
        <is>
          <t>171</t>
        </is>
      </c>
      <c r="AE893" s="7" t="inlineStr">
        <is>
          <t>2013</t>
        </is>
      </c>
      <c r="AG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13" t="inlineStr">
        <is>
          <t>P-10 &gt; Virginia Class Submarine &gt; EOQ for FY27 SSNs                                                                           -       Various</t>
        </is>
      </c>
      <c r="AD894" s="7" t="inlineStr">
        <is>
          <t>171</t>
        </is>
      </c>
      <c r="AE894" s="7" t="inlineStr">
        <is>
          <t>2013</t>
        </is>
      </c>
      <c r="AG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13" t="inlineStr">
        <is>
          <t>P-10 &gt; Virginia Class Submarine &gt; EOQ for FY28 SSNs                                                                           -       Various</t>
        </is>
      </c>
      <c r="AD895" s="7" t="inlineStr">
        <is>
          <t>171</t>
        </is>
      </c>
      <c r="AE895" s="7" t="inlineStr">
        <is>
          <t>2013</t>
        </is>
      </c>
      <c r="AG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13" t="inlineStr">
        <is>
          <t>P-10 &gt; Virginia Class Submarine &gt; EOQ For FY 29 SSNs                                                                          -       Various</t>
        </is>
      </c>
      <c r="AD896" s="7" t="inlineStr">
        <is>
          <t>171</t>
        </is>
      </c>
      <c r="AE896" s="7" t="inlineStr">
        <is>
          <t>2013</t>
        </is>
      </c>
      <c r="AG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13" t="inlineStr">
        <is>
          <t>P-10 &gt; Virginia Class Submarine &gt; (6)</t>
        </is>
      </c>
      <c r="AD897" s="7" t="inlineStr">
        <is>
          <t>171</t>
        </is>
      </c>
      <c r="AE897" s="7" t="inlineStr">
        <is>
          <t>2013</t>
        </is>
      </c>
      <c r="AG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13" t="inlineStr">
        <is>
          <t>P-10 &gt; Virginia Class Submarine &gt; (1)</t>
        </is>
      </c>
      <c r="AD898" s="7" t="inlineStr">
        <is>
          <t>172</t>
        </is>
      </c>
      <c r="AE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13" t="inlineStr">
        <is>
          <t>P-10 &gt; Virginia Class Submarine &gt; (2)</t>
        </is>
      </c>
      <c r="AD899" s="7" t="inlineStr">
        <is>
          <t>172</t>
        </is>
      </c>
      <c r="AE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13" t="inlineStr">
        <is>
          <t>P-10 &gt; Virginia Class Submarine &gt; (3)</t>
        </is>
      </c>
      <c r="AD900" s="7" t="inlineStr">
        <is>
          <t>172</t>
        </is>
      </c>
      <c r="AE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13" t="inlineStr">
        <is>
          <t>P-10 &gt; Virginia Class Submarine &gt; (4)</t>
        </is>
      </c>
      <c r="AD901" s="7" t="inlineStr">
        <is>
          <t>172</t>
        </is>
      </c>
      <c r="AE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13" t="inlineStr">
        <is>
          <t>P-10 &gt; Virginia Class Submarine &gt; (5)</t>
        </is>
      </c>
      <c r="AD902" s="7" t="inlineStr">
        <is>
          <t>172</t>
        </is>
      </c>
      <c r="AE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13" t="inlineStr">
        <is>
          <t>P-10 &gt; Virginia Class Submarine &gt; EOQ for FY25 SSNs                                                                               -                   -                  -                                       -</t>
        </is>
      </c>
      <c r="AD903" s="7" t="inlineStr">
        <is>
          <t>172</t>
        </is>
      </c>
      <c r="AE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13" t="inlineStr">
        <is>
          <t>P-10 &gt; Virginia Class Submarine &gt; EOQ for FY26 SSNs                                                                               -                   -                  -                                       -</t>
        </is>
      </c>
      <c r="AD904" s="7" t="inlineStr">
        <is>
          <t>172</t>
        </is>
      </c>
      <c r="AE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13" t="inlineStr">
        <is>
          <t>P-10 &gt; Virginia Class Submarine &gt; EOQ for FY27 SSNs                                                                               -             Various                  -        Jan 2026                       -          2027</t>
        </is>
      </c>
      <c r="AD905" s="7" t="inlineStr">
        <is>
          <t>172</t>
        </is>
      </c>
      <c r="AE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13" t="inlineStr">
        <is>
          <t>P-10 &gt; Virginia Class Submarine &gt; EOQ for FY28 SSNs                                                                               -             Various                  -        Jan 2026                       -          2028</t>
        </is>
      </c>
      <c r="AD906" s="7" t="inlineStr">
        <is>
          <t>172</t>
        </is>
      </c>
      <c r="AE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13" t="inlineStr">
        <is>
          <t>P-10 &gt; Virginia Class Submarine &gt; EOQ For FY 29 SSNs                                                                              -             Various                  -        Jan 2026                       -          2029</t>
        </is>
      </c>
      <c r="AD907" s="7" t="inlineStr">
        <is>
          <t>172</t>
        </is>
      </c>
      <c r="AE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13" t="inlineStr">
        <is>
          <t>P-10 &gt; Virginia Class Submarine &gt; (6)</t>
        </is>
      </c>
      <c r="AD908" s="7" t="inlineStr">
        <is>
          <t>172</t>
        </is>
      </c>
      <c r="AE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13" t="inlineStr">
        <is>
          <t>P-5c &gt; CVN Refueling Overhauls &gt; Plan Costs</t>
        </is>
      </c>
      <c r="AD909" s="7" t="inlineStr">
        <is>
          <t>178</t>
        </is>
      </c>
      <c r="AE909" s="7" t="inlineStr">
        <is>
          <t>2086</t>
        </is>
      </c>
      <c r="AG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13" t="inlineStr">
        <is>
          <t>P-5c &gt; CVN Refueling Overhauls &gt; Basic Construction</t>
        </is>
      </c>
      <c r="AD910" s="7" t="inlineStr">
        <is>
          <t>178</t>
        </is>
      </c>
      <c r="AE910" s="7" t="inlineStr">
        <is>
          <t>2086</t>
        </is>
      </c>
      <c r="AG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13" t="inlineStr">
        <is>
          <t>P-5c &gt; CVN Refueling Overhauls &gt; Electronics</t>
        </is>
      </c>
      <c r="AD911" s="7" t="inlineStr">
        <is>
          <t>178</t>
        </is>
      </c>
      <c r="AE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13" t="inlineStr">
        <is>
          <t>P-5c &gt; CVN Refueling Overhauls &gt; Propulsion Equipment</t>
        </is>
      </c>
      <c r="AD912" s="7" t="inlineStr">
        <is>
          <t>178</t>
        </is>
      </c>
      <c r="AE912" s="7" t="inlineStr">
        <is>
          <t>2086</t>
        </is>
      </c>
      <c r="AG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13" t="inlineStr">
        <is>
          <t>P-5c &gt; CVN Refueling Overhauls &gt; Hull, Mechanical, and Electrical</t>
        </is>
      </c>
      <c r="AD913" s="7" t="inlineStr">
        <is>
          <t>178</t>
        </is>
      </c>
      <c r="AE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13" t="inlineStr">
        <is>
          <t>P-5c &gt; CVN Refueling Overhauls &gt; Ordnance</t>
        </is>
      </c>
      <c r="AD914" s="7" t="inlineStr">
        <is>
          <t>178</t>
        </is>
      </c>
      <c r="AE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13" t="inlineStr">
        <is>
          <t>P-5c &gt; CVN Refueling Overhauls &gt; Other Cost</t>
        </is>
      </c>
      <c r="AD915" s="7" t="inlineStr">
        <is>
          <t>178</t>
        </is>
      </c>
      <c r="AE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13" t="inlineStr">
        <is>
          <t>P-8a &gt; CVN Refueling Overhauls &gt; Electronics &gt; C4ISR 1</t>
        </is>
      </c>
      <c r="AD916" s="7" t="inlineStr">
        <is>
          <t>181</t>
        </is>
      </c>
      <c r="AE916" s="7" t="inlineStr">
        <is>
          <t>2086</t>
        </is>
      </c>
      <c r="AG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13" t="inlineStr">
        <is>
          <t>P-8a &gt; CVN Refueling Overhauls &gt; Electronics &gt; INTEGRATED COMMUNICATION NETWORK (ICAN / DDCN &amp; IVCN) 1</t>
        </is>
      </c>
      <c r="AD917" s="7" t="inlineStr">
        <is>
          <t>181</t>
        </is>
      </c>
      <c r="AE917" s="7" t="inlineStr">
        <is>
          <t>2086</t>
        </is>
      </c>
      <c r="AG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13" t="inlineStr">
        <is>
          <t>P-8a &gt; CVN Refueling Overhauls &gt; Electronics &gt; ELECTRONIC CONSOLIDATED AUTOMATED SUPPORT SYSTEM (ECASS) 1</t>
        </is>
      </c>
      <c r="AD918" s="7" t="inlineStr">
        <is>
          <t>181</t>
        </is>
      </c>
      <c r="AE918" s="7" t="inlineStr">
        <is>
          <t>2086</t>
        </is>
      </c>
      <c r="AG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13" t="inlineStr">
        <is>
          <t>P-8a &gt; CVN Refueling Overhauls &gt; Electronics &gt; SHIP SELF DEFENSE SYSTEM (SSDS) MK2 MOD 1E 1</t>
        </is>
      </c>
      <c r="AD919" s="7" t="inlineStr">
        <is>
          <t>181</t>
        </is>
      </c>
      <c r="AE919" s="7" t="inlineStr">
        <is>
          <t>2086</t>
        </is>
      </c>
      <c r="AG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13" t="inlineStr">
        <is>
          <t>P-8a &gt; CVN Refueling Overhauls &gt; Electronics &gt; AN/SPN-50(V)1 - AIR TRAFFIC CONTROL RADAR 1</t>
        </is>
      </c>
      <c r="AD920" s="7" t="inlineStr">
        <is>
          <t>181</t>
        </is>
      </c>
      <c r="AE920" s="7" t="inlineStr">
        <is>
          <t>2086</t>
        </is>
      </c>
      <c r="AG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13" t="inlineStr">
        <is>
          <t>P-8a &gt; CVN Refueling Overhauls &gt; Electronics &gt; AN/SPN-46 OVERHAUL/UPGRADE 1</t>
        </is>
      </c>
      <c r="AD921" s="7" t="inlineStr">
        <is>
          <t>181</t>
        </is>
      </c>
      <c r="AE921" s="7" t="inlineStr">
        <is>
          <t>2086</t>
        </is>
      </c>
      <c r="AG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13" t="inlineStr">
        <is>
          <t>P-8a &gt; CVN Refueling Overhauls &gt; Electronics &gt; SATELLITE SIGNAL LANDING SYSTEM (SSLS) 1</t>
        </is>
      </c>
      <c r="AD922" s="7" t="inlineStr">
        <is>
          <t>181</t>
        </is>
      </c>
      <c r="AE922" s="7" t="inlineStr">
        <is>
          <t>2086</t>
        </is>
      </c>
      <c r="AG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13" t="inlineStr">
        <is>
          <t>P-8a &gt; CVN Refueling Overhauls &gt; Electronics &gt; AN/USG-2B - COOPERATIVE ENGAGEMENT CAPABILITY (CEC) 1</t>
        </is>
      </c>
      <c r="AD923" s="7" t="inlineStr">
        <is>
          <t>181</t>
        </is>
      </c>
      <c r="AE923" s="7" t="inlineStr">
        <is>
          <t>2086</t>
        </is>
      </c>
      <c r="AG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13" t="inlineStr">
        <is>
          <t>P-8a &gt; CVN Refueling Overhauls &gt; Electronics &gt; AN/SPN-41 REFURBISHMENT 1</t>
        </is>
      </c>
      <c r="AD924" s="7" t="inlineStr">
        <is>
          <t>181</t>
        </is>
      </c>
      <c r="AE924" s="7" t="inlineStr">
        <is>
          <t>2086</t>
        </is>
      </c>
      <c r="AG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13" t="inlineStr">
        <is>
          <t>P-8a &gt; CVN Refueling Overhauls &gt; Electronics &gt; UNMANNED AVIATION WARFARE CENTER (UAWC) 0 - 1</t>
        </is>
      </c>
      <c r="AD925" s="7" t="inlineStr">
        <is>
          <t>181</t>
        </is>
      </c>
      <c r="AE925" s="7" t="inlineStr">
        <is>
          <t>2086</t>
        </is>
      </c>
      <c r="AG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13" t="inlineStr">
        <is>
          <t>P-8a &gt; CVN Refueling Overhauls &gt; Electronics &gt; AN/UPX-29 - IDENTIFICATION FRIEND OR FOE (IFF) INTERROGATOR SET 1</t>
        </is>
      </c>
      <c r="AD926" s="7" t="inlineStr">
        <is>
          <t>181</t>
        </is>
      </c>
      <c r="AE926" s="7" t="inlineStr">
        <is>
          <t>2086</t>
        </is>
      </c>
      <c r="AG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13" t="inlineStr">
        <is>
          <t>P-8a &gt; CVN Refueling Overhauls &gt; Electronics &gt; NAVAL STRIKE WARFARE PLANNING CENTER (NSWPC) 1</t>
        </is>
      </c>
      <c r="AD927" s="7" t="inlineStr">
        <is>
          <t>181</t>
        </is>
      </c>
      <c r="AE927" s="7" t="inlineStr">
        <is>
          <t>2086</t>
        </is>
      </c>
      <c r="AG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13" t="inlineStr">
        <is>
          <t>P-8a &gt; CVN Refueling Overhauls &gt; Electronics &gt; OPERATIONS (MAGOPS) 1</t>
        </is>
      </c>
      <c r="AD928" s="7" t="inlineStr">
        <is>
          <t>181</t>
        </is>
      </c>
      <c r="AE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13" t="inlineStr">
        <is>
          <t>P-8a &gt; CVN Refueling Overhauls &gt; Electronics &gt; AN/SYY-1 - AIR TRAFFIC CONTROL SYSTEM 1</t>
        </is>
      </c>
      <c r="AD929" s="7" t="inlineStr">
        <is>
          <t>181</t>
        </is>
      </c>
      <c r="AE929" s="7" t="inlineStr">
        <is>
          <t>2086</t>
        </is>
      </c>
      <c r="AG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13" t="inlineStr">
        <is>
          <t>P-8a &gt; CVN Refueling Overhauls &gt; Electronics &gt; TEST &amp; CERTIFICATIONS, MISCELLANEOUS GFE</t>
        </is>
      </c>
      <c r="AD930" s="7" t="inlineStr">
        <is>
          <t>181</t>
        </is>
      </c>
      <c r="AE930" s="7" t="inlineStr">
        <is>
          <t>2086</t>
        </is>
      </c>
      <c r="AG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13" t="inlineStr">
        <is>
          <t>P-8a &gt; CVN Refueling Overhauls &gt; Hull, Mechanical, and Electrical &gt; LOW PRESSURE AIR PLANT (LPAP) 1</t>
        </is>
      </c>
      <c r="AD931" s="7" t="inlineStr">
        <is>
          <t>183</t>
        </is>
      </c>
      <c r="AE931" s="7" t="inlineStr">
        <is>
          <t>2086</t>
        </is>
      </c>
      <c r="AG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13" t="inlineStr">
        <is>
          <t>P-8a &gt; CVN Refueling Overhauls &gt; Hull, Mechanical, and Electrical &gt; VSA O2 GENERATOR 1</t>
        </is>
      </c>
      <c r="AD932" s="7" t="inlineStr">
        <is>
          <t>183</t>
        </is>
      </c>
      <c r="AE932" s="7" t="inlineStr">
        <is>
          <t>2086</t>
        </is>
      </c>
      <c r="AG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13" t="inlineStr">
        <is>
          <t>P-8a &gt; CVN Refueling Overhauls &gt; Hull, Mechanical, and Electrical &gt; FOOD SERVICE EQUIPMENT (FSE)</t>
        </is>
      </c>
      <c r="AD933" s="7" t="inlineStr">
        <is>
          <t>183</t>
        </is>
      </c>
      <c r="AE933" s="7" t="inlineStr">
        <is>
          <t>2086</t>
        </is>
      </c>
      <c r="AG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13" t="inlineStr">
        <is>
          <t>P-8a &gt; CVN Refueling Overhauls &gt; Hull, Mechanical, and Electrical &gt; NODE ROOM INSTALL 1</t>
        </is>
      </c>
      <c r="AD934" s="7" t="inlineStr">
        <is>
          <t>183</t>
        </is>
      </c>
      <c r="AE934" s="7" t="inlineStr">
        <is>
          <t>2086</t>
        </is>
      </c>
      <c r="AG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13" t="inlineStr">
        <is>
          <t>P-8a &gt; CVN Refueling Overhauls &gt; Hull, Mechanical, and Electrical &gt; OPERATOR BALLISTIC PROTECTION FOR CREW SERVED WEAPONS STATIONS 1</t>
        </is>
      </c>
      <c r="AD935" s="7" t="inlineStr">
        <is>
          <t>183</t>
        </is>
      </c>
      <c r="AE935" s="7" t="inlineStr">
        <is>
          <t>2086</t>
        </is>
      </c>
      <c r="AG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13" t="inlineStr">
        <is>
          <t>P-8a &gt; CVN Refueling Overhauls &gt; Hull, Mechanical, and Electrical &gt; PASSIVE COUNTER MEASURE SYSTEM (PCMS)</t>
        </is>
      </c>
      <c r="AD936" s="7" t="inlineStr">
        <is>
          <t>183</t>
        </is>
      </c>
      <c r="AE936" s="7" t="inlineStr">
        <is>
          <t>2086</t>
        </is>
      </c>
      <c r="AG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13" t="inlineStr">
        <is>
          <t>P-8a &gt; CVN Refueling Overhauls &gt; Hull, Mechanical, and Electrical &gt; COMBAT SYSTEMS SUPPORT CENTER (CSSC) RIPOUT/INSTALL 1</t>
        </is>
      </c>
      <c r="AD937" s="7" t="inlineStr">
        <is>
          <t>183</t>
        </is>
      </c>
      <c r="AE937" s="7" t="inlineStr">
        <is>
          <t>2086</t>
        </is>
      </c>
      <c r="AG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13" t="inlineStr">
        <is>
          <t>P-8a &gt; CVN Refueling Overhauls &gt; Hull, Mechanical, and Electrical &gt; CARRIER INTELLIGENCE CENTER (CVIC) RIPOUT/INSTALL</t>
        </is>
      </c>
      <c r="AD938" s="7" t="inlineStr">
        <is>
          <t>183</t>
        </is>
      </c>
      <c r="AE938" s="7" t="inlineStr">
        <is>
          <t>2086</t>
        </is>
      </c>
      <c r="AG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13" t="inlineStr">
        <is>
          <t>P-8a &gt; CVN Refueling Overhauls &gt; Hull, Mechanical, and Electrical &gt; MODULAR REFRIGERATION UNIT (MRU) 1</t>
        </is>
      </c>
      <c r="AD939" s="7" t="inlineStr">
        <is>
          <t>183</t>
        </is>
      </c>
      <c r="AE939" s="7" t="inlineStr">
        <is>
          <t>2086</t>
        </is>
      </c>
      <c r="AG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13" t="inlineStr">
        <is>
          <t>P-8a &gt; CVN Refueling Overhauls &gt; Hull, Mechanical, and Electrical &gt; MEDICAL AND DENTAL SUITE 1</t>
        </is>
      </c>
      <c r="AD940" s="7" t="inlineStr">
        <is>
          <t>183</t>
        </is>
      </c>
      <c r="AE940" s="7" t="inlineStr">
        <is>
          <t>2086</t>
        </is>
      </c>
      <c r="AG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13" t="inlineStr">
        <is>
          <t>P-8a &gt; CVN Refueling Overhauls &gt; Hull, Mechanical, and Electrical &gt; DECK EDGE DOOR 1</t>
        </is>
      </c>
      <c r="AD941" s="7" t="inlineStr">
        <is>
          <t>183</t>
        </is>
      </c>
      <c r="AE941" s="7" t="inlineStr">
        <is>
          <t>2086</t>
        </is>
      </c>
      <c r="AG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13" t="inlineStr">
        <is>
          <t>P-8a &gt; CVN Refueling Overhauls &gt; Hull, Mechanical, and Electrical &gt; HANGAR DIVISION DOORS (HDD) 1</t>
        </is>
      </c>
      <c r="AD942" s="7" t="inlineStr">
        <is>
          <t>183</t>
        </is>
      </c>
      <c r="AE942" s="7" t="inlineStr">
        <is>
          <t>2086</t>
        </is>
      </c>
      <c r="AG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13" t="inlineStr">
        <is>
          <t>P-8a &gt; CVN Refueling Overhauls &gt; Hull, Mechanical, and Electrical &gt; AIRCRAFT ELEVATOR (ACE) 1</t>
        </is>
      </c>
      <c r="AD943" s="7" t="inlineStr">
        <is>
          <t>183</t>
        </is>
      </c>
      <c r="AE943" s="7" t="inlineStr">
        <is>
          <t>2086</t>
        </is>
      </c>
      <c r="AG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13" t="inlineStr">
        <is>
          <t>P-8a &gt; CVN Refueling Overhauls &gt; Hull, Mechanical, and Electrical &gt; ENGINEERING, TEST &amp; CERTIFICATION</t>
        </is>
      </c>
      <c r="AD944" s="7" t="inlineStr">
        <is>
          <t>183</t>
        </is>
      </c>
      <c r="AE944" s="7" t="inlineStr">
        <is>
          <t>2086</t>
        </is>
      </c>
      <c r="AG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13" t="inlineStr">
        <is>
          <t>P-8a &gt; CVN Refueling Overhauls &gt; Hull, Mechanical, and Electrical &gt; MISCELLANEOUS GOVERNMENT FURNISHED EQUIPMENT (GFE)</t>
        </is>
      </c>
      <c r="AD945" s="7" t="inlineStr">
        <is>
          <t>183</t>
        </is>
      </c>
      <c r="AE945" s="7" t="inlineStr">
        <is>
          <t>2086</t>
        </is>
      </c>
      <c r="AG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13" t="inlineStr">
        <is>
          <t>P-8a &gt; CVN Refueling Overhauls &gt;  &gt; ENGINEERING, TEST &amp; CERTIFICATION: CVN 74 overall increase of $</t>
        </is>
      </c>
      <c r="AD946" s="7" t="inlineStr">
        <is>
          <t>184</t>
        </is>
      </c>
      <c r="AE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13" t="inlineStr">
        <is>
          <t>P-8a &gt; CVN Refueling Overhauls &gt;  &gt; the FY 2025 budget request. CVN 75 re-categorization of $</t>
        </is>
      </c>
      <c r="AD947" s="7" t="inlineStr">
        <is>
          <t>184</t>
        </is>
      </c>
      <c r="AE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13" t="inlineStr">
        <is>
          <t>P-8a &gt; CVN Refueling Overhauls &gt;  &gt; of $</t>
        </is>
      </c>
      <c r="AD948" s="7" t="inlineStr">
        <is>
          <t>184</t>
        </is>
      </c>
      <c r="AE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13" t="inlineStr">
        <is>
          <t>P-8a &gt; CVN Refueling Overhauls &gt; Ordnance &gt; ENTERPRISE AIR SURVEILLANCE RADAR (EASR) 1</t>
        </is>
      </c>
      <c r="AD949" s="7" t="inlineStr">
        <is>
          <t>185</t>
        </is>
      </c>
      <c r="AE949" s="7" t="inlineStr">
        <is>
          <t>2086</t>
        </is>
      </c>
      <c r="AG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13" t="inlineStr">
        <is>
          <t>P-8a &gt; CVN Refueling Overhauls &gt; Ordnance &gt; AVIATION EQUIPMENT &amp; SUPPORT 1</t>
        </is>
      </c>
      <c r="AD950" s="7" t="inlineStr">
        <is>
          <t>185</t>
        </is>
      </c>
      <c r="AE950" s="7" t="inlineStr">
        <is>
          <t>2086</t>
        </is>
      </c>
      <c r="AG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13" t="inlineStr">
        <is>
          <t>P-8a &gt; CVN Refueling Overhauls &gt; Ordnance &gt; CIWS/RAM DEFENSE CAPABILITY (CRDC) BLOCK 1 1</t>
        </is>
      </c>
      <c r="AD951" s="7" t="inlineStr">
        <is>
          <t>185</t>
        </is>
      </c>
      <c r="AE951" s="7" t="inlineStr">
        <is>
          <t>2086</t>
        </is>
      </c>
      <c r="AG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13" t="inlineStr">
        <is>
          <t>P-8a &gt; CVN Refueling Overhauls &gt; Ordnance &gt; NATO SEASPARROW SURFACE MISSILE SYSTEM (NSSMS) 1</t>
        </is>
      </c>
      <c r="AD952" s="7" t="inlineStr">
        <is>
          <t>185</t>
        </is>
      </c>
      <c r="AE952" s="7" t="inlineStr">
        <is>
          <t>2086</t>
        </is>
      </c>
      <c r="AG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13" t="inlineStr">
        <is>
          <t>P-8a &gt; CVN Refueling Overhauls &gt; Ordnance &gt; SURFACE ELECTRONIC WARFARE IMPROVEMENT PROGRAM (SEWIP) BLOCK 2 1</t>
        </is>
      </c>
      <c r="AD953" s="7" t="inlineStr">
        <is>
          <t>185</t>
        </is>
      </c>
      <c r="AE953" s="7" t="inlineStr">
        <is>
          <t>2086</t>
        </is>
      </c>
      <c r="AG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13" t="inlineStr">
        <is>
          <t>P-8a &gt; CVN Refueling Overhauls &gt; Ordnance &gt; MK 38 MOD 3 GUN SYSTEM 1</t>
        </is>
      </c>
      <c r="AD954" s="7" t="inlineStr">
        <is>
          <t>185</t>
        </is>
      </c>
      <c r="AE954" s="7" t="inlineStr">
        <is>
          <t>2086</t>
        </is>
      </c>
      <c r="AG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13" t="inlineStr">
        <is>
          <t>P-8a &gt; CVN Refueling Overhauls &gt; Ordnance &gt; SURFACE ELECTRONIC WARFARE IMPROVEMENT PROGRAM (SEWIP) BLOCK 3 -</t>
        </is>
      </c>
      <c r="AD955" s="7" t="inlineStr">
        <is>
          <t>185</t>
        </is>
      </c>
      <c r="AE955" s="7" t="inlineStr">
        <is>
          <t>2086</t>
        </is>
      </c>
      <c r="AG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13" t="inlineStr">
        <is>
          <t>P-8a &gt; CVN Refueling Overhauls &gt; Ordnance &gt; CLOSE IN WEAPON SYSTEM (CIWS) BLOCK 1B</t>
        </is>
      </c>
      <c r="AD956" s="7" t="inlineStr">
        <is>
          <t>185</t>
        </is>
      </c>
      <c r="AE956" s="7" t="inlineStr">
        <is>
          <t>2086</t>
        </is>
      </c>
      <c r="AG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13" t="inlineStr">
        <is>
          <t>P-8a &gt; CVN Refueling Overhauls &gt; Ordnance &gt; COMBAT DIRECTION CENTER (CDC)/FLAG RIPOUT/INSTALL 1</t>
        </is>
      </c>
      <c r="AD957" s="7" t="inlineStr">
        <is>
          <t>185</t>
        </is>
      </c>
      <c r="AE957" s="7" t="inlineStr">
        <is>
          <t>2086</t>
        </is>
      </c>
      <c r="AG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13" t="inlineStr">
        <is>
          <t>P-8a &gt; CVN Refueling Overhauls &gt; Ordnance &gt; AN/SPS-73 NEXT GENERATION SURFACE SEARCH RADAR (NGSSR) 1</t>
        </is>
      </c>
      <c r="AD958" s="7" t="inlineStr">
        <is>
          <t>185</t>
        </is>
      </c>
      <c r="AE958" s="7" t="inlineStr">
        <is>
          <t>2086</t>
        </is>
      </c>
      <c r="AG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13" t="inlineStr">
        <is>
          <t>P-8a &gt; CVN Refueling Overhauls &gt; Ordnance &gt; RAM GUIDED MISSILE LAUNCHING SYSTEM 1</t>
        </is>
      </c>
      <c r="AD959" s="7" t="inlineStr">
        <is>
          <t>185</t>
        </is>
      </c>
      <c r="AE959" s="7" t="inlineStr">
        <is>
          <t>2086</t>
        </is>
      </c>
      <c r="AG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13" t="inlineStr">
        <is>
          <t>P-8a &gt; CVN Refueling Overhauls &gt; Ordnance &gt; AN/SQQ-34C - CARRIER TACTICAL SUPPORT CENTER 1</t>
        </is>
      </c>
      <c r="AD960" s="7" t="inlineStr">
        <is>
          <t>185</t>
        </is>
      </c>
      <c r="AE960" s="7" t="inlineStr">
        <is>
          <t>2086</t>
        </is>
      </c>
      <c r="AG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13" t="inlineStr">
        <is>
          <t>P-8a &gt; CVN Refueling Overhauls &gt; Ordnance &gt; RADAR DATA DISTRIBUTION SYSTEM (RDDS) 0 - 1</t>
        </is>
      </c>
      <c r="AD961" s="7" t="inlineStr">
        <is>
          <t>185</t>
        </is>
      </c>
      <c r="AE961" s="7" t="inlineStr">
        <is>
          <t>2086</t>
        </is>
      </c>
      <c r="AG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13" t="inlineStr">
        <is>
          <t>P-8a &gt; CVN Refueling Overhauls &gt; Ordnance &gt; TEST &amp; CERTIFICATIONS, MISCELLANEOUS GFE</t>
        </is>
      </c>
      <c r="AD962" s="7" t="inlineStr">
        <is>
          <t>185</t>
        </is>
      </c>
      <c r="AE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13" t="inlineStr">
        <is>
          <t>P-35 &gt; CVN Refueling Overhauls &gt; C4ISR &gt; Major Hardware                                                                                                  1</t>
        </is>
      </c>
      <c r="AD963" s="7" t="inlineStr">
        <is>
          <t>187</t>
        </is>
      </c>
      <c r="AE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13" t="inlineStr">
        <is>
          <t>P-35 &gt; CVN Refueling Overhauls &gt; C4ISR &gt; Ancillary Equipment</t>
        </is>
      </c>
      <c r="AD964" s="7" t="inlineStr">
        <is>
          <t>187</t>
        </is>
      </c>
      <c r="AE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13" t="inlineStr">
        <is>
          <t>P-35 &gt; CVN Refueling Overhauls &gt; C4ISR &gt; Technical Data and Documentation</t>
        </is>
      </c>
      <c r="AD965" s="7" t="inlineStr">
        <is>
          <t>187</t>
        </is>
      </c>
      <c r="AE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13" t="inlineStr">
        <is>
          <t>P-35 &gt; CVN Refueling Overhauls &gt; C4ISR &gt; Spares</t>
        </is>
      </c>
      <c r="AD966" s="7" t="inlineStr">
        <is>
          <t>187</t>
        </is>
      </c>
      <c r="AE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13" t="inlineStr">
        <is>
          <t>P-35 &gt; CVN Refueling Overhauls &gt; C4ISR &gt; System Engineering</t>
        </is>
      </c>
      <c r="AD967" s="7" t="inlineStr">
        <is>
          <t>187</t>
        </is>
      </c>
      <c r="AE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13" t="inlineStr">
        <is>
          <t>P-35 &gt; CVN Refueling Overhauls &gt; C4ISR &gt; Technical Engineering Services</t>
        </is>
      </c>
      <c r="AD968" s="7" t="inlineStr">
        <is>
          <t>187</t>
        </is>
      </c>
      <c r="AE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13" t="inlineStr">
        <is>
          <t>P-35 &gt; CVN Refueling Overhauls &gt; C4ISR &gt; Other Costs</t>
        </is>
      </c>
      <c r="AD969" s="7" t="inlineStr">
        <is>
          <t>187</t>
        </is>
      </c>
      <c r="AE969" s="7" t="inlineStr">
        <is>
          <t>2086</t>
        </is>
      </c>
      <c r="AG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13" t="inlineStr">
        <is>
          <t>P-35 &gt; CVN Refueling Overhauls &gt; INTEGRATED COMMUNICATION NETWORK (ICAN / DDCN &amp; IVCN) &gt; Major Hardware                                                                                                  1</t>
        </is>
      </c>
      <c r="AD970" s="7" t="inlineStr">
        <is>
          <t>188</t>
        </is>
      </c>
      <c r="AE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13" t="inlineStr">
        <is>
          <t>P-35 &gt; CVN Refueling Overhauls &gt; INTEGRATED COMMUNICATION NETWORK (ICAN / DDCN &amp; IVCN) &gt; Ancillary Equipment</t>
        </is>
      </c>
      <c r="AD971" s="7" t="inlineStr">
        <is>
          <t>188</t>
        </is>
      </c>
      <c r="AE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13" t="inlineStr">
        <is>
          <t>P-35 &gt; CVN Refueling Overhauls &gt; INTEGRATED COMMUNICATION NETWORK (ICAN / DDCN &amp; IVCN) &gt; Technical Data and Documentation</t>
        </is>
      </c>
      <c r="AD972" s="7" t="inlineStr">
        <is>
          <t>188</t>
        </is>
      </c>
      <c r="AE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13" t="inlineStr">
        <is>
          <t>P-35 &gt; CVN Refueling Overhauls &gt; INTEGRATED COMMUNICATION NETWORK (ICAN / DDCN &amp; IVCN) &gt; Spares</t>
        </is>
      </c>
      <c r="AD973" s="7" t="inlineStr">
        <is>
          <t>188</t>
        </is>
      </c>
      <c r="AE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13" t="inlineStr">
        <is>
          <t>P-35 &gt; CVN Refueling Overhauls &gt; INTEGRATED COMMUNICATION NETWORK (ICAN / DDCN &amp; IVCN) &gt; System Engineering</t>
        </is>
      </c>
      <c r="AD974" s="7" t="inlineStr">
        <is>
          <t>188</t>
        </is>
      </c>
      <c r="AE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13" t="inlineStr">
        <is>
          <t>P-35 &gt; CVN Refueling Overhauls &gt; INTEGRATED COMMUNICATION NETWORK (ICAN / DDCN &amp; IVCN) &gt; Technical Engineering Services</t>
        </is>
      </c>
      <c r="AD975" s="7" t="inlineStr">
        <is>
          <t>188</t>
        </is>
      </c>
      <c r="AE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13" t="inlineStr">
        <is>
          <t>P-35 &gt; CVN Refueling Overhauls &gt; INTEGRATED COMMUNICATION NETWORK (ICAN / DDCN &amp; IVCN) &gt; Other Costs</t>
        </is>
      </c>
      <c r="AD976" s="7" t="inlineStr">
        <is>
          <t>188</t>
        </is>
      </c>
      <c r="AE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13" t="inlineStr">
        <is>
          <t>P-35 &gt; CVN Refueling Overhauls &gt; INTEGRATED COMMUNICATION NETWORK (ICAN / DDCN &amp; IVCN) &gt; CVN 74 RCOH - Comprised of 33 discretely funded line items. Net cost increase of $</t>
        </is>
      </c>
      <c r="AD977" s="7" t="inlineStr">
        <is>
          <t>189</t>
        </is>
      </c>
      <c r="AE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13" t="inlineStr">
        <is>
          <t>P-35 &gt; CVN Refueling Overhauls &gt; INTEGRATED COMMUNICATION NETWORK (ICAN / DDCN &amp; IVCN) &gt; significant decrease exists for Integrated Voice Communications Network (IVCN/IVN), which is reflected in Electronics to be $</t>
        </is>
      </c>
      <c r="AD978" s="7" t="inlineStr">
        <is>
          <t>189</t>
        </is>
      </c>
      <c r="AE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13" t="inlineStr">
        <is>
          <t>P-35 &gt; CVN Refueling Overhauls &gt; INTEGRATED COMMUNICATION NETWORK (ICAN / DDCN &amp; IVCN) &gt; government alteration installation teams (AIT). CVN 74 adjusted for inflation is valued $</t>
        </is>
      </c>
      <c r="AD979" s="7" t="inlineStr">
        <is>
          <t>189</t>
        </is>
      </c>
      <c r="AE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13" t="inlineStr">
        <is>
          <t>P-35 &gt; CVN Refueling Overhauls &gt; ELECTRONIC CONSOLIDATED AUTOMATED SUPPORT SYSTEM (ECASS) &gt; Major Hardware                                                                                                 1</t>
        </is>
      </c>
      <c r="AD980" s="7" t="inlineStr">
        <is>
          <t>190</t>
        </is>
      </c>
      <c r="AE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13" t="inlineStr">
        <is>
          <t>P-35 &gt; CVN Refueling Overhauls &gt; ELECTRONIC CONSOLIDATED AUTOMATED SUPPORT SYSTEM (ECASS) &gt; Technical Engineering Services</t>
        </is>
      </c>
      <c r="AD981" s="7" t="inlineStr">
        <is>
          <t>190</t>
        </is>
      </c>
      <c r="AE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13" t="inlineStr">
        <is>
          <t>P-35 &gt; CVN Refueling Overhauls &gt; ELECTRONIC CONSOLIDATED AUTOMATED SUPPORT SYSTEM (ECASS) &gt; Other Costs</t>
        </is>
      </c>
      <c r="AD982" s="7" t="inlineStr">
        <is>
          <t>190</t>
        </is>
      </c>
      <c r="AE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13" t="inlineStr">
        <is>
          <t>P-35 &gt; CVN Refueling Overhauls &gt; SHIP SELF DEFENSE SYSTEM (SSDS) MK2 MOD 1E &gt; Major Hardware                                                                                              1</t>
        </is>
      </c>
      <c r="AD983" s="7" t="inlineStr">
        <is>
          <t>191</t>
        </is>
      </c>
      <c r="AE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13" t="inlineStr">
        <is>
          <t>P-35 &gt; CVN Refueling Overhauls &gt; SHIP SELF DEFENSE SYSTEM (SSDS) MK2 MOD 1E &gt; Technical Data and Documentation</t>
        </is>
      </c>
      <c r="AD984" s="7" t="inlineStr">
        <is>
          <t>191</t>
        </is>
      </c>
      <c r="AE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13" t="inlineStr">
        <is>
          <t>P-35 &gt; CVN Refueling Overhauls &gt; SHIP SELF DEFENSE SYSTEM (SSDS) MK2 MOD 1E &gt; Spares</t>
        </is>
      </c>
      <c r="AD985" s="7" t="inlineStr">
        <is>
          <t>191</t>
        </is>
      </c>
      <c r="AE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13" t="inlineStr">
        <is>
          <t>P-35 &gt; CVN Refueling Overhauls &gt; SHIP SELF DEFENSE SYSTEM (SSDS) MK2 MOD 1E &gt; System Engineering</t>
        </is>
      </c>
      <c r="AD986" s="7" t="inlineStr">
        <is>
          <t>191</t>
        </is>
      </c>
      <c r="AE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13" t="inlineStr">
        <is>
          <t>P-35 &gt; CVN Refueling Overhauls &gt; SHIP SELF DEFENSE SYSTEM (SSDS) MK2 MOD 1E &gt; Technical Engineering Services</t>
        </is>
      </c>
      <c r="AD987" s="7" t="inlineStr">
        <is>
          <t>191</t>
        </is>
      </c>
      <c r="AE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13" t="inlineStr">
        <is>
          <t>P-35 &gt; CVN Refueling Overhauls &gt; SHIP SELF DEFENSE SYSTEM (SSDS) MK2 MOD 1E &gt; Other Costs</t>
        </is>
      </c>
      <c r="AD988" s="7" t="inlineStr">
        <is>
          <t>191</t>
        </is>
      </c>
      <c r="AE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13" t="inlineStr">
        <is>
          <t>P-35 &gt; CVN Refueling Overhauls &gt; AN/SPN-50(V)1 - AIR TRAFFIC CONTROL RADAR &gt; Major Hardware                                                                                                 1</t>
        </is>
      </c>
      <c r="AD989" s="7" t="inlineStr">
        <is>
          <t>192</t>
        </is>
      </c>
      <c r="AE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13" t="inlineStr">
        <is>
          <t>P-35 &gt; CVN Refueling Overhauls &gt; AN/SPN-50(V)1 - AIR TRAFFIC CONTROL RADAR &gt; Technical Data and Documentation</t>
        </is>
      </c>
      <c r="AD990" s="7" t="inlineStr">
        <is>
          <t>192</t>
        </is>
      </c>
      <c r="AE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13" t="inlineStr">
        <is>
          <t>P-35 &gt; CVN Refueling Overhauls &gt; AN/SPN-50(V)1 - AIR TRAFFIC CONTROL RADAR &gt; Spares</t>
        </is>
      </c>
      <c r="AD991" s="7" t="inlineStr">
        <is>
          <t>192</t>
        </is>
      </c>
      <c r="AE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13" t="inlineStr">
        <is>
          <t>P-35 &gt; CVN Refueling Overhauls &gt; AN/SPN-50(V)1 - AIR TRAFFIC CONTROL RADAR &gt; System Engineering</t>
        </is>
      </c>
      <c r="AD992" s="7" t="inlineStr">
        <is>
          <t>192</t>
        </is>
      </c>
      <c r="AE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13" t="inlineStr">
        <is>
          <t>P-35 &gt; CVN Refueling Overhauls &gt; AN/SPN-50(V)1 - AIR TRAFFIC CONTROL RADAR &gt; Technical Engineering Services</t>
        </is>
      </c>
      <c r="AD993" s="7" t="inlineStr">
        <is>
          <t>192</t>
        </is>
      </c>
      <c r="AE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13" t="inlineStr">
        <is>
          <t>P-35 &gt; CVN Refueling Overhauls &gt; AN/SPN-50(V)1 - AIR TRAFFIC CONTROL RADAR &gt; Other Costs</t>
        </is>
      </c>
      <c r="AD994" s="7" t="inlineStr">
        <is>
          <t>192</t>
        </is>
      </c>
      <c r="AE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13" t="inlineStr">
        <is>
          <t>P-35 &gt; CVN Refueling Overhauls &gt; AN/SPN-46 OVERHAUL/UPGRADE &gt; Major Hardware                                                                                                        1</t>
        </is>
      </c>
      <c r="AD995" s="7" t="inlineStr">
        <is>
          <t>193</t>
        </is>
      </c>
      <c r="AE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13" t="inlineStr">
        <is>
          <t>P-35 &gt; CVN Refueling Overhauls &gt; AN/SPN-46 OVERHAUL/UPGRADE &gt; System Engineering</t>
        </is>
      </c>
      <c r="AD996" s="7" t="inlineStr">
        <is>
          <t>193</t>
        </is>
      </c>
      <c r="AE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13" t="inlineStr">
        <is>
          <t>P-35 &gt; CVN Refueling Overhauls &gt; AN/SPN-46 OVERHAUL/UPGRADE &gt; Technical Engineering Services</t>
        </is>
      </c>
      <c r="AD997" s="7" t="inlineStr">
        <is>
          <t>193</t>
        </is>
      </c>
      <c r="AE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13" t="inlineStr">
        <is>
          <t>P-35 &gt; CVN Refueling Overhauls &gt; AN/SPN-46 OVERHAUL/UPGRADE &gt; Other Costs</t>
        </is>
      </c>
      <c r="AD998" s="7" t="inlineStr">
        <is>
          <t>193</t>
        </is>
      </c>
      <c r="AE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13" t="inlineStr">
        <is>
          <t>P-35 &gt; CVN Refueling Overhauls &gt; SATELLITE SIGNAL LANDING SYSTEM (SSLS) &gt; Major Hardware                                                                                                   1</t>
        </is>
      </c>
      <c r="AD999" s="7" t="inlineStr">
        <is>
          <t>194</t>
        </is>
      </c>
      <c r="AE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13" t="inlineStr">
        <is>
          <t>P-35 &gt; CVN Refueling Overhauls &gt; SATELLITE SIGNAL LANDING SYSTEM (SSLS) &gt; Spares</t>
        </is>
      </c>
      <c r="AD1000" s="7" t="inlineStr">
        <is>
          <t>194</t>
        </is>
      </c>
      <c r="AE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13" t="inlineStr">
        <is>
          <t>P-35 &gt; CVN Refueling Overhauls &gt; SATELLITE SIGNAL LANDING SYSTEM (SSLS) &gt; System Engineering</t>
        </is>
      </c>
      <c r="AD1001" s="7" t="inlineStr">
        <is>
          <t>194</t>
        </is>
      </c>
      <c r="AE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13" t="inlineStr">
        <is>
          <t>P-35 &gt; CVN Refueling Overhauls &gt; SATELLITE SIGNAL LANDING SYSTEM (SSLS) &gt; Technical Engineering Services</t>
        </is>
      </c>
      <c r="AD1002" s="7" t="inlineStr">
        <is>
          <t>194</t>
        </is>
      </c>
      <c r="AE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13" t="inlineStr">
        <is>
          <t>P-35 &gt; CVN Refueling Overhauls &gt; SATELLITE SIGNAL LANDING SYSTEM (SSLS) &gt; Other Costs</t>
        </is>
      </c>
      <c r="AD1003" s="7" t="inlineStr">
        <is>
          <t>194</t>
        </is>
      </c>
      <c r="AE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13" t="inlineStr">
        <is>
          <t>P-35 &gt; CVN Refueling Overhauls &gt; AN/USG-2B - COOPERATIVE ENGAGEMENT CAPABILITY (CEC) &gt; Major Hardware                                                                                                1</t>
        </is>
      </c>
      <c r="AD1004" s="7" t="inlineStr">
        <is>
          <t>195</t>
        </is>
      </c>
      <c r="AE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13" t="inlineStr">
        <is>
          <t>P-35 &gt; CVN Refueling Overhauls &gt; AN/USG-2B - COOPERATIVE ENGAGEMENT CAPABILITY (CEC) &gt; Technical Data and Documentation</t>
        </is>
      </c>
      <c r="AD1005" s="7" t="inlineStr">
        <is>
          <t>195</t>
        </is>
      </c>
      <c r="AE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13" t="inlineStr">
        <is>
          <t>P-35 &gt; CVN Refueling Overhauls &gt; AN/USG-2B - COOPERATIVE ENGAGEMENT CAPABILITY (CEC) &gt; Spares</t>
        </is>
      </c>
      <c r="AD1006" s="7" t="inlineStr">
        <is>
          <t>195</t>
        </is>
      </c>
      <c r="AE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13" t="inlineStr">
        <is>
          <t>P-35 &gt; CVN Refueling Overhauls &gt; AN/USG-2B - COOPERATIVE ENGAGEMENT CAPABILITY (CEC) &gt; System Engineering</t>
        </is>
      </c>
      <c r="AD1007" s="7" t="inlineStr">
        <is>
          <t>195</t>
        </is>
      </c>
      <c r="AE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13" t="inlineStr">
        <is>
          <t>P-35 &gt; CVN Refueling Overhauls &gt; AN/USG-2B - COOPERATIVE ENGAGEMENT CAPABILITY (CEC) &gt; Technical Engineering Services</t>
        </is>
      </c>
      <c r="AD1008" s="7" t="inlineStr">
        <is>
          <t>195</t>
        </is>
      </c>
      <c r="AE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13" t="inlineStr">
        <is>
          <t>P-35 &gt; CVN Refueling Overhauls &gt; AN/USG-2B - COOPERATIVE ENGAGEMENT CAPABILITY (CEC) &gt; Other Costs</t>
        </is>
      </c>
      <c r="AD1009" s="7" t="inlineStr">
        <is>
          <t>195</t>
        </is>
      </c>
      <c r="AE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13" t="inlineStr">
        <is>
          <t>P-35 &gt; CVN Refueling Overhauls &gt; AN/SPN-41 REFURBISHMENT &gt; Major Hardware                                                                                                    1</t>
        </is>
      </c>
      <c r="AD1010" s="7" t="inlineStr">
        <is>
          <t>196</t>
        </is>
      </c>
      <c r="AE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13" t="inlineStr">
        <is>
          <t>P-35 &gt; CVN Refueling Overhauls &gt; AN/SPN-41 REFURBISHMENT &gt; System Engineering</t>
        </is>
      </c>
      <c r="AD1011" s="7" t="inlineStr">
        <is>
          <t>196</t>
        </is>
      </c>
      <c r="AE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13" t="inlineStr">
        <is>
          <t>P-35 &gt; CVN Refueling Overhauls &gt; AN/SPN-41 REFURBISHMENT &gt; Technical Engineering Services</t>
        </is>
      </c>
      <c r="AD1012" s="7" t="inlineStr">
        <is>
          <t>196</t>
        </is>
      </c>
      <c r="AE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13" t="inlineStr">
        <is>
          <t>P-35 &gt; CVN Refueling Overhauls &gt; AN/SPN-41 REFURBISHMENT &gt; Other Costs</t>
        </is>
      </c>
      <c r="AD1013" s="7" t="inlineStr">
        <is>
          <t>196</t>
        </is>
      </c>
      <c r="AE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13" t="inlineStr">
        <is>
          <t>P-35 &gt; CVN Refueling Overhauls &gt; UNMANNED AVIATION WARFARE CENTER (UAWC) &gt; Major Hardware                                                                                                  0                               -                                 1</t>
        </is>
      </c>
      <c r="AD1014" s="7" t="inlineStr">
        <is>
          <t>197</t>
        </is>
      </c>
      <c r="AE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13" t="inlineStr">
        <is>
          <t>P-35 &gt; CVN Refueling Overhauls &gt; UNMANNED AVIATION WARFARE CENTER (UAWC) &gt; Technical Data and Documentation                                                                                                                -</t>
        </is>
      </c>
      <c r="AD1015" s="7" t="inlineStr">
        <is>
          <t>197</t>
        </is>
      </c>
      <c r="AE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13" t="inlineStr">
        <is>
          <t>P-35 &gt; CVN Refueling Overhauls &gt; UNMANNED AVIATION WARFARE CENTER (UAWC) &gt; Technical Engineering Services                                                                                                                  -</t>
        </is>
      </c>
      <c r="AD1016" s="7" t="inlineStr">
        <is>
          <t>197</t>
        </is>
      </c>
      <c r="AE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13" t="inlineStr">
        <is>
          <t>P-35 &gt; CVN Refueling Overhauls &gt; UNMANNED AVIATION WARFARE CENTER (UAWC) &gt; Other Costs                                                                                                                                     -</t>
        </is>
      </c>
      <c r="AD1017" s="7" t="inlineStr">
        <is>
          <t>197</t>
        </is>
      </c>
      <c r="AE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13" t="inlineStr">
        <is>
          <t>P-35 &gt; CVN Refueling Overhauls &gt; LOW PRESSURE AIR PLANT (LPAP) &gt; Major Hardware                                                                                                 1</t>
        </is>
      </c>
      <c r="AD1018" s="7" t="inlineStr">
        <is>
          <t>198</t>
        </is>
      </c>
      <c r="AE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13" t="inlineStr">
        <is>
          <t>P-35 &gt; CVN Refueling Overhauls &gt; LOW PRESSURE AIR PLANT (LPAP) &gt; Ancillary Equipment</t>
        </is>
      </c>
      <c r="AD1019" s="7" t="inlineStr">
        <is>
          <t>198</t>
        </is>
      </c>
      <c r="AE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13" t="inlineStr">
        <is>
          <t>P-35 &gt; CVN Refueling Overhauls &gt; LOW PRESSURE AIR PLANT (LPAP) &gt; Spares</t>
        </is>
      </c>
      <c r="AD1020" s="7" t="inlineStr">
        <is>
          <t>198</t>
        </is>
      </c>
      <c r="AE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13" t="inlineStr">
        <is>
          <t>P-35 &gt; CVN Refueling Overhauls &gt; LOW PRESSURE AIR PLANT (LPAP) &gt; System Engineering</t>
        </is>
      </c>
      <c r="AD1021" s="7" t="inlineStr">
        <is>
          <t>198</t>
        </is>
      </c>
      <c r="AE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13" t="inlineStr">
        <is>
          <t>P-35 &gt; CVN Refueling Overhauls &gt; LOW PRESSURE AIR PLANT (LPAP) &gt; Technical Engineering Services</t>
        </is>
      </c>
      <c r="AD1022" s="7" t="inlineStr">
        <is>
          <t>198</t>
        </is>
      </c>
      <c r="AE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13" t="inlineStr">
        <is>
          <t>P-35 &gt; CVN Refueling Overhauls &gt; LOW PRESSURE AIR PLANT (LPAP) &gt; Other Costs</t>
        </is>
      </c>
      <c r="AD1023" s="7" t="inlineStr">
        <is>
          <t>198</t>
        </is>
      </c>
      <c r="AE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13" t="inlineStr">
        <is>
          <t>P-35 &gt; CVN Refueling Overhauls &gt; VSA O2 GENERATOR &gt; Major Hardware                                                                                                      1</t>
        </is>
      </c>
      <c r="AD1024" s="7" t="inlineStr">
        <is>
          <t>199</t>
        </is>
      </c>
      <c r="AE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13" t="inlineStr">
        <is>
          <t>P-35 &gt; CVN Refueling Overhauls &gt; VSA O2 GENERATOR &gt; Ancillary Equipment</t>
        </is>
      </c>
      <c r="AD1025" s="7" t="inlineStr">
        <is>
          <t>199</t>
        </is>
      </c>
      <c r="AE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13" t="inlineStr">
        <is>
          <t>P-35 &gt; CVN Refueling Overhauls &gt; VSA O2 GENERATOR &gt; Spares</t>
        </is>
      </c>
      <c r="AD1026" s="7" t="inlineStr">
        <is>
          <t>199</t>
        </is>
      </c>
      <c r="AE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13" t="inlineStr">
        <is>
          <t>P-35 &gt; CVN Refueling Overhauls &gt; VSA O2 GENERATOR &gt; System Engineering</t>
        </is>
      </c>
      <c r="AD1027" s="7" t="inlineStr">
        <is>
          <t>199</t>
        </is>
      </c>
      <c r="AE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13" t="inlineStr">
        <is>
          <t>P-35 &gt; CVN Refueling Overhauls &gt; VSA O2 GENERATOR &gt; Technical Engineering Services</t>
        </is>
      </c>
      <c r="AD1028" s="7" t="inlineStr">
        <is>
          <t>199</t>
        </is>
      </c>
      <c r="AE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13" t="inlineStr">
        <is>
          <t>P-35 &gt; CVN Refueling Overhauls &gt; VSA O2 GENERATOR &gt; Other Costs</t>
        </is>
      </c>
      <c r="AD1029" s="7" t="inlineStr">
        <is>
          <t>199</t>
        </is>
      </c>
      <c r="AE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13" t="inlineStr">
        <is>
          <t>P-35 &gt; CVN Refueling Overhauls &gt; ENTERPRISE AIR SURVEILLANCE RADAR (EASR) &gt; Major Hardware                                                                                                    1</t>
        </is>
      </c>
      <c r="AD1030" s="7" t="inlineStr">
        <is>
          <t>200</t>
        </is>
      </c>
      <c r="AE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13" t="inlineStr">
        <is>
          <t>P-35 &gt; CVN Refueling Overhauls &gt; ENTERPRISE AIR SURVEILLANCE RADAR (EASR) &gt; Ancillary Equipment</t>
        </is>
      </c>
      <c r="AD1031" s="7" t="inlineStr">
        <is>
          <t>200</t>
        </is>
      </c>
      <c r="AE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13" t="inlineStr">
        <is>
          <t>P-35 &gt; CVN Refueling Overhauls &gt; ENTERPRISE AIR SURVEILLANCE RADAR (EASR) &gt; Spares</t>
        </is>
      </c>
      <c r="AD1032" s="7" t="inlineStr">
        <is>
          <t>200</t>
        </is>
      </c>
      <c r="AE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13" t="inlineStr">
        <is>
          <t>P-35 &gt; CVN Refueling Overhauls &gt; ENTERPRISE AIR SURVEILLANCE RADAR (EASR) &gt; System Engineering</t>
        </is>
      </c>
      <c r="AD1033" s="7" t="inlineStr">
        <is>
          <t>200</t>
        </is>
      </c>
      <c r="AE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13" t="inlineStr">
        <is>
          <t>P-35 &gt; CVN Refueling Overhauls &gt; ENTERPRISE AIR SURVEILLANCE RADAR (EASR) &gt; Technical Engineering Services</t>
        </is>
      </c>
      <c r="AD1034" s="7" t="inlineStr">
        <is>
          <t>200</t>
        </is>
      </c>
      <c r="AE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13" t="inlineStr">
        <is>
          <t>P-35 &gt; CVN Refueling Overhauls &gt; ENTERPRISE AIR SURVEILLANCE RADAR (EASR) &gt; Other Costs</t>
        </is>
      </c>
      <c r="AD1035" s="7" t="inlineStr">
        <is>
          <t>200</t>
        </is>
      </c>
      <c r="AE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13" t="inlineStr">
        <is>
          <t>P-35 &gt; CVN Refueling Overhauls &gt; AVIATION EQUIPMENT &amp; SUPPORT &gt; Major Hardware                                                                                                   1</t>
        </is>
      </c>
      <c r="AD1036" s="7" t="inlineStr">
        <is>
          <t>201</t>
        </is>
      </c>
      <c r="AE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13" t="inlineStr">
        <is>
          <t>P-35 &gt; CVN Refueling Overhauls &gt; AVIATION EQUIPMENT &amp; SUPPORT &gt; Ancillary Equipment</t>
        </is>
      </c>
      <c r="AD1037" s="7" t="inlineStr">
        <is>
          <t>201</t>
        </is>
      </c>
      <c r="AE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13" t="inlineStr">
        <is>
          <t>P-35 &gt; CVN Refueling Overhauls &gt; AVIATION EQUIPMENT &amp; SUPPORT &gt; Technical Data and Documentation</t>
        </is>
      </c>
      <c r="AD1038" s="7" t="inlineStr">
        <is>
          <t>201</t>
        </is>
      </c>
      <c r="AE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13" t="inlineStr">
        <is>
          <t>P-35 &gt; CVN Refueling Overhauls &gt; AVIATION EQUIPMENT &amp; SUPPORT &gt; Spares</t>
        </is>
      </c>
      <c r="AD1039" s="7" t="inlineStr">
        <is>
          <t>201</t>
        </is>
      </c>
      <c r="AE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13" t="inlineStr">
        <is>
          <t>P-35 &gt; CVN Refueling Overhauls &gt; AVIATION EQUIPMENT &amp; SUPPORT &gt; System Engineering</t>
        </is>
      </c>
      <c r="AD1040" s="7" t="inlineStr">
        <is>
          <t>201</t>
        </is>
      </c>
      <c r="AE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13" t="inlineStr">
        <is>
          <t>P-35 &gt; CVN Refueling Overhauls &gt; AVIATION EQUIPMENT &amp; SUPPORT &gt; Technical Engineering Services</t>
        </is>
      </c>
      <c r="AD1041" s="7" t="inlineStr">
        <is>
          <t>201</t>
        </is>
      </c>
      <c r="AE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13" t="inlineStr">
        <is>
          <t>P-35 &gt; CVN Refueling Overhauls &gt; AVIATION EQUIPMENT &amp; SUPPORT &gt; Other Costs</t>
        </is>
      </c>
      <c r="AD1042" s="7" t="inlineStr">
        <is>
          <t>201</t>
        </is>
      </c>
      <c r="AE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13" t="inlineStr">
        <is>
          <t>P-35 &gt; CVN Refueling Overhauls &gt; CIWS/RAM DEFENSE CAPABILITY (CRDC) BLOCK 1 &gt; Major Hardware                                                                                                1</t>
        </is>
      </c>
      <c r="AD1043" s="7" t="inlineStr">
        <is>
          <t>202</t>
        </is>
      </c>
      <c r="AE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13" t="inlineStr">
        <is>
          <t>P-35 &gt; CVN Refueling Overhauls &gt; CIWS/RAM DEFENSE CAPABILITY (CRDC) BLOCK 1 &gt; Ancillary Equipment                                                                                                                          -</t>
        </is>
      </c>
      <c r="AD1044" s="7" t="inlineStr">
        <is>
          <t>202</t>
        </is>
      </c>
      <c r="AE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13" t="inlineStr">
        <is>
          <t>P-35 &gt; CVN Refueling Overhauls &gt; CIWS/RAM DEFENSE CAPABILITY (CRDC) BLOCK 1 &gt; Technical Data and Documentation                                                                                                             -</t>
        </is>
      </c>
      <c r="AD1045" s="7" t="inlineStr">
        <is>
          <t>202</t>
        </is>
      </c>
      <c r="AE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13" t="inlineStr">
        <is>
          <t>P-35 &gt; CVN Refueling Overhauls &gt; CIWS/RAM DEFENSE CAPABILITY (CRDC) BLOCK 1 &gt; Spares                                                                                                                                       -</t>
        </is>
      </c>
      <c r="AD1046" s="7" t="inlineStr">
        <is>
          <t>202</t>
        </is>
      </c>
      <c r="AE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13" t="inlineStr">
        <is>
          <t>P-35 &gt; CVN Refueling Overhauls &gt; CIWS/RAM DEFENSE CAPABILITY (CRDC) BLOCK 1 &gt; System Engineering</t>
        </is>
      </c>
      <c r="AD1047" s="7" t="inlineStr">
        <is>
          <t>202</t>
        </is>
      </c>
      <c r="AE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13" t="inlineStr">
        <is>
          <t>P-35 &gt; CVN Refueling Overhauls &gt; CIWS/RAM DEFENSE CAPABILITY (CRDC) BLOCK 1 &gt; Technical Engineering Services</t>
        </is>
      </c>
      <c r="AD1048" s="7" t="inlineStr">
        <is>
          <t>202</t>
        </is>
      </c>
      <c r="AE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13" t="inlineStr">
        <is>
          <t>P-35 &gt; CVN Refueling Overhauls &gt; CIWS/RAM DEFENSE CAPABILITY (CRDC) BLOCK 1 &gt; Other Costs</t>
        </is>
      </c>
      <c r="AD1049" s="7" t="inlineStr">
        <is>
          <t>202</t>
        </is>
      </c>
      <c r="AE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13" t="inlineStr">
        <is>
          <t>P-35 &gt; CVN Refueling Overhauls &gt; NATO SEASPARROW SURFACE MISSILE SYSTEM (NSSMS) &gt; Major Hardware                                                                                                1</t>
        </is>
      </c>
      <c r="AD1050" s="7" t="inlineStr">
        <is>
          <t>203</t>
        </is>
      </c>
      <c r="AE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13" t="inlineStr">
        <is>
          <t>P-35 &gt; CVN Refueling Overhauls &gt; NATO SEASPARROW SURFACE MISSILE SYSTEM (NSSMS) &gt; Ancillary Equipment</t>
        </is>
      </c>
      <c r="AD1051" s="7" t="inlineStr">
        <is>
          <t>203</t>
        </is>
      </c>
      <c r="AE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13" t="inlineStr">
        <is>
          <t>P-35 &gt; CVN Refueling Overhauls &gt; NATO SEASPARROW SURFACE MISSILE SYSTEM (NSSMS) &gt; Spares</t>
        </is>
      </c>
      <c r="AD1052" s="7" t="inlineStr">
        <is>
          <t>203</t>
        </is>
      </c>
      <c r="AE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13" t="inlineStr">
        <is>
          <t>P-35 &gt; CVN Refueling Overhauls &gt; NATO SEASPARROW SURFACE MISSILE SYSTEM (NSSMS) &gt; System Engineering</t>
        </is>
      </c>
      <c r="AD1053" s="7" t="inlineStr">
        <is>
          <t>203</t>
        </is>
      </c>
      <c r="AE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13" t="inlineStr">
        <is>
          <t>P-35 &gt; CVN Refueling Overhauls &gt; NATO SEASPARROW SURFACE MISSILE SYSTEM (NSSMS) &gt; Technical Engineering Services</t>
        </is>
      </c>
      <c r="AD1054" s="7" t="inlineStr">
        <is>
          <t>203</t>
        </is>
      </c>
      <c r="AE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13" t="inlineStr">
        <is>
          <t>P-35 &gt; CVN Refueling Overhauls &gt; NATO SEASPARROW SURFACE MISSILE SYSTEM (NSSMS) &gt; Other Costs</t>
        </is>
      </c>
      <c r="AD1055" s="7" t="inlineStr">
        <is>
          <t>203</t>
        </is>
      </c>
      <c r="AE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13" t="inlineStr">
        <is>
          <t>P-35 &gt; CVN Refueling Overhauls &gt; SURFACE ELECTRONIC WARFARE IMPROVEMENT PROGRAM (SEWIP) BLOCK 2 &gt; Major Hardware                                                                                             1</t>
        </is>
      </c>
      <c r="AD1056" s="7" t="inlineStr">
        <is>
          <t>204</t>
        </is>
      </c>
      <c r="AE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13" t="inlineStr">
        <is>
          <t>P-35 &gt; CVN Refueling Overhauls &gt; SURFACE ELECTRONIC WARFARE IMPROVEMENT PROGRAM (SEWIP) BLOCK 2 &gt; Ancillary Equipment</t>
        </is>
      </c>
      <c r="AD1057" s="7" t="inlineStr">
        <is>
          <t>204</t>
        </is>
      </c>
      <c r="AE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13" t="inlineStr">
        <is>
          <t>P-35 &gt; CVN Refueling Overhauls &gt; SURFACE ELECTRONIC WARFARE IMPROVEMENT PROGRAM (SEWIP) BLOCK 2 &gt; Spares</t>
        </is>
      </c>
      <c r="AD1058" s="7" t="inlineStr">
        <is>
          <t>204</t>
        </is>
      </c>
      <c r="AE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13" t="inlineStr">
        <is>
          <t>P-35 &gt; CVN Refueling Overhauls &gt; SURFACE ELECTRONIC WARFARE IMPROVEMENT PROGRAM (SEWIP) BLOCK 2 &gt; System Engineering</t>
        </is>
      </c>
      <c r="AD1059" s="7" t="inlineStr">
        <is>
          <t>204</t>
        </is>
      </c>
      <c r="AE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13" t="inlineStr">
        <is>
          <t>P-35 &gt; CVN Refueling Overhauls &gt; SURFACE ELECTRONIC WARFARE IMPROVEMENT PROGRAM (SEWIP) BLOCK 2 &gt; Technical Engineering Services</t>
        </is>
      </c>
      <c r="AD1060" s="7" t="inlineStr">
        <is>
          <t>204</t>
        </is>
      </c>
      <c r="AE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13" t="inlineStr">
        <is>
          <t>P-35 &gt; CVN Refueling Overhauls &gt; SURFACE ELECTRONIC WARFARE IMPROVEMENT PROGRAM (SEWIP) BLOCK 2 &gt; Other Costs</t>
        </is>
      </c>
      <c r="AD1061" s="7" t="inlineStr">
        <is>
          <t>204</t>
        </is>
      </c>
      <c r="AE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13" t="inlineStr">
        <is>
          <t>P-35 &gt; CVN Refueling Overhauls &gt; MK 38 MOD 3 GUN SYSTEM &gt; Major Hardware                                                                                               1</t>
        </is>
      </c>
      <c r="AD1062" s="7" t="inlineStr">
        <is>
          <t>205</t>
        </is>
      </c>
      <c r="AE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13" t="inlineStr">
        <is>
          <t>P-35 &gt; CVN Refueling Overhauls &gt; MK 38 MOD 3 GUN SYSTEM &gt; Technical Data and Documentation</t>
        </is>
      </c>
      <c r="AD1063" s="7" t="inlineStr">
        <is>
          <t>205</t>
        </is>
      </c>
      <c r="AE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13" t="inlineStr">
        <is>
          <t>P-35 &gt; CVN Refueling Overhauls &gt; MK 38 MOD 3 GUN SYSTEM &gt; Spares</t>
        </is>
      </c>
      <c r="AD1064" s="7" t="inlineStr">
        <is>
          <t>205</t>
        </is>
      </c>
      <c r="AE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13" t="inlineStr">
        <is>
          <t>P-35 &gt; CVN Refueling Overhauls &gt; MK 38 MOD 3 GUN SYSTEM &gt; System Engineering                                                                                                                          -</t>
        </is>
      </c>
      <c r="AD1065" s="7" t="inlineStr">
        <is>
          <t>205</t>
        </is>
      </c>
      <c r="AE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13" t="inlineStr">
        <is>
          <t>P-35 &gt; CVN Refueling Overhauls &gt; MK 38 MOD 3 GUN SYSTEM &gt; Technical Engineering Services</t>
        </is>
      </c>
      <c r="AD1066" s="7" t="inlineStr">
        <is>
          <t>205</t>
        </is>
      </c>
      <c r="AE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13" t="inlineStr">
        <is>
          <t>P-35 &gt; CVN Refueling Overhauls &gt; MK 38 MOD 3 GUN SYSTEM &gt; Other Costs</t>
        </is>
      </c>
      <c r="AD1067" s="7" t="inlineStr">
        <is>
          <t>205</t>
        </is>
      </c>
      <c r="AE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13" t="inlineStr">
        <is>
          <t>P-35 &gt; CVN Refueling Overhauls &gt; SURFACE ELECTRONIC WARFARE IMPROVEMENT PROGRAM (SEWIP) BLOCK 3 &gt; Major Hardware                                                                                                  0                              -                                    1</t>
        </is>
      </c>
      <c r="AD1068" s="7" t="inlineStr">
        <is>
          <t>206</t>
        </is>
      </c>
      <c r="AE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13" t="inlineStr">
        <is>
          <t>P-35 &gt; CVN Refueling Overhauls &gt; SURFACE ELECTRONIC WARFARE IMPROVEMENT PROGRAM (SEWIP) BLOCK 3 &gt; Ancillary Equipment                                                                                                                            -</t>
        </is>
      </c>
      <c r="AD1069" s="7" t="inlineStr">
        <is>
          <t>206</t>
        </is>
      </c>
      <c r="AE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13" t="inlineStr">
        <is>
          <t>P-35 &gt; CVN Refueling Overhauls &gt; SURFACE ELECTRONIC WARFARE IMPROVEMENT PROGRAM (SEWIP) BLOCK 3 &gt; Spares                                                                                                                                         -</t>
        </is>
      </c>
      <c r="AD1070" s="7" t="inlineStr">
        <is>
          <t>206</t>
        </is>
      </c>
      <c r="AE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13" t="inlineStr">
        <is>
          <t>P-35 &gt; CVN Refueling Overhauls &gt; SURFACE ELECTRONIC WARFARE IMPROVEMENT PROGRAM (SEWIP) BLOCK 3 &gt; System Engineering                                                                                                                             -</t>
        </is>
      </c>
      <c r="AD1071" s="7" t="inlineStr">
        <is>
          <t>206</t>
        </is>
      </c>
      <c r="AE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13" t="inlineStr">
        <is>
          <t>P-35 &gt; CVN Refueling Overhauls &gt; SURFACE ELECTRONIC WARFARE IMPROVEMENT PROGRAM (SEWIP) BLOCK 3 &gt; Technical Engineering Services                                                                                                                 -</t>
        </is>
      </c>
      <c r="AD1072" s="7" t="inlineStr">
        <is>
          <t>206</t>
        </is>
      </c>
      <c r="AE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13" t="inlineStr">
        <is>
          <t>P-35 &gt; CVN Refueling Overhauls &gt; SURFACE ELECTRONIC WARFARE IMPROVEMENT PROGRAM (SEWIP) BLOCK 3 &gt; Other Costs                                                                                                                                    -</t>
        </is>
      </c>
      <c r="AD1073" s="7" t="inlineStr">
        <is>
          <t>206</t>
        </is>
      </c>
      <c r="AE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13" t="inlineStr">
        <is>
          <t>P-35 &gt; CVN Refueling Overhauls &gt; CLOSE IN WEAPON SYSTEM (CIWS) BLOCK 1B &gt; Major Hardware                                                                                                   0                               -                                 1</t>
        </is>
      </c>
      <c r="AD1074" s="7" t="inlineStr">
        <is>
          <t>207</t>
        </is>
      </c>
      <c r="AE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13" t="inlineStr">
        <is>
          <t>P-35 &gt; CVN Refueling Overhauls &gt; CLOSE IN WEAPON SYSTEM (CIWS) BLOCK 1B &gt; Technical Data and Documentation                                                                                                                 -</t>
        </is>
      </c>
      <c r="AD1075" s="7" t="inlineStr">
        <is>
          <t>207</t>
        </is>
      </c>
      <c r="AE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13" t="inlineStr">
        <is>
          <t>P-35 &gt; CVN Refueling Overhauls &gt; CLOSE IN WEAPON SYSTEM (CIWS) BLOCK 1B &gt; Spares                                                                                                                                           -</t>
        </is>
      </c>
      <c r="AD1076" s="7" t="inlineStr">
        <is>
          <t>207</t>
        </is>
      </c>
      <c r="AE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13" t="inlineStr">
        <is>
          <t>P-35 &gt; CVN Refueling Overhauls &gt; CLOSE IN WEAPON SYSTEM (CIWS) BLOCK 1B &gt; System Engineering</t>
        </is>
      </c>
      <c r="AD1077" s="7" t="inlineStr">
        <is>
          <t>207</t>
        </is>
      </c>
      <c r="AE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13" t="inlineStr">
        <is>
          <t>P-35 &gt; CVN Refueling Overhauls &gt; CLOSE IN WEAPON SYSTEM (CIWS) BLOCK 1B &gt; Technical Engineering Services</t>
        </is>
      </c>
      <c r="AD1078" s="7" t="inlineStr">
        <is>
          <t>207</t>
        </is>
      </c>
      <c r="AE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13" t="inlineStr">
        <is>
          <t>P-35 &gt; CVN Refueling Overhauls &gt; CLOSE IN WEAPON SYSTEM (CIWS) BLOCK 1B &gt; Other Costs</t>
        </is>
      </c>
      <c r="AD1079" s="7" t="inlineStr">
        <is>
          <t>207</t>
        </is>
      </c>
      <c r="AE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13" t="inlineStr">
        <is>
          <t>P-10 &gt; CVN Refueling Overhauls &gt; Plans                                                                                       -       Various</t>
        </is>
      </c>
      <c r="AD1080" s="7" t="inlineStr">
        <is>
          <t>209</t>
        </is>
      </c>
      <c r="AE1080" s="7" t="inlineStr">
        <is>
          <t>2086</t>
        </is>
      </c>
      <c r="AG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13" t="inlineStr">
        <is>
          <t>P-10 &gt; CVN Refueling Overhauls &gt; Basic (Ship)                                                                                -       Various</t>
        </is>
      </c>
      <c r="AD1081" s="7" t="inlineStr">
        <is>
          <t>209</t>
        </is>
      </c>
      <c r="AE1081" s="7" t="inlineStr">
        <is>
          <t>2086</t>
        </is>
      </c>
      <c r="AG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13" t="inlineStr">
        <is>
          <t>P-10 &gt; CVN Refueling Overhauls &gt; Basic (Parking Garages)                                                                     -       Various</t>
        </is>
      </c>
      <c r="AD1082" s="7" t="inlineStr">
        <is>
          <t>209</t>
        </is>
      </c>
      <c r="AE1082" s="7" t="inlineStr">
        <is>
          <t>2086</t>
        </is>
      </c>
      <c r="AG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13" t="inlineStr">
        <is>
          <t>P-10 &gt; CVN Refueling Overhauls &gt; Basic (Multi-Use Facility)                                                                  -       Various</t>
        </is>
      </c>
      <c r="AD1083" s="7" t="inlineStr">
        <is>
          <t>209</t>
        </is>
      </c>
      <c r="AE1083" s="7" t="inlineStr">
        <is>
          <t>2086</t>
        </is>
      </c>
      <c r="AG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13" t="inlineStr">
        <is>
          <t>P-10 &gt; CVN Refueling Overhauls &gt; Other                                                                                       -       Various</t>
        </is>
      </c>
      <c r="AD1084" s="7" t="inlineStr">
        <is>
          <t>209</t>
        </is>
      </c>
      <c r="AE1084" s="7" t="inlineStr">
        <is>
          <t>2086</t>
        </is>
      </c>
      <c r="AG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13" t="inlineStr">
        <is>
          <t>P-10 &gt; CVN Refueling Overhauls &gt; Propulsion Equipment                                                                        -       Various</t>
        </is>
      </c>
      <c r="AD1085" s="7" t="inlineStr">
        <is>
          <t>209</t>
        </is>
      </c>
      <c r="AE1085" s="7" t="inlineStr">
        <is>
          <t>2086</t>
        </is>
      </c>
      <c r="AG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13" t="inlineStr">
        <is>
          <t>P-10 &gt; CVN Refueling Overhauls &gt; HM&amp;E                                                                                        -       Various</t>
        </is>
      </c>
      <c r="AD1086" s="7" t="inlineStr">
        <is>
          <t>209</t>
        </is>
      </c>
      <c r="AE1086" s="7" t="inlineStr">
        <is>
          <t>2086</t>
        </is>
      </c>
      <c r="AG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13" t="inlineStr">
        <is>
          <t>P-10 &gt; CVN Refueling Overhauls &gt; Electronics                                                                                 -       Various</t>
        </is>
      </c>
      <c r="AD1087" s="7" t="inlineStr">
        <is>
          <t>209</t>
        </is>
      </c>
      <c r="AE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13" t="inlineStr">
        <is>
          <t>P-10 &gt; CVN Refueling Overhauls &gt; Ordnance                                                                                    -       Various</t>
        </is>
      </c>
      <c r="AD1088" s="7" t="inlineStr">
        <is>
          <t>209</t>
        </is>
      </c>
      <c r="AE1088" s="7" t="inlineStr">
        <is>
          <t>2086</t>
        </is>
      </c>
      <c r="AG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13" t="inlineStr">
        <is>
          <t>P-5c &gt; DDG 1000 &gt; Plan Costs</t>
        </is>
      </c>
      <c r="AD1089" s="7" t="inlineStr">
        <is>
          <t>214</t>
        </is>
      </c>
      <c r="AE1089" s="7" t="inlineStr">
        <is>
          <t>2119</t>
        </is>
      </c>
      <c r="AG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13" t="inlineStr">
        <is>
          <t>P-5c &gt; DDG 1000 &gt; Basic Construction</t>
        </is>
      </c>
      <c r="AD1090" s="7" t="inlineStr">
        <is>
          <t>214</t>
        </is>
      </c>
      <c r="AE1090" s="7" t="inlineStr">
        <is>
          <t>2119</t>
        </is>
      </c>
      <c r="AG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13" t="inlineStr">
        <is>
          <t>P-5c &gt; DDG 1000 &gt; Change Orders</t>
        </is>
      </c>
      <c r="AD1091" s="7" t="inlineStr">
        <is>
          <t>214</t>
        </is>
      </c>
      <c r="AE1091" s="7" t="inlineStr">
        <is>
          <t>2119</t>
        </is>
      </c>
      <c r="AG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13" t="inlineStr">
        <is>
          <t>P-5c &gt; DDG 1000 &gt; Electronics</t>
        </is>
      </c>
      <c r="AD1092" s="7" t="inlineStr">
        <is>
          <t>214</t>
        </is>
      </c>
      <c r="AE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13" t="inlineStr">
        <is>
          <t>P-5c &gt; DDG 1000 &gt; Hull, Mechanical, and Electrical</t>
        </is>
      </c>
      <c r="AD1093" s="7" t="inlineStr">
        <is>
          <t>214</t>
        </is>
      </c>
      <c r="AE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13" t="inlineStr">
        <is>
          <t>P-5c &gt; DDG 1000 &gt; Ordnance</t>
        </is>
      </c>
      <c r="AD1094" s="7" t="inlineStr">
        <is>
          <t>214</t>
        </is>
      </c>
      <c r="AE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13" t="inlineStr">
        <is>
          <t>P-5c &gt; DDG 1000 &gt; Other Cost</t>
        </is>
      </c>
      <c r="AD1095" s="7" t="inlineStr">
        <is>
          <t>214</t>
        </is>
      </c>
      <c r="AE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13" t="inlineStr">
        <is>
          <t>P-8a &gt; DDG 1000 &gt; Electronics &gt; EXTERIOR COMMUNICATIONS (EXCOMMS) 1</t>
        </is>
      </c>
      <c r="AD1096" s="7" t="inlineStr">
        <is>
          <t>217</t>
        </is>
      </c>
      <c r="AE1096" s="7" t="inlineStr">
        <is>
          <t>2119</t>
        </is>
      </c>
      <c r="AG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13" t="inlineStr">
        <is>
          <t>P-8a &gt; DDG 1000 &gt; Electronics &gt; INTEGRATED UNDERSEA WARFARE (IUSW) SYSTEM 1</t>
        </is>
      </c>
      <c r="AD1097" s="7" t="inlineStr">
        <is>
          <t>217</t>
        </is>
      </c>
      <c r="AE1097" s="7" t="inlineStr">
        <is>
          <t>2119</t>
        </is>
      </c>
      <c r="AG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13" t="inlineStr">
        <is>
          <t>P-8a &gt; DDG 1000 &gt; Electronics &gt; MULTI FUNCTION RADAR (MFR) 1</t>
        </is>
      </c>
      <c r="AD1098" s="7" t="inlineStr">
        <is>
          <t>217</t>
        </is>
      </c>
      <c r="AE1098" s="7" t="inlineStr">
        <is>
          <t>2119</t>
        </is>
      </c>
      <c r="AG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13" t="inlineStr">
        <is>
          <t>P-8a &gt; DDG 1000 &gt; Electronics &gt; COMMON ARRAY POWER SYSTEM (CAPS) 1</t>
        </is>
      </c>
      <c r="AD1099" s="7" t="inlineStr">
        <is>
          <t>217</t>
        </is>
      </c>
      <c r="AE1099" s="7" t="inlineStr">
        <is>
          <t>2119</t>
        </is>
      </c>
      <c r="AG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13" t="inlineStr">
        <is>
          <t>P-8a &gt; DDG 1000 &gt; Electronics &gt; TOTAL SHIP COMPUTING ENVIRONMENT (TSCE) 1</t>
        </is>
      </c>
      <c r="AD1100" s="7" t="inlineStr">
        <is>
          <t>217</t>
        </is>
      </c>
      <c r="AE1100" s="7" t="inlineStr">
        <is>
          <t>2119</t>
        </is>
      </c>
      <c r="AG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13" t="inlineStr">
        <is>
          <t>P-8a &gt; DDG 1000 &gt; Electronics &gt; ELECTRO-OPTICAL / INFRARED (EO/IR) 1</t>
        </is>
      </c>
      <c r="AD1101" s="7" t="inlineStr">
        <is>
          <t>217</t>
        </is>
      </c>
      <c r="AE1101" s="7" t="inlineStr">
        <is>
          <t>2119</t>
        </is>
      </c>
      <c r="AG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13" t="inlineStr">
        <is>
          <t>P-8a &gt; DDG 1000 &gt; Electronics &gt; IDENTIFICATION FRIEND OR FOE (IFF) 1</t>
        </is>
      </c>
      <c r="AD1102" s="7" t="inlineStr">
        <is>
          <t>217</t>
        </is>
      </c>
      <c r="AE1102" s="7" t="inlineStr">
        <is>
          <t>2119</t>
        </is>
      </c>
      <c r="AG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13" t="inlineStr">
        <is>
          <t>P-8a &gt; DDG 1000 &gt; Electronics &gt; COMMON ARRAY COOLING SYSTEM (CACS) 1</t>
        </is>
      </c>
      <c r="AD1103" s="7" t="inlineStr">
        <is>
          <t>217</t>
        </is>
      </c>
      <c r="AE1103" s="7" t="inlineStr">
        <is>
          <t>2119</t>
        </is>
      </c>
      <c r="AG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13" t="inlineStr">
        <is>
          <t>P-8a &gt; DDG 1000 &gt; Electronics &gt; SHIP CONTROL SYSTEM (SCS) 1</t>
        </is>
      </c>
      <c r="AD1104" s="7" t="inlineStr">
        <is>
          <t>217</t>
        </is>
      </c>
      <c r="AE1104" s="7" t="inlineStr">
        <is>
          <t>2119</t>
        </is>
      </c>
      <c r="AG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13" t="inlineStr">
        <is>
          <t>P-8a &gt; DDG 1000 &gt; Electronics &gt; COOPERATIVE ENGAGEMENT CAPABILITY (CEC) 1</t>
        </is>
      </c>
      <c r="AD1105" s="7" t="inlineStr">
        <is>
          <t>217</t>
        </is>
      </c>
      <c r="AE1105" s="7" t="inlineStr">
        <is>
          <t>2119</t>
        </is>
      </c>
      <c r="AG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13" t="inlineStr">
        <is>
          <t>P-8a &gt; DDG 1000 &gt; Electronics &gt; SURFACE ELECTRONIC WARFARE IMPROVEMENT PROGRAM (SEWIP) 1</t>
        </is>
      </c>
      <c r="AD1106" s="7" t="inlineStr">
        <is>
          <t>217</t>
        </is>
      </c>
      <c r="AE1106" s="7" t="inlineStr">
        <is>
          <t>2119</t>
        </is>
      </c>
      <c r="AG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13" t="inlineStr">
        <is>
          <t>P-8a &gt; DDG 1000 &gt; Electronics &gt; VERTICAL LAUNCHING SYSTEM (VLS) MK 57 4-CELL MODULES 20</t>
        </is>
      </c>
      <c r="AD1107" s="7" t="inlineStr">
        <is>
          <t>217</t>
        </is>
      </c>
      <c r="AE1107" s="7" t="inlineStr">
        <is>
          <t>2119</t>
        </is>
      </c>
      <c r="AG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13" t="inlineStr">
        <is>
          <t>P-8a &gt; DDG 1000 &gt; Electronics &gt; DDG 1002 TSCE MODERNIZATION 1</t>
        </is>
      </c>
      <c r="AD1108" s="7" t="inlineStr">
        <is>
          <t>217</t>
        </is>
      </c>
      <c r="AE1108" s="7" t="inlineStr">
        <is>
          <t>2119</t>
        </is>
      </c>
      <c r="AG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13" t="inlineStr">
        <is>
          <t>P-8a &gt; DDG 1000 &gt; Electronics &gt; DDG 1002 UNIVERSAL CANISTER ELECTRICAL UNITS (UCEU) 80</t>
        </is>
      </c>
      <c r="AD1109" s="7" t="inlineStr">
        <is>
          <t>217</t>
        </is>
      </c>
      <c r="AE1109" s="7" t="inlineStr">
        <is>
          <t>2119</t>
        </is>
      </c>
      <c r="AG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13" t="inlineStr">
        <is>
          <t>P-8a &gt; DDG 1000 &gt; Electronics &gt; MISSION SYSTEM ENGR INTEGR &amp; TEST (MSEIT)</t>
        </is>
      </c>
      <c r="AD1110" s="7" t="inlineStr">
        <is>
          <t>217</t>
        </is>
      </c>
      <c r="AE1110" s="7" t="inlineStr">
        <is>
          <t>2119</t>
        </is>
      </c>
      <c r="AG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13" t="inlineStr">
        <is>
          <t>P-8a &gt; DDG 1000 &gt; Electronics &gt; MISSION SYSTEM ACTIVATION</t>
        </is>
      </c>
      <c r="AD1111" s="7" t="inlineStr">
        <is>
          <t>217</t>
        </is>
      </c>
      <c r="AE1111" s="7" t="inlineStr">
        <is>
          <t>2119</t>
        </is>
      </c>
      <c r="AG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13" t="inlineStr">
        <is>
          <t>P-8a &gt; DDG 1000 &gt; Electronics &gt; SPARES</t>
        </is>
      </c>
      <c r="AD1112" s="7" t="inlineStr">
        <is>
          <t>217</t>
        </is>
      </c>
      <c r="AE1112" s="7" t="inlineStr">
        <is>
          <t>2119</t>
        </is>
      </c>
      <c r="AG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13" t="inlineStr">
        <is>
          <t>P-8a &gt; DDG 1000 &gt; Hull, Mechanical, and Electrical &gt; MAIN TURBINE GENERATOR (MTG) 2</t>
        </is>
      </c>
      <c r="AD1113" s="7" t="inlineStr">
        <is>
          <t>218</t>
        </is>
      </c>
      <c r="AE1113" s="7" t="inlineStr">
        <is>
          <t>2119</t>
        </is>
      </c>
      <c r="AG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13" t="inlineStr">
        <is>
          <t>P-8a &gt; DDG 1000 &gt; Hull, Mechanical, and Electrical &gt; RIGID HULL INFLATABLE BOAT (RHIB) 2</t>
        </is>
      </c>
      <c r="AD1114" s="7" t="inlineStr">
        <is>
          <t>218</t>
        </is>
      </c>
      <c r="AE1114" s="7" t="inlineStr">
        <is>
          <t>2119</t>
        </is>
      </c>
      <c r="AG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13" t="inlineStr">
        <is>
          <t>P-8a &gt; DDG 1000 &gt; Hull, Mechanical, and Electrical &gt; HM&amp;E (NGVLA, Moriah Wind Measurement System (WMS), Aviation Integration)</t>
        </is>
      </c>
      <c r="AD1115" s="7" t="inlineStr">
        <is>
          <t>218</t>
        </is>
      </c>
      <c r="AE1115" s="7" t="inlineStr">
        <is>
          <t>2119</t>
        </is>
      </c>
      <c r="AG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13" t="inlineStr">
        <is>
          <t>P-8a &gt; DDG 1000 &gt; Hull, Mechanical, and Electrical &gt; MISSION SYSTEM ACTIVATION</t>
        </is>
      </c>
      <c r="AD1116" s="7" t="inlineStr">
        <is>
          <t>218</t>
        </is>
      </c>
      <c r="AE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13" t="inlineStr">
        <is>
          <t>P-8a &gt; DDG 1000 &gt; Hull, Mechanical, and Electrical &gt; INTERIM SPARES</t>
        </is>
      </c>
      <c r="AD1117" s="7" t="inlineStr">
        <is>
          <t>218</t>
        </is>
      </c>
      <c r="AE1117" s="7" t="inlineStr">
        <is>
          <t>2119</t>
        </is>
      </c>
      <c r="AG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13" t="inlineStr">
        <is>
          <t>P-8a &gt; DDG 1000 &gt; Ordnance &gt; ADVANCED GUN SYSTEM (AGS) 2</t>
        </is>
      </c>
      <c r="AD1118" s="7" t="inlineStr">
        <is>
          <t>219</t>
        </is>
      </c>
      <c r="AE1118" s="7" t="inlineStr">
        <is>
          <t>2119</t>
        </is>
      </c>
      <c r="AG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13" t="inlineStr">
        <is>
          <t>P-8a &gt; DDG 1000 &gt; Ordnance &gt; CLOSE-IN GUN SYSTEM (CIGS) 2</t>
        </is>
      </c>
      <c r="AD1119" s="7" t="inlineStr">
        <is>
          <t>219</t>
        </is>
      </c>
      <c r="AE1119" s="7" t="inlineStr">
        <is>
          <t>2119</t>
        </is>
      </c>
      <c r="AG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13" t="inlineStr">
        <is>
          <t>P-8a &gt; DDG 1000 &gt; Ordnance &gt; DDG 1002 Missile Tubes (CPS) 4</t>
        </is>
      </c>
      <c r="AD1120" s="7" t="inlineStr">
        <is>
          <t>219</t>
        </is>
      </c>
      <c r="AE1120" s="7" t="inlineStr">
        <is>
          <t>2119</t>
        </is>
      </c>
      <c r="AG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13" t="inlineStr">
        <is>
          <t>P-8a &gt; DDG 1000 &gt; Ordnance &gt; DDG 1002 Rubber Boots, Hatches, Shock Isolation (CPS) 4</t>
        </is>
      </c>
      <c r="AD1121" s="7" t="inlineStr">
        <is>
          <t>219</t>
        </is>
      </c>
      <c r="AE1121" s="7" t="inlineStr">
        <is>
          <t>2119</t>
        </is>
      </c>
      <c r="AG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13" t="inlineStr">
        <is>
          <t>P-8a &gt; DDG 1000 &gt; Ordnance &gt; MISSION SYSTEM ACTIVATION</t>
        </is>
      </c>
      <c r="AD1122" s="7" t="inlineStr">
        <is>
          <t>219</t>
        </is>
      </c>
      <c r="AE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13" t="inlineStr">
        <is>
          <t>P-35 &gt; DDG 1000 &gt; EXTERIOR COMMUNICATIONS (EXCOMMS) &gt; Major Hardware                                                                                                                                            1</t>
        </is>
      </c>
      <c r="AD1123" s="7" t="inlineStr">
        <is>
          <t>220</t>
        </is>
      </c>
      <c r="AE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13" t="inlineStr">
        <is>
          <t>P-35 &gt; DDG 1000 &gt; EXTERIOR COMMUNICATIONS (EXCOMMS) &gt; Technical Support Services</t>
        </is>
      </c>
      <c r="AD1124" s="7" t="inlineStr">
        <is>
          <t>220</t>
        </is>
      </c>
      <c r="AE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13" t="inlineStr">
        <is>
          <t>P-35 &gt; DDG 1000 &gt; EXTERIOR COMMUNICATIONS (EXCOMMS) &gt; Other / NRE</t>
        </is>
      </c>
      <c r="AD1125" s="7" t="inlineStr">
        <is>
          <t>220</t>
        </is>
      </c>
      <c r="AE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13" t="inlineStr">
        <is>
          <t>P-35 &gt; DDG 1000 &gt; INTEGRATED UNDERSEA WARFARE (IUSW) SYSTEM &gt; Major Hardware                                                                                                                                               1</t>
        </is>
      </c>
      <c r="AD1126" s="7" t="inlineStr">
        <is>
          <t>221</t>
        </is>
      </c>
      <c r="AE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13" t="inlineStr">
        <is>
          <t>P-35 &gt; DDG 1000 &gt; INTEGRATED UNDERSEA WARFARE (IUSW) SYSTEM &gt; Technical Support Services</t>
        </is>
      </c>
      <c r="AD1127" s="7" t="inlineStr">
        <is>
          <t>221</t>
        </is>
      </c>
      <c r="AE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13" t="inlineStr">
        <is>
          <t>P-35 &gt; DDG 1000 &gt; INTEGRATED UNDERSEA WARFARE (IUSW) SYSTEM &gt; Other / NRE</t>
        </is>
      </c>
      <c r="AD1128" s="7" t="inlineStr">
        <is>
          <t>221</t>
        </is>
      </c>
      <c r="AE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13" t="inlineStr">
        <is>
          <t>P-35 &gt; DDG 1000 &gt; MULTI FUNCTION RADAR (MFR) &gt; Major Hardware                                                                                                                                                   1</t>
        </is>
      </c>
      <c r="AD1129" s="7" t="inlineStr">
        <is>
          <t>222</t>
        </is>
      </c>
      <c r="AE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13" t="inlineStr">
        <is>
          <t>P-35 &gt; DDG 1000 &gt; MULTI FUNCTION RADAR (MFR) &gt; Technical Support Services</t>
        </is>
      </c>
      <c r="AD1130" s="7" t="inlineStr">
        <is>
          <t>222</t>
        </is>
      </c>
      <c r="AE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13" t="inlineStr">
        <is>
          <t>P-35 &gt; DDG 1000 &gt; MULTI FUNCTION RADAR (MFR) &gt; Other / NRE</t>
        </is>
      </c>
      <c r="AD1131" s="7" t="inlineStr">
        <is>
          <t>222</t>
        </is>
      </c>
      <c r="AE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13" t="inlineStr">
        <is>
          <t>P-35 &gt; DDG 1000 &gt; COMMON ARRAY POWER SYSTEM (CAPS) &gt; Major Hardware                                                                                                                                               1</t>
        </is>
      </c>
      <c r="AD1132" s="7" t="inlineStr">
        <is>
          <t>223</t>
        </is>
      </c>
      <c r="AE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13" t="inlineStr">
        <is>
          <t>P-35 &gt; DDG 1000 &gt; COMMON ARRAY POWER SYSTEM (CAPS) &gt; Technical Support Services</t>
        </is>
      </c>
      <c r="AD1133" s="7" t="inlineStr">
        <is>
          <t>223</t>
        </is>
      </c>
      <c r="AE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13" t="inlineStr">
        <is>
          <t>P-35 &gt; DDG 1000 &gt; COMMON ARRAY POWER SYSTEM (CAPS) &gt; Other / NRE</t>
        </is>
      </c>
      <c r="AD1134" s="7" t="inlineStr">
        <is>
          <t>223</t>
        </is>
      </c>
      <c r="AE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13" t="inlineStr">
        <is>
          <t>P-35 &gt; DDG 1000 &gt; TOTAL SHIP COMPUTING ENVIRONMENT (TSCE) &gt; Major Hardware                                                                                                                                             1</t>
        </is>
      </c>
      <c r="AD1135" s="7" t="inlineStr">
        <is>
          <t>224</t>
        </is>
      </c>
      <c r="AE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13" t="inlineStr">
        <is>
          <t>P-35 &gt; DDG 1000 &gt; TOTAL SHIP COMPUTING ENVIRONMENT (TSCE) &gt; Technical Support Services</t>
        </is>
      </c>
      <c r="AD1136" s="7" t="inlineStr">
        <is>
          <t>224</t>
        </is>
      </c>
      <c r="AE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13" t="inlineStr">
        <is>
          <t>P-35 &gt; DDG 1000 &gt; TOTAL SHIP COMPUTING ENVIRONMENT (TSCE) &gt; Other / NRE</t>
        </is>
      </c>
      <c r="AD1137" s="7" t="inlineStr">
        <is>
          <t>224</t>
        </is>
      </c>
      <c r="AE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13" t="inlineStr">
        <is>
          <t>P-35 &gt; DDG 1000 &gt; TOTAL SHIP COMPUTING ENVIRONMENT (TSCE) &gt; Total                                                                                                                                                      1</t>
        </is>
      </c>
      <c r="AD1138" s="7" t="inlineStr">
        <is>
          <t>224</t>
        </is>
      </c>
      <c r="AE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13" t="inlineStr">
        <is>
          <t>P-35 &gt; DDG 1000 &gt; ELECTRO-OPTICAL / INFRARED (EO/IR) &gt; Major Hardware                                                                                                                                                  1</t>
        </is>
      </c>
      <c r="AD1139" s="7" t="inlineStr">
        <is>
          <t>225</t>
        </is>
      </c>
      <c r="AE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13" t="inlineStr">
        <is>
          <t>P-35 &gt; DDG 1000 &gt; ELECTRO-OPTICAL / INFRARED (EO/IR) &gt; Technical Support Services</t>
        </is>
      </c>
      <c r="AD1140" s="7" t="inlineStr">
        <is>
          <t>225</t>
        </is>
      </c>
      <c r="AE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13" t="inlineStr">
        <is>
          <t>P-35 &gt; DDG 1000 &gt; ELECTRO-OPTICAL / INFRARED (EO/IR) &gt; Other / NRE</t>
        </is>
      </c>
      <c r="AD1141" s="7" t="inlineStr">
        <is>
          <t>225</t>
        </is>
      </c>
      <c r="AE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13" t="inlineStr">
        <is>
          <t>P-35 &gt; DDG 1000 &gt; IDENTIFICATION FRIEND OR FOE (IFF) &gt; Major Hardware                                                                                                                                                       1</t>
        </is>
      </c>
      <c r="AD1142" s="7" t="inlineStr">
        <is>
          <t>226</t>
        </is>
      </c>
      <c r="AE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13" t="inlineStr">
        <is>
          <t>P-35 &gt; DDG 1000 &gt; IDENTIFICATION FRIEND OR FOE (IFF) &gt; Technical Support Services</t>
        </is>
      </c>
      <c r="AD1143" s="7" t="inlineStr">
        <is>
          <t>226</t>
        </is>
      </c>
      <c r="AE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13" t="inlineStr">
        <is>
          <t>P-35 &gt; DDG 1000 &gt; IDENTIFICATION FRIEND OR FOE (IFF) &gt; Other / NRE</t>
        </is>
      </c>
      <c r="AD1144" s="7" t="inlineStr">
        <is>
          <t>226</t>
        </is>
      </c>
      <c r="AE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13" t="inlineStr">
        <is>
          <t>P-35 &gt; DDG 1000 &gt; COMMON ARRAY COOLING SYSTEM (CACS) &gt; Technical Support Services</t>
        </is>
      </c>
      <c r="AD1145" s="7" t="inlineStr">
        <is>
          <t>227</t>
        </is>
      </c>
      <c r="AE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13" t="inlineStr">
        <is>
          <t>P-35 &gt; DDG 1000 &gt; COMMON ARRAY COOLING SYSTEM (CACS) &gt; Other / NRE</t>
        </is>
      </c>
      <c r="AD1146" s="7" t="inlineStr">
        <is>
          <t>227</t>
        </is>
      </c>
      <c r="AE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13" t="inlineStr">
        <is>
          <t>P-35 &gt; DDG 1000 &gt; SHIP CONTROL SYSTEM (SCS) &gt; Major Hardware                                                                                                                                                   1</t>
        </is>
      </c>
      <c r="AD1147" s="7" t="inlineStr">
        <is>
          <t>228</t>
        </is>
      </c>
      <c r="AE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13" t="inlineStr">
        <is>
          <t>P-35 &gt; DDG 1000 &gt; SHIP CONTROL SYSTEM (SCS) &gt; Technical Support Services</t>
        </is>
      </c>
      <c r="AD1148" s="7" t="inlineStr">
        <is>
          <t>228</t>
        </is>
      </c>
      <c r="AE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13" t="inlineStr">
        <is>
          <t>P-35 &gt; DDG 1000 &gt; SHIP CONTROL SYSTEM (SCS) &gt; Other / NRE</t>
        </is>
      </c>
      <c r="AD1149" s="7" t="inlineStr">
        <is>
          <t>228</t>
        </is>
      </c>
      <c r="AE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13" t="inlineStr">
        <is>
          <t>P-35 &gt; DDG 1000 &gt; COOPERATIVE ENGAGEMENT CAPABILITY (CEC) &gt; Major Hardware                                                                                                                                                        1</t>
        </is>
      </c>
      <c r="AD1150" s="7" t="inlineStr">
        <is>
          <t>229</t>
        </is>
      </c>
      <c r="AE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13" t="inlineStr">
        <is>
          <t>P-35 &gt; DDG 1000 &gt; COOPERATIVE ENGAGEMENT CAPABILITY (CEC) &gt; Technical Support Services</t>
        </is>
      </c>
      <c r="AD1151" s="7" t="inlineStr">
        <is>
          <t>229</t>
        </is>
      </c>
      <c r="AE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13" t="inlineStr">
        <is>
          <t>P-35 &gt; DDG 1000 &gt; SURFACE ELECTRONIC WARFARE IMPROVEMENT PROGRAM (SEWIP) &gt; Major Hardware                                                                                                                                                    1</t>
        </is>
      </c>
      <c r="AD1152" s="7" t="inlineStr">
        <is>
          <t>230</t>
        </is>
      </c>
      <c r="AE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13" t="inlineStr">
        <is>
          <t>P-35 &gt; DDG 1000 &gt; SURFACE ELECTRONIC WARFARE IMPROVEMENT PROGRAM (SEWIP) &gt; Technical Support Services</t>
        </is>
      </c>
      <c r="AD1153" s="7" t="inlineStr">
        <is>
          <t>230</t>
        </is>
      </c>
      <c r="AE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13" t="inlineStr">
        <is>
          <t>P-35 &gt; DDG 1000 &gt; SURFACE ELECTRONIC WARFARE IMPROVEMENT PROGRAM (SEWIP) &gt; Other / NRE</t>
        </is>
      </c>
      <c r="AD1154" s="7" t="inlineStr">
        <is>
          <t>230</t>
        </is>
      </c>
      <c r="AE1154" s="7" t="inlineStr">
        <is>
          <t>2119</t>
        </is>
      </c>
      <c r="AG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13" t="inlineStr">
        <is>
          <t>P-35 &gt; DDG 1000 &gt; VERTICAL LAUNCHING SYSTEM (VLS) MK 57 4-CELL MODULES &gt; Major Hardware                                                                                                                                                20</t>
        </is>
      </c>
      <c r="AD1155" s="7" t="inlineStr">
        <is>
          <t>231</t>
        </is>
      </c>
      <c r="AE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13" t="inlineStr">
        <is>
          <t>P-35 &gt; DDG 1000 &gt; VERTICAL LAUNCHING SYSTEM (VLS) MK 57 4-CELL MODULES &gt; Technical Support Services</t>
        </is>
      </c>
      <c r="AD1156" s="7" t="inlineStr">
        <is>
          <t>231</t>
        </is>
      </c>
      <c r="AE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13" t="inlineStr">
        <is>
          <t>P-35 &gt; DDG 1000 &gt; VERTICAL LAUNCHING SYSTEM (VLS) MK 57 4-CELL MODULES &gt; Other / NRE</t>
        </is>
      </c>
      <c r="AD1157" s="7" t="inlineStr">
        <is>
          <t>231</t>
        </is>
      </c>
      <c r="AE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13" t="inlineStr">
        <is>
          <t>P-35 &gt; DDG 1000 &gt; DDG 1002 TSCE MODERNIZATION &gt; Major Hardware                                                                                                                                                1</t>
        </is>
      </c>
      <c r="AD1158" s="7" t="inlineStr">
        <is>
          <t>232</t>
        </is>
      </c>
      <c r="AE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13" t="inlineStr">
        <is>
          <t>P-35 &gt; DDG 1000 &gt; DDG 1002 UNIVERSAL CANISTER ELECTRICAL UNITS (UCEU) &gt; Major Hardware                                                                                                                                               80</t>
        </is>
      </c>
      <c r="AD1159" s="7" t="inlineStr">
        <is>
          <t>233</t>
        </is>
      </c>
      <c r="AE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13" t="inlineStr">
        <is>
          <t>P-35 &gt; DDG 1000 &gt; MAIN TURBINE GENERATOR (MTG) &gt; Major Hardware                                                                                                                                                  2</t>
        </is>
      </c>
      <c r="AD1160" s="7" t="inlineStr">
        <is>
          <t>234</t>
        </is>
      </c>
      <c r="AE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13" t="inlineStr">
        <is>
          <t>P-35 &gt; DDG 1000 &gt; ADVANCED GUN SYSTEM (AGS) &gt; Major Hardware                                                                                                                                                      2</t>
        </is>
      </c>
      <c r="AD1161" s="7" t="inlineStr">
        <is>
          <t>235</t>
        </is>
      </c>
      <c r="AE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13" t="inlineStr">
        <is>
          <t>P-35 &gt; DDG 1000 &gt; ADVANCED GUN SYSTEM (AGS) &gt; Technical Support Services</t>
        </is>
      </c>
      <c r="AD1162" s="7" t="inlineStr">
        <is>
          <t>235</t>
        </is>
      </c>
      <c r="AE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13" t="inlineStr">
        <is>
          <t>P-35 &gt; DDG 1000 &gt; ADVANCED GUN SYSTEM (AGS) &gt; Other / NRE</t>
        </is>
      </c>
      <c r="AD1163" s="7" t="inlineStr">
        <is>
          <t>235</t>
        </is>
      </c>
      <c r="AE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13" t="inlineStr">
        <is>
          <t>P-35 &gt; DDG 1000 &gt; CLOSE-IN GUN SYSTEM (CIGS) &gt; Major Hardware                                                                                                                                                      2</t>
        </is>
      </c>
      <c r="AD1164" s="7" t="inlineStr">
        <is>
          <t>236</t>
        </is>
      </c>
      <c r="AE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13" t="inlineStr">
        <is>
          <t>P-35 &gt; DDG 1000 &gt; CLOSE-IN GUN SYSTEM (CIGS) &gt; Technical Support Services</t>
        </is>
      </c>
      <c r="AD1165" s="7" t="inlineStr">
        <is>
          <t>236</t>
        </is>
      </c>
      <c r="AE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13" t="inlineStr">
        <is>
          <t>P-35 &gt; DDG 1000 &gt; CLOSE-IN GUN SYSTEM (CIGS) &gt; Other / NRE</t>
        </is>
      </c>
      <c r="AD1166" s="7" t="inlineStr">
        <is>
          <t>236</t>
        </is>
      </c>
      <c r="AE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13" t="inlineStr">
        <is>
          <t>P-5c &gt; DDG-51 &gt; Plan Costs</t>
        </is>
      </c>
      <c r="AD1167" s="7" t="inlineStr">
        <is>
          <t>241</t>
        </is>
      </c>
      <c r="AE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13" t="inlineStr">
        <is>
          <t>P-5c &gt; DDG-51 &gt; Basic Construction</t>
        </is>
      </c>
      <c r="AD1168" s="7" t="inlineStr">
        <is>
          <t>241</t>
        </is>
      </c>
      <c r="AE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13" t="inlineStr">
        <is>
          <t>P-5c &gt; DDG-51 &gt; Change Orders</t>
        </is>
      </c>
      <c r="AD1169" s="7" t="inlineStr">
        <is>
          <t>241</t>
        </is>
      </c>
      <c r="AE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13" t="inlineStr">
        <is>
          <t>P-5c &gt; DDG-51 &gt; Electronics</t>
        </is>
      </c>
      <c r="AD1170" s="7" t="inlineStr">
        <is>
          <t>241</t>
        </is>
      </c>
      <c r="AE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13" t="inlineStr">
        <is>
          <t>P-5c &gt; DDG-51 &gt; Ordnance</t>
        </is>
      </c>
      <c r="AD1171" s="7" t="inlineStr">
        <is>
          <t>241</t>
        </is>
      </c>
      <c r="AE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13" t="inlineStr">
        <is>
          <t>P-5c &gt; DDG-51 &gt; Other Cost</t>
        </is>
      </c>
      <c r="AD1172" s="7" t="inlineStr">
        <is>
          <t>241</t>
        </is>
      </c>
      <c r="AE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13" t="inlineStr">
        <is>
          <t>P-5c &gt; DDG-51 &gt; 2015</t>
        </is>
      </c>
      <c r="AD1173" s="7" t="inlineStr">
        <is>
          <t>241</t>
        </is>
      </c>
      <c r="AE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13" t="inlineStr">
        <is>
          <t>P-5c &gt; DDG-51 &gt; 2022</t>
        </is>
      </c>
      <c r="AD1174" s="7" t="inlineStr">
        <is>
          <t>241</t>
        </is>
      </c>
      <c r="AE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13" t="inlineStr">
        <is>
          <t>P-5c &gt; DDG-51 &gt; 2023</t>
        </is>
      </c>
      <c r="AD1175" s="7" t="inlineStr">
        <is>
          <t>241</t>
        </is>
      </c>
      <c r="AE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13" t="inlineStr">
        <is>
          <t>P-5c &gt; DDG-51 &gt; 2024</t>
        </is>
      </c>
      <c r="AD1176" s="7" t="inlineStr">
        <is>
          <t>241</t>
        </is>
      </c>
      <c r="AE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13" t="inlineStr">
        <is>
          <t>P-5c &gt; DDG-51 &gt; 2025</t>
        </is>
      </c>
      <c r="AD1177" s="7" t="inlineStr">
        <is>
          <t>241</t>
        </is>
      </c>
      <c r="AE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13" t="inlineStr">
        <is>
          <t>P-5c &gt; DDG-51 &gt; 2027                                                      -</t>
        </is>
      </c>
      <c r="AD1178" s="7" t="inlineStr">
        <is>
          <t>241</t>
        </is>
      </c>
      <c r="AE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13" t="inlineStr">
        <is>
          <t>P-5c &gt; DDG-51 &gt; 2028                                                      -                          -                          -</t>
        </is>
      </c>
      <c r="AD1179" s="7" t="inlineStr">
        <is>
          <t>241</t>
        </is>
      </c>
      <c r="AE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13" t="inlineStr">
        <is>
          <t>P-5c &gt; DDG-51 &gt; 2029                                                      -                          -                          -</t>
        </is>
      </c>
      <c r="AD1180" s="7" t="inlineStr">
        <is>
          <t>241</t>
        </is>
      </c>
      <c r="AE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13" t="inlineStr">
        <is>
          <t>P-5c &gt; DDG-51 &gt; 2030                                                      -                          -                          -</t>
        </is>
      </c>
      <c r="AD1181" s="7" t="inlineStr">
        <is>
          <t>241</t>
        </is>
      </c>
      <c r="AE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13" t="inlineStr">
        <is>
          <t>P-5c &gt; DDG-51 &gt; Plan Costs</t>
        </is>
      </c>
      <c r="AD1182" s="7" t="inlineStr">
        <is>
          <t>243</t>
        </is>
      </c>
      <c r="AE1182" s="7" t="inlineStr">
        <is>
          <t>2122</t>
        </is>
      </c>
      <c r="AG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13" t="inlineStr">
        <is>
          <t>P-5c &gt; DDG-51 &gt; Basic Construction</t>
        </is>
      </c>
      <c r="AD1183" s="7" t="inlineStr">
        <is>
          <t>243</t>
        </is>
      </c>
      <c r="AE1183" s="7" t="inlineStr">
        <is>
          <t>2122</t>
        </is>
      </c>
      <c r="AG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13" t="inlineStr">
        <is>
          <t>P-5c &gt; DDG-51 &gt; Change Orders</t>
        </is>
      </c>
      <c r="AD1184" s="7" t="inlineStr">
        <is>
          <t>243</t>
        </is>
      </c>
      <c r="AE1184" s="7" t="inlineStr">
        <is>
          <t>2122</t>
        </is>
      </c>
      <c r="AG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13" t="inlineStr">
        <is>
          <t>P-5c &gt; DDG-51 &gt; Electronics</t>
        </is>
      </c>
      <c r="AD1185" s="7" t="inlineStr">
        <is>
          <t>243</t>
        </is>
      </c>
      <c r="AE1185" s="7" t="inlineStr">
        <is>
          <t>2122</t>
        </is>
      </c>
      <c r="AG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13" t="inlineStr">
        <is>
          <t>P-5c &gt; DDG-51 &gt; Hull, Mechanical, and Electrical</t>
        </is>
      </c>
      <c r="AD1186" s="7" t="inlineStr">
        <is>
          <t>243</t>
        </is>
      </c>
      <c r="AE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13" t="inlineStr">
        <is>
          <t>P-5c &gt; DDG-51 &gt; Ordnance</t>
        </is>
      </c>
      <c r="AD1187" s="7" t="inlineStr">
        <is>
          <t>243</t>
        </is>
      </c>
      <c r="AE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13" t="inlineStr">
        <is>
          <t>P-5c &gt; DDG-51 &gt; Other Cost</t>
        </is>
      </c>
      <c r="AD1188" s="7" t="inlineStr">
        <is>
          <t>243</t>
        </is>
      </c>
      <c r="AE1188" s="7" t="inlineStr">
        <is>
          <t>2122</t>
        </is>
      </c>
      <c r="AG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13" t="inlineStr">
        <is>
          <t>P-8a &gt; DDG-51 &gt; Electronics &gt; SQQ 89 ASW 2</t>
        </is>
      </c>
      <c r="AD1189" s="7" t="inlineStr">
        <is>
          <t>246</t>
        </is>
      </c>
      <c r="AE1189" s="7" t="inlineStr">
        <is>
          <t>2122</t>
        </is>
      </c>
      <c r="AG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13" t="inlineStr">
        <is>
          <t>P-8a &gt; DDG-51 &gt; Electronics &gt; AN/SLQ-32 SEWIP V(7) 2</t>
        </is>
      </c>
      <c r="AD1190" s="7" t="inlineStr">
        <is>
          <t>246</t>
        </is>
      </c>
      <c r="AE1190" s="7" t="inlineStr">
        <is>
          <t>2122</t>
        </is>
      </c>
      <c r="AG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13" t="inlineStr">
        <is>
          <t>P-8a &gt; DDG-51 &gt; Electronics &gt; USQ 82(V) GEDMS 2</t>
        </is>
      </c>
      <c r="AD1191" s="7" t="inlineStr">
        <is>
          <t>246</t>
        </is>
      </c>
      <c r="AE1191" s="7" t="inlineStr">
        <is>
          <t>2122</t>
        </is>
      </c>
      <c r="AG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13" t="inlineStr">
        <is>
          <t>P-8a &gt; DDG-51 &gt; Electronics &gt; EXCOMM 2</t>
        </is>
      </c>
      <c r="AD1192" s="7" t="inlineStr">
        <is>
          <t>246</t>
        </is>
      </c>
      <c r="AE1192" s="7" t="inlineStr">
        <is>
          <t>2122</t>
        </is>
      </c>
      <c r="AG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13" t="inlineStr">
        <is>
          <t>P-8a &gt; DDG-51 &gt; Electronics &gt; AN/UPX 29(V) IFF and TACAN 2</t>
        </is>
      </c>
      <c r="AD1193" s="7" t="inlineStr">
        <is>
          <t>246</t>
        </is>
      </c>
      <c r="AE1193" s="7" t="inlineStr">
        <is>
          <t>2122</t>
        </is>
      </c>
      <c r="AG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13" t="inlineStr">
        <is>
          <t>P-8a &gt; DDG-51 &gt; Electronics &gt; CEC 2</t>
        </is>
      </c>
      <c r="AD1194" s="7" t="inlineStr">
        <is>
          <t>246</t>
        </is>
      </c>
      <c r="AE1194" s="7" t="inlineStr">
        <is>
          <t>2122</t>
        </is>
      </c>
      <c r="AG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13" t="inlineStr">
        <is>
          <t>P-8a &gt; DDG-51 &gt; Electronics &gt; NGSSR 2</t>
        </is>
      </c>
      <c r="AD1195" s="7" t="inlineStr">
        <is>
          <t>246</t>
        </is>
      </c>
      <c r="AE1195" s="7" t="inlineStr">
        <is>
          <t>2122</t>
        </is>
      </c>
      <c r="AG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13" t="inlineStr">
        <is>
          <t>P-8a &gt; DDG-51 &gt; Electronics &gt; NAVIGATION SYSTEM 2</t>
        </is>
      </c>
      <c r="AD1196" s="7" t="inlineStr">
        <is>
          <t>246</t>
        </is>
      </c>
      <c r="AE1196" s="7" t="inlineStr">
        <is>
          <t>2122</t>
        </is>
      </c>
      <c r="AG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13" t="inlineStr">
        <is>
          <t>P-8a &gt; DDG-51 &gt; Electronics &gt; SLQ 25 NIXIE 2</t>
        </is>
      </c>
      <c r="AD1197" s="7" t="inlineStr">
        <is>
          <t>246</t>
        </is>
      </c>
      <c r="AE1197" s="7" t="inlineStr">
        <is>
          <t>2122</t>
        </is>
      </c>
      <c r="AG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13" t="inlineStr">
        <is>
          <t>P-8a &gt; DDG-51 &gt; Electronics &gt; SRQ 4 LAMPS III 2</t>
        </is>
      </c>
      <c r="AD1198" s="7" t="inlineStr">
        <is>
          <t>246</t>
        </is>
      </c>
      <c r="AE1198" s="7" t="inlineStr">
        <is>
          <t>2122</t>
        </is>
      </c>
      <c r="AG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13" t="inlineStr">
        <is>
          <t>P-8a &gt; DDG-51 &gt; Electronics &gt; SPECTRAL 2</t>
        </is>
      </c>
      <c r="AD1199" s="7" t="inlineStr">
        <is>
          <t>246</t>
        </is>
      </c>
      <c r="AE1199" s="7" t="inlineStr">
        <is>
          <t>2122</t>
        </is>
      </c>
      <c r="AG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13" t="inlineStr">
        <is>
          <t>P-8a &gt; DDG-51 &gt; Electronics &gt; MIDS 2</t>
        </is>
      </c>
      <c r="AD1200" s="7" t="inlineStr">
        <is>
          <t>246</t>
        </is>
      </c>
      <c r="AE1200" s="7" t="inlineStr">
        <is>
          <t>2122</t>
        </is>
      </c>
      <c r="AG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13" t="inlineStr">
        <is>
          <t>P-8a &gt; DDG-51 &gt; Electronics &gt; MK 53 NULKA 2</t>
        </is>
      </c>
      <c r="AD1201" s="7" t="inlineStr">
        <is>
          <t>246</t>
        </is>
      </c>
      <c r="AE1201" s="7" t="inlineStr">
        <is>
          <t>2122</t>
        </is>
      </c>
      <c r="AG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13" t="inlineStr">
        <is>
          <t>P-8a &gt; DDG-51 &gt; Electronics &gt; TSA ANTENNA 2</t>
        </is>
      </c>
      <c r="AD1202" s="7" t="inlineStr">
        <is>
          <t>246</t>
        </is>
      </c>
      <c r="AE1202" s="7" t="inlineStr">
        <is>
          <t>2122</t>
        </is>
      </c>
      <c r="AG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13" t="inlineStr">
        <is>
          <t>P-8a &gt; DDG-51 &gt; Electronics &gt; MISC. ELECTRONICS 2</t>
        </is>
      </c>
      <c r="AD1203" s="7" t="inlineStr">
        <is>
          <t>246</t>
        </is>
      </c>
      <c r="AE1203" s="7" t="inlineStr">
        <is>
          <t>2122</t>
        </is>
      </c>
      <c r="AG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13" t="inlineStr">
        <is>
          <t>P-8a &gt; DDG-51 &gt; Hull, Mechanical, and Electrical &gt; STC 3 IVCS 2</t>
        </is>
      </c>
      <c r="AD1204" s="7" t="inlineStr">
        <is>
          <t>247</t>
        </is>
      </c>
      <c r="AE1204" s="7" t="inlineStr">
        <is>
          <t>2122</t>
        </is>
      </c>
      <c r="AG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13" t="inlineStr">
        <is>
          <t>P-8a &gt; DDG-51 &gt; Hull, Mechanical, and Electrical &gt; Machinery Control System 2</t>
        </is>
      </c>
      <c r="AD1205" s="7" t="inlineStr">
        <is>
          <t>247</t>
        </is>
      </c>
      <c r="AE1205" s="7" t="inlineStr">
        <is>
          <t>2122</t>
        </is>
      </c>
      <c r="AG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13" t="inlineStr">
        <is>
          <t>P-8a &gt; DDG-51 &gt; Hull, Mechanical, and Electrical &gt; Integrated Bridge Navigation System 2</t>
        </is>
      </c>
      <c r="AD1206" s="7" t="inlineStr">
        <is>
          <t>247</t>
        </is>
      </c>
      <c r="AE1206" s="7" t="inlineStr">
        <is>
          <t>2122</t>
        </is>
      </c>
      <c r="AG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13" t="inlineStr">
        <is>
          <t>P-8a &gt; DDG-51 &gt; Hull, Mechanical, and Electrical &gt; CYBER BDC 2</t>
        </is>
      </c>
      <c r="AD1207" s="7" t="inlineStr">
        <is>
          <t>247</t>
        </is>
      </c>
      <c r="AE1207" s="7" t="inlineStr">
        <is>
          <t>2122</t>
        </is>
      </c>
      <c r="AG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13" t="inlineStr">
        <is>
          <t>P-8a &gt; DDG-51 &gt; Hull, Mechanical, and Electrical &gt; WSN 12 2</t>
        </is>
      </c>
      <c r="AD1208" s="7" t="inlineStr">
        <is>
          <t>247</t>
        </is>
      </c>
      <c r="AE1208" s="7" t="inlineStr">
        <is>
          <t>2122</t>
        </is>
      </c>
      <c r="AG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13" t="inlineStr">
        <is>
          <t>P-8a &gt; DDG-51 &gt; Hull, Mechanical, and Electrical &gt; MISC. HM&amp;E 2</t>
        </is>
      </c>
      <c r="AD1209" s="7" t="inlineStr">
        <is>
          <t>247</t>
        </is>
      </c>
      <c r="AE1209" s="7" t="inlineStr">
        <is>
          <t>2122</t>
        </is>
      </c>
      <c r="AG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13" t="inlineStr">
        <is>
          <t>P-8a &gt; DDG-51 &gt; Ordnance &gt; AEGIS WEAPON SYSTEM (MK-7) 2</t>
        </is>
      </c>
      <c r="AD1210" s="7" t="inlineStr">
        <is>
          <t>248</t>
        </is>
      </c>
      <c r="AE1210" s="7" t="inlineStr">
        <is>
          <t>2122</t>
        </is>
      </c>
      <c r="AG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13" t="inlineStr">
        <is>
          <t>P-8a &gt; DDG-51 &gt; Ordnance &gt; AN/SPY-6(V)1 (AMDR) 2</t>
        </is>
      </c>
      <c r="AD1211" s="7" t="inlineStr">
        <is>
          <t>248</t>
        </is>
      </c>
      <c r="AE1211" s="7" t="inlineStr">
        <is>
          <t>2122</t>
        </is>
      </c>
      <c r="AG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13" t="inlineStr">
        <is>
          <t>P-8a &gt; DDG-51 &gt; Ordnance &gt; VLS MK 41 2</t>
        </is>
      </c>
      <c r="AD1212" s="7" t="inlineStr">
        <is>
          <t>248</t>
        </is>
      </c>
      <c r="AE1212" s="7" t="inlineStr">
        <is>
          <t>2122</t>
        </is>
      </c>
      <c r="AG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13" t="inlineStr">
        <is>
          <t>P-8a &gt; DDG-51 &gt; Ordnance &gt; MK 45 Light Weight Gun (LWG) 2</t>
        </is>
      </c>
      <c r="AD1213" s="7" t="inlineStr">
        <is>
          <t>248</t>
        </is>
      </c>
      <c r="AE1213" s="7" t="inlineStr">
        <is>
          <t>2122</t>
        </is>
      </c>
      <c r="AG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13" t="inlineStr">
        <is>
          <t>P-8a &gt; DDG-51 &gt; Ordnance &gt; MK 37 TOMAHAWK 2</t>
        </is>
      </c>
      <c r="AD1214" s="7" t="inlineStr">
        <is>
          <t>248</t>
        </is>
      </c>
      <c r="AE1214" s="7" t="inlineStr">
        <is>
          <t>2122</t>
        </is>
      </c>
      <c r="AG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13" t="inlineStr">
        <is>
          <t>P-8a &gt; DDG-51 &gt; Ordnance &gt; PHALANX (CIWS) 2</t>
        </is>
      </c>
      <c r="AD1215" s="7" t="inlineStr">
        <is>
          <t>248</t>
        </is>
      </c>
      <c r="AE1215" s="7" t="inlineStr">
        <is>
          <t>2122</t>
        </is>
      </c>
      <c r="AG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13" t="inlineStr">
        <is>
          <t>P-8a &gt; DDG-51 &gt; Ordnance &gt; SPQ-9B Radar 2</t>
        </is>
      </c>
      <c r="AD1216" s="7" t="inlineStr">
        <is>
          <t>248</t>
        </is>
      </c>
      <c r="AE1216" s="7" t="inlineStr">
        <is>
          <t>2122</t>
        </is>
      </c>
      <c r="AG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13" t="inlineStr">
        <is>
          <t>P-8a &gt; DDG-51 &gt; Ordnance &gt; MK-38 Gun Weapon System (GWS) 2</t>
        </is>
      </c>
      <c r="AD1217" s="7" t="inlineStr">
        <is>
          <t>248</t>
        </is>
      </c>
      <c r="AE1217" s="7" t="inlineStr">
        <is>
          <t>2122</t>
        </is>
      </c>
      <c r="AG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13" t="inlineStr">
        <is>
          <t>P-8a &gt; DDG-51 &gt; Ordnance &gt; MK 32 Surface Vessel Torpedo Tubes (SVTT) 2</t>
        </is>
      </c>
      <c r="AD1218" s="7" t="inlineStr">
        <is>
          <t>248</t>
        </is>
      </c>
      <c r="AE1218" s="7" t="inlineStr">
        <is>
          <t>2122</t>
        </is>
      </c>
      <c r="AG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13" t="inlineStr">
        <is>
          <t>P-8a &gt; DDG-51 &gt; Ordnance &gt; ELECTRO-OPTICAL SYSTEM 2</t>
        </is>
      </c>
      <c r="AD1219" s="7" t="inlineStr">
        <is>
          <t>248</t>
        </is>
      </c>
      <c r="AE1219" s="7" t="inlineStr">
        <is>
          <t>2122</t>
        </is>
      </c>
      <c r="AG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13" t="inlineStr">
        <is>
          <t>P-8a &gt; DDG-51 &gt; Ordnance &gt; MK 160 Gun Fire Control System (GFCS) 2</t>
        </is>
      </c>
      <c r="AD1220" s="7" t="inlineStr">
        <is>
          <t>248</t>
        </is>
      </c>
      <c r="AE1220" s="7" t="inlineStr">
        <is>
          <t>2122</t>
        </is>
      </c>
      <c r="AG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13" t="inlineStr">
        <is>
          <t>P-8a &gt; DDG-51 &gt; Ordnance &gt; MISC. ORDNANCE 2</t>
        </is>
      </c>
      <c r="AD1221" s="7" t="inlineStr">
        <is>
          <t>248</t>
        </is>
      </c>
      <c r="AE1221" s="7" t="inlineStr">
        <is>
          <t>2122</t>
        </is>
      </c>
      <c r="AG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13" t="inlineStr">
        <is>
          <t>P-35 &gt; DDG-51 &gt; SQQ 89 ASW &gt; Major Hardware                                                                                                2</t>
        </is>
      </c>
      <c r="AD1222" s="7" t="inlineStr">
        <is>
          <t>249</t>
        </is>
      </c>
      <c r="AE1222" s="7" t="inlineStr">
        <is>
          <t>2122</t>
        </is>
      </c>
      <c r="AG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13" t="inlineStr">
        <is>
          <t>P-35 &gt; DDG-51 &gt; SQQ 89 ASW &gt; Spares</t>
        </is>
      </c>
      <c r="AD1223" s="7" t="inlineStr">
        <is>
          <t>249</t>
        </is>
      </c>
      <c r="AE1223" s="7" t="inlineStr">
        <is>
          <t>2122</t>
        </is>
      </c>
      <c r="AG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13" t="inlineStr">
        <is>
          <t>P-35 &gt; DDG-51 &gt; SQQ 89 ASW &gt; System Engineering</t>
        </is>
      </c>
      <c r="AD1224" s="7" t="inlineStr">
        <is>
          <t>249</t>
        </is>
      </c>
      <c r="AE1224" s="7" t="inlineStr">
        <is>
          <t>2122</t>
        </is>
      </c>
      <c r="AG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13" t="inlineStr">
        <is>
          <t>P-35 &gt; DDG-51 &gt; SQQ 89 ASW &gt; Technical Engineering Services</t>
        </is>
      </c>
      <c r="AD1225" s="7" t="inlineStr">
        <is>
          <t>249</t>
        </is>
      </c>
      <c r="AE1225" s="7" t="inlineStr">
        <is>
          <t>2122</t>
        </is>
      </c>
      <c r="AG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13" t="inlineStr">
        <is>
          <t>P-35 &gt; DDG-51 &gt; SQQ 89 ASW &gt; Other Costs</t>
        </is>
      </c>
      <c r="AD1226" s="7" t="inlineStr">
        <is>
          <t>249</t>
        </is>
      </c>
      <c r="AE1226" s="7" t="inlineStr">
        <is>
          <t>2122</t>
        </is>
      </c>
      <c r="AG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13" t="inlineStr">
        <is>
          <t>P-35 &gt; DDG-51 &gt; AN/SLQ-32 SEWIP V(7) &gt; Major Hardware                                                                                                 2</t>
        </is>
      </c>
      <c r="AD1227" s="7" t="inlineStr">
        <is>
          <t>250</t>
        </is>
      </c>
      <c r="AE1227" s="7" t="inlineStr">
        <is>
          <t>2122</t>
        </is>
      </c>
      <c r="AG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13" t="inlineStr">
        <is>
          <t>P-35 &gt; DDG-51 &gt; AN/SLQ-32 SEWIP V(7) &gt; Spares</t>
        </is>
      </c>
      <c r="AD1228" s="7" t="inlineStr">
        <is>
          <t>250</t>
        </is>
      </c>
      <c r="AE1228" s="7" t="inlineStr">
        <is>
          <t>2122</t>
        </is>
      </c>
      <c r="AG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13" t="inlineStr">
        <is>
          <t>P-35 &gt; DDG-51 &gt; AN/SLQ-32 SEWIP V(7) &gt; System Engineering</t>
        </is>
      </c>
      <c r="AD1229" s="7" t="inlineStr">
        <is>
          <t>250</t>
        </is>
      </c>
      <c r="AE1229" s="7" t="inlineStr">
        <is>
          <t>2122</t>
        </is>
      </c>
      <c r="AG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13" t="inlineStr">
        <is>
          <t>P-35 &gt; DDG-51 &gt; AN/SLQ-32 SEWIP V(7) &gt; Technical Engineering Services</t>
        </is>
      </c>
      <c r="AD1230" s="7" t="inlineStr">
        <is>
          <t>250</t>
        </is>
      </c>
      <c r="AE1230" s="7" t="inlineStr">
        <is>
          <t>2122</t>
        </is>
      </c>
      <c r="AG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13" t="inlineStr">
        <is>
          <t>P-35 &gt; DDG-51 &gt; AN/SLQ-32 SEWIP V(7) &gt; Other Costs</t>
        </is>
      </c>
      <c r="AD1231" s="7" t="inlineStr">
        <is>
          <t>250</t>
        </is>
      </c>
      <c r="AE1231" s="7" t="inlineStr">
        <is>
          <t>2122</t>
        </is>
      </c>
      <c r="AG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13" t="inlineStr">
        <is>
          <t>P-35 &gt; DDG-51 &gt; USQ 82(V) GEDMS &gt; Major Hardware                                                                                                2</t>
        </is>
      </c>
      <c r="AD1232" s="7" t="inlineStr">
        <is>
          <t>251</t>
        </is>
      </c>
      <c r="AE1232" s="7" t="inlineStr">
        <is>
          <t>2122</t>
        </is>
      </c>
      <c r="AG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13" t="inlineStr">
        <is>
          <t>P-35 &gt; DDG-51 &gt; USQ 82(V) GEDMS &gt; Technical Data and Documentation</t>
        </is>
      </c>
      <c r="AD1233" s="7" t="inlineStr">
        <is>
          <t>251</t>
        </is>
      </c>
      <c r="AE1233" s="7" t="inlineStr">
        <is>
          <t>2122</t>
        </is>
      </c>
      <c r="AG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13" t="inlineStr">
        <is>
          <t>P-35 &gt; DDG-51 &gt; USQ 82(V) GEDMS &gt; System Engineering</t>
        </is>
      </c>
      <c r="AD1234" s="7" t="inlineStr">
        <is>
          <t>251</t>
        </is>
      </c>
      <c r="AE1234" s="7" t="inlineStr">
        <is>
          <t>2122</t>
        </is>
      </c>
      <c r="AG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13" t="inlineStr">
        <is>
          <t>P-35 &gt; DDG-51 &gt; USQ 82(V) GEDMS &gt; Technical Engineering Services</t>
        </is>
      </c>
      <c r="AD1235" s="7" t="inlineStr">
        <is>
          <t>251</t>
        </is>
      </c>
      <c r="AE1235" s="7" t="inlineStr">
        <is>
          <t>2122</t>
        </is>
      </c>
      <c r="AG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13" t="inlineStr">
        <is>
          <t>P-35 &gt; DDG-51 &gt; USQ 82(V) GEDMS &gt; Other Costs</t>
        </is>
      </c>
      <c r="AD1236" s="7" t="inlineStr">
        <is>
          <t>251</t>
        </is>
      </c>
      <c r="AE1236" s="7" t="inlineStr">
        <is>
          <t>2122</t>
        </is>
      </c>
      <c r="AG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13" t="inlineStr">
        <is>
          <t>P-35 &gt; DDG-51 &gt; EXCOMM &gt; Major Hardware                                                                                                 2</t>
        </is>
      </c>
      <c r="AD1237" s="7" t="inlineStr">
        <is>
          <t>252</t>
        </is>
      </c>
      <c r="AE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13" t="inlineStr">
        <is>
          <t>P-35 &gt; DDG-51 &gt; EXCOMM &gt; Technical Data and Documentation</t>
        </is>
      </c>
      <c r="AD1238" s="7" t="inlineStr">
        <is>
          <t>252</t>
        </is>
      </c>
      <c r="AE1238" s="7" t="inlineStr">
        <is>
          <t>2122</t>
        </is>
      </c>
      <c r="AG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13" t="inlineStr">
        <is>
          <t>P-35 &gt; DDG-51 &gt; EXCOMM &gt; Spares</t>
        </is>
      </c>
      <c r="AD1239" s="7" t="inlineStr">
        <is>
          <t>252</t>
        </is>
      </c>
      <c r="AE1239" s="7" t="inlineStr">
        <is>
          <t>2122</t>
        </is>
      </c>
      <c r="AG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13" t="inlineStr">
        <is>
          <t>P-35 &gt; DDG-51 &gt; EXCOMM &gt; System Engineering</t>
        </is>
      </c>
      <c r="AD1240" s="7" t="inlineStr">
        <is>
          <t>252</t>
        </is>
      </c>
      <c r="AE1240" s="7" t="inlineStr">
        <is>
          <t>2122</t>
        </is>
      </c>
      <c r="AG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13" t="inlineStr">
        <is>
          <t>P-35 &gt; DDG-51 &gt; EXCOMM &gt; Technical Engineering Services</t>
        </is>
      </c>
      <c r="AD1241" s="7" t="inlineStr">
        <is>
          <t>252</t>
        </is>
      </c>
      <c r="AE1241" s="7" t="inlineStr">
        <is>
          <t>2122</t>
        </is>
      </c>
      <c r="AG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13" t="inlineStr">
        <is>
          <t>P-35 &gt; DDG-51 &gt; EXCOMM &gt; Other Costs</t>
        </is>
      </c>
      <c r="AD1242" s="7" t="inlineStr">
        <is>
          <t>252</t>
        </is>
      </c>
      <c r="AE1242" s="7" t="inlineStr">
        <is>
          <t>2122</t>
        </is>
      </c>
      <c r="AG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13" t="inlineStr">
        <is>
          <t>P-35 &gt; DDG-51 &gt; EXCOMM &gt; Assembly &amp; Integration</t>
        </is>
      </c>
      <c r="AD1243" s="7" t="inlineStr">
        <is>
          <t>252</t>
        </is>
      </c>
      <c r="AE1243" s="7" t="inlineStr">
        <is>
          <t>2122</t>
        </is>
      </c>
      <c r="AG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13" t="inlineStr">
        <is>
          <t>P-35 &gt; DDG-51 &gt; AN/UPX 29(V) IFF and TACAN &gt; Major Hardware                                                                                                   2</t>
        </is>
      </c>
      <c r="AD1244" s="7" t="inlineStr">
        <is>
          <t>253</t>
        </is>
      </c>
      <c r="AE1244" s="7" t="inlineStr">
        <is>
          <t>2122</t>
        </is>
      </c>
      <c r="AG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13" t="inlineStr">
        <is>
          <t>P-35 &gt; DDG-51 &gt; AN/UPX 29(V) IFF and TACAN &gt; Spares</t>
        </is>
      </c>
      <c r="AD1245" s="7" t="inlineStr">
        <is>
          <t>253</t>
        </is>
      </c>
      <c r="AE1245" s="7" t="inlineStr">
        <is>
          <t>2122</t>
        </is>
      </c>
      <c r="AG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13" t="inlineStr">
        <is>
          <t>P-35 &gt; DDG-51 &gt; AN/UPX 29(V) IFF and TACAN &gt; System Engineering</t>
        </is>
      </c>
      <c r="AD1246" s="7" t="inlineStr">
        <is>
          <t>253</t>
        </is>
      </c>
      <c r="AE1246" s="7" t="inlineStr">
        <is>
          <t>2122</t>
        </is>
      </c>
      <c r="AG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13" t="inlineStr">
        <is>
          <t>P-35 &gt; DDG-51 &gt; AN/UPX 29(V) IFF and TACAN &gt; Technical Engineering Services</t>
        </is>
      </c>
      <c r="AD1247" s="7" t="inlineStr">
        <is>
          <t>253</t>
        </is>
      </c>
      <c r="AE1247" s="7" t="inlineStr">
        <is>
          <t>2122</t>
        </is>
      </c>
      <c r="AG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13" t="inlineStr">
        <is>
          <t>P-35 &gt; DDG-51 &gt; AN/UPX 29(V) IFF and TACAN &gt; Other Costs</t>
        </is>
      </c>
      <c r="AD1248" s="7" t="inlineStr">
        <is>
          <t>253</t>
        </is>
      </c>
      <c r="AE1248" s="7" t="inlineStr">
        <is>
          <t>2122</t>
        </is>
      </c>
      <c r="AG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13" t="inlineStr">
        <is>
          <t>P-35 &gt; DDG-51 &gt; CEC &gt; Major Hardware                                                                                                 2</t>
        </is>
      </c>
      <c r="AD1249" s="7" t="inlineStr">
        <is>
          <t>254</t>
        </is>
      </c>
      <c r="AE1249" s="7" t="inlineStr">
        <is>
          <t>2122</t>
        </is>
      </c>
      <c r="AG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13" t="inlineStr">
        <is>
          <t>P-35 &gt; DDG-51 &gt; CEC &gt; System Engineering</t>
        </is>
      </c>
      <c r="AD1250" s="7" t="inlineStr">
        <is>
          <t>254</t>
        </is>
      </c>
      <c r="AE1250" s="7" t="inlineStr">
        <is>
          <t>2122</t>
        </is>
      </c>
      <c r="AG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13" t="inlineStr">
        <is>
          <t>P-35 &gt; DDG-51 &gt; CEC &gt; Technical Engineering Services</t>
        </is>
      </c>
      <c r="AD1251" s="7" t="inlineStr">
        <is>
          <t>254</t>
        </is>
      </c>
      <c r="AE1251" s="7" t="inlineStr">
        <is>
          <t>2122</t>
        </is>
      </c>
      <c r="AG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13" t="inlineStr">
        <is>
          <t>P-35 &gt; DDG-51 &gt; CEC &gt; Other Costs</t>
        </is>
      </c>
      <c r="AD1252" s="7" t="inlineStr">
        <is>
          <t>254</t>
        </is>
      </c>
      <c r="AE1252" s="7" t="inlineStr">
        <is>
          <t>2122</t>
        </is>
      </c>
      <c r="AG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13" t="inlineStr">
        <is>
          <t>P-35 &gt; DDG-51 &gt; STC 3 IVCS &gt; Major Hardware                                                                                                2</t>
        </is>
      </c>
      <c r="AD1253" s="7" t="inlineStr">
        <is>
          <t>255</t>
        </is>
      </c>
      <c r="AE1253" s="7" t="inlineStr">
        <is>
          <t>2122</t>
        </is>
      </c>
      <c r="AG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13" t="inlineStr">
        <is>
          <t>P-35 &gt; DDG-51 &gt; STC 3 IVCS &gt; Spares</t>
        </is>
      </c>
      <c r="AD1254" s="7" t="inlineStr">
        <is>
          <t>255</t>
        </is>
      </c>
      <c r="AE1254" s="7" t="inlineStr">
        <is>
          <t>2122</t>
        </is>
      </c>
      <c r="AG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13" t="inlineStr">
        <is>
          <t>P-35 &gt; DDG-51 &gt; STC 3 IVCS &gt; System Engineering</t>
        </is>
      </c>
      <c r="AD1255" s="7" t="inlineStr">
        <is>
          <t>255</t>
        </is>
      </c>
      <c r="AE1255" s="7" t="inlineStr">
        <is>
          <t>2122</t>
        </is>
      </c>
      <c r="AG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13" t="inlineStr">
        <is>
          <t>P-35 &gt; DDG-51 &gt; STC 3 IVCS &gt; Technical Engineering Services</t>
        </is>
      </c>
      <c r="AD1256" s="7" t="inlineStr">
        <is>
          <t>255</t>
        </is>
      </c>
      <c r="AE1256" s="7" t="inlineStr">
        <is>
          <t>2122</t>
        </is>
      </c>
      <c r="AG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13" t="inlineStr">
        <is>
          <t>P-35 &gt; DDG-51 &gt; STC 3 IVCS &gt; Other Costs</t>
        </is>
      </c>
      <c r="AD1257" s="7" t="inlineStr">
        <is>
          <t>255</t>
        </is>
      </c>
      <c r="AE1257" s="7" t="inlineStr">
        <is>
          <t>2122</t>
        </is>
      </c>
      <c r="AG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13" t="inlineStr">
        <is>
          <t>P-35 &gt; DDG-51 &gt; AEGIS WEAPON SYSTEM (MK-7) &gt; Major Hardware                                                                                                 2</t>
        </is>
      </c>
      <c r="AD1258" s="7" t="inlineStr">
        <is>
          <t>256</t>
        </is>
      </c>
      <c r="AE1258" s="7" t="inlineStr">
        <is>
          <t>2122</t>
        </is>
      </c>
      <c r="AG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13" t="inlineStr">
        <is>
          <t>P-35 &gt; DDG-51 &gt; AEGIS WEAPON SYSTEM (MK-7) &gt; System Engineering</t>
        </is>
      </c>
      <c r="AD1259" s="7" t="inlineStr">
        <is>
          <t>256</t>
        </is>
      </c>
      <c r="AE1259" s="7" t="inlineStr">
        <is>
          <t>2122</t>
        </is>
      </c>
      <c r="AG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13" t="inlineStr">
        <is>
          <t>P-35 &gt; DDG-51 &gt; AEGIS WEAPON SYSTEM (MK-7) &gt; Technical Engineering Services</t>
        </is>
      </c>
      <c r="AD1260" s="7" t="inlineStr">
        <is>
          <t>256</t>
        </is>
      </c>
      <c r="AE1260" s="7" t="inlineStr">
        <is>
          <t>2122</t>
        </is>
      </c>
      <c r="AG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13" t="inlineStr">
        <is>
          <t>P-35 &gt; DDG-51 &gt; AEGIS WEAPON SYSTEM (MK-7) &gt; Other Costs</t>
        </is>
      </c>
      <c r="AD1261" s="7" t="inlineStr">
        <is>
          <t>256</t>
        </is>
      </c>
      <c r="AE1261" s="7" t="inlineStr">
        <is>
          <t>2122</t>
        </is>
      </c>
      <c r="AG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13" t="inlineStr">
        <is>
          <t>P-35 &gt; DDG-51 &gt; AEGIS WEAPON SYSTEM (MK-7) &gt; Logistics Support</t>
        </is>
      </c>
      <c r="AD1262" s="7" t="inlineStr">
        <is>
          <t>256</t>
        </is>
      </c>
      <c r="AE1262" s="7" t="inlineStr">
        <is>
          <t>2122</t>
        </is>
      </c>
      <c r="AG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13" t="inlineStr">
        <is>
          <t>P-35 &gt; DDG-51 &gt; AEGIS WEAPON SYSTEM (MK-7) &gt; Combat System Integration</t>
        </is>
      </c>
      <c r="AD1263" s="7" t="inlineStr">
        <is>
          <t>256</t>
        </is>
      </c>
      <c r="AE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13" t="inlineStr">
        <is>
          <t>P-35 &gt; DDG-51 &gt; AN/SPY-6(V)1 (AMDR) &gt; Major Hardware                                                                                                    2</t>
        </is>
      </c>
      <c r="AD1264" s="7" t="inlineStr">
        <is>
          <t>258</t>
        </is>
      </c>
      <c r="AE1264" s="7" t="inlineStr">
        <is>
          <t>2122</t>
        </is>
      </c>
      <c r="AG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13" t="inlineStr">
        <is>
          <t>P-35 &gt; DDG-51 &gt; AN/SPY-6(V)1 (AMDR) &gt; System Engineering</t>
        </is>
      </c>
      <c r="AD1265" s="7" t="inlineStr">
        <is>
          <t>258</t>
        </is>
      </c>
      <c r="AE1265" s="7" t="inlineStr">
        <is>
          <t>2122</t>
        </is>
      </c>
      <c r="AG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13" t="inlineStr">
        <is>
          <t>P-35 &gt; DDG-51 &gt; AN/SPY-6(V)1 (AMDR) &gt; Technical Engineering Services</t>
        </is>
      </c>
      <c r="AD1266" s="7" t="inlineStr">
        <is>
          <t>258</t>
        </is>
      </c>
      <c r="AE1266" s="7" t="inlineStr">
        <is>
          <t>2122</t>
        </is>
      </c>
      <c r="AG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13" t="inlineStr">
        <is>
          <t>P-35 &gt; DDG-51 &gt; AN/SPY-6(V)1 (AMDR) &gt; Other Costs</t>
        </is>
      </c>
      <c r="AD1267" s="7" t="inlineStr">
        <is>
          <t>258</t>
        </is>
      </c>
      <c r="AE1267" s="7" t="inlineStr">
        <is>
          <t>2122</t>
        </is>
      </c>
      <c r="AG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13" t="inlineStr">
        <is>
          <t>P-35 &gt; DDG-51 &gt; AN/SPY-6(V)1 (AMDR) &gt; Logistics</t>
        </is>
      </c>
      <c r="AD1268" s="7" t="inlineStr">
        <is>
          <t>258</t>
        </is>
      </c>
      <c r="AE1268" s="7" t="inlineStr">
        <is>
          <t>2122</t>
        </is>
      </c>
      <c r="AG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13" t="inlineStr">
        <is>
          <t>P-35 &gt; DDG-51 &gt; VLS MK 41 &gt; Major Hardware                                                                                                2</t>
        </is>
      </c>
      <c r="AD1269" s="7" t="inlineStr">
        <is>
          <t>259</t>
        </is>
      </c>
      <c r="AE1269" s="7" t="inlineStr">
        <is>
          <t>2122</t>
        </is>
      </c>
      <c r="AG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13" t="inlineStr">
        <is>
          <t>P-35 &gt; DDG-51 &gt; VLS MK 41 &gt; Ancillary Equipment</t>
        </is>
      </c>
      <c r="AD1270" s="7" t="inlineStr">
        <is>
          <t>259</t>
        </is>
      </c>
      <c r="AE1270" s="7" t="inlineStr">
        <is>
          <t>2122</t>
        </is>
      </c>
      <c r="AG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13" t="inlineStr">
        <is>
          <t>P-35 &gt; DDG-51 &gt; VLS MK 41 &gt; Technical Data and Documentation</t>
        </is>
      </c>
      <c r="AD1271" s="7" t="inlineStr">
        <is>
          <t>259</t>
        </is>
      </c>
      <c r="AE1271" s="7" t="inlineStr">
        <is>
          <t>2122</t>
        </is>
      </c>
      <c r="AG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13" t="inlineStr">
        <is>
          <t>P-35 &gt; DDG-51 &gt; VLS MK 41 &gt; System Engineering</t>
        </is>
      </c>
      <c r="AD1272" s="7" t="inlineStr">
        <is>
          <t>259</t>
        </is>
      </c>
      <c r="AE1272" s="7" t="inlineStr">
        <is>
          <t>2122</t>
        </is>
      </c>
      <c r="AG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13" t="inlineStr">
        <is>
          <t>P-35 &gt; DDG-51 &gt; VLS MK 41 &gt; Technical Engineering Services</t>
        </is>
      </c>
      <c r="AD1273" s="7" t="inlineStr">
        <is>
          <t>259</t>
        </is>
      </c>
      <c r="AE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13" t="inlineStr">
        <is>
          <t>P-35 &gt; DDG-51 &gt; VLS MK 41 &gt; Other Costs</t>
        </is>
      </c>
      <c r="AD1274" s="7" t="inlineStr">
        <is>
          <t>259</t>
        </is>
      </c>
      <c r="AE1274" s="7" t="inlineStr">
        <is>
          <t>2122</t>
        </is>
      </c>
      <c r="AG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13" t="inlineStr">
        <is>
          <t>P-35 &gt; DDG-51 &gt; MK 45 Light Weight Gun (LWG) &gt; Major Hardware                                                                                                      2</t>
        </is>
      </c>
      <c r="AD1275" s="7" t="inlineStr">
        <is>
          <t>260</t>
        </is>
      </c>
      <c r="AE1275" s="7" t="inlineStr">
        <is>
          <t>2122</t>
        </is>
      </c>
      <c r="AG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13" t="inlineStr">
        <is>
          <t>P-35 &gt; DDG-51 &gt; MK 45 Light Weight Gun (LWG) &gt; Spares</t>
        </is>
      </c>
      <c r="AD1276" s="7" t="inlineStr">
        <is>
          <t>260</t>
        </is>
      </c>
      <c r="AE1276" s="7" t="inlineStr">
        <is>
          <t>2122</t>
        </is>
      </c>
      <c r="AG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13" t="inlineStr">
        <is>
          <t>P-35 &gt; DDG-51 &gt; MK 45 Light Weight Gun (LWG) &gt; System Engineering</t>
        </is>
      </c>
      <c r="AD1277" s="7" t="inlineStr">
        <is>
          <t>260</t>
        </is>
      </c>
      <c r="AE1277" s="7" t="inlineStr">
        <is>
          <t>2122</t>
        </is>
      </c>
      <c r="AG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13" t="inlineStr">
        <is>
          <t>P-35 &gt; DDG-51 &gt; MK 45 Light Weight Gun (LWG) &gt; Technical Engineering Services</t>
        </is>
      </c>
      <c r="AD1278" s="7" t="inlineStr">
        <is>
          <t>260</t>
        </is>
      </c>
      <c r="AE1278" s="7" t="inlineStr">
        <is>
          <t>2122</t>
        </is>
      </c>
      <c r="AG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13" t="inlineStr">
        <is>
          <t>P-35 &gt; DDG-51 &gt; MK 45 Light Weight Gun (LWG) &gt; Other Costs</t>
        </is>
      </c>
      <c r="AD1279" s="7" t="inlineStr">
        <is>
          <t>260</t>
        </is>
      </c>
      <c r="AE1279" s="7" t="inlineStr">
        <is>
          <t>2122</t>
        </is>
      </c>
      <c r="AG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13" t="inlineStr">
        <is>
          <t>P-35 &gt; DDG-51 &gt; MK 37 TOMAHAWK &gt; Major Hardware                                                                                                2</t>
        </is>
      </c>
      <c r="AD1280" s="7" t="inlineStr">
        <is>
          <t>261</t>
        </is>
      </c>
      <c r="AE1280" s="7" t="inlineStr">
        <is>
          <t>2122</t>
        </is>
      </c>
      <c r="AG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13" t="inlineStr">
        <is>
          <t>P-35 &gt; DDG-51 &gt; MK 37 TOMAHAWK &gt; Spares</t>
        </is>
      </c>
      <c r="AD1281" s="7" t="inlineStr">
        <is>
          <t>261</t>
        </is>
      </c>
      <c r="AE1281" s="7" t="inlineStr">
        <is>
          <t>2122</t>
        </is>
      </c>
      <c r="AG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13" t="inlineStr">
        <is>
          <t>P-35 &gt; DDG-51 &gt; MK 37 TOMAHAWK &gt; System Engineering</t>
        </is>
      </c>
      <c r="AD1282" s="7" t="inlineStr">
        <is>
          <t>261</t>
        </is>
      </c>
      <c r="AE1282" s="7" t="inlineStr">
        <is>
          <t>2122</t>
        </is>
      </c>
      <c r="AG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13" t="inlineStr">
        <is>
          <t>P-35 &gt; DDG-51 &gt; MK 37 TOMAHAWK &gt; Technical Engineering Services</t>
        </is>
      </c>
      <c r="AD1283" s="7" t="inlineStr">
        <is>
          <t>261</t>
        </is>
      </c>
      <c r="AE1283" s="7" t="inlineStr">
        <is>
          <t>2122</t>
        </is>
      </c>
      <c r="AG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13" t="inlineStr">
        <is>
          <t>P-35 &gt; DDG-51 &gt; MK 37 TOMAHAWK &gt; Other Costs</t>
        </is>
      </c>
      <c r="AD1284" s="7" t="inlineStr">
        <is>
          <t>261</t>
        </is>
      </c>
      <c r="AE1284" s="7" t="inlineStr">
        <is>
          <t>2122</t>
        </is>
      </c>
      <c r="AG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13" t="inlineStr">
        <is>
          <t>P-35 &gt; DDG-51 &gt; PHALANX (CIWS) &gt; Major Hardware                                                                                                  2</t>
        </is>
      </c>
      <c r="AD1285" s="7" t="inlineStr">
        <is>
          <t>262</t>
        </is>
      </c>
      <c r="AE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13" t="inlineStr">
        <is>
          <t>P-35 &gt; DDG-51 &gt; PHALANX (CIWS) &gt; System Engineering</t>
        </is>
      </c>
      <c r="AD1286" s="7" t="inlineStr">
        <is>
          <t>262</t>
        </is>
      </c>
      <c r="AE1286" s="7" t="inlineStr">
        <is>
          <t>2122</t>
        </is>
      </c>
      <c r="AG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13" t="inlineStr">
        <is>
          <t>P-35 &gt; DDG-51 &gt; PHALANX (CIWS) &gt; Technical Engineering Services</t>
        </is>
      </c>
      <c r="AD1287" s="7" t="inlineStr">
        <is>
          <t>262</t>
        </is>
      </c>
      <c r="AE1287" s="7" t="inlineStr">
        <is>
          <t>2122</t>
        </is>
      </c>
      <c r="AG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13" t="inlineStr">
        <is>
          <t>P-35 &gt; DDG-51 &gt; PHALANX (CIWS) &gt; Other Costs</t>
        </is>
      </c>
      <c r="AD1288" s="7" t="inlineStr">
        <is>
          <t>262</t>
        </is>
      </c>
      <c r="AE1288" s="7" t="inlineStr">
        <is>
          <t>2122</t>
        </is>
      </c>
      <c r="AG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13" t="inlineStr">
        <is>
          <t>P-35 &gt; DDG-51 &gt; SPQ-9B Radar &gt; Major Hardware                                                                                                 2</t>
        </is>
      </c>
      <c r="AD1289" s="7" t="inlineStr">
        <is>
          <t>263</t>
        </is>
      </c>
      <c r="AE1289" s="7" t="inlineStr">
        <is>
          <t>2122</t>
        </is>
      </c>
      <c r="AG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13" t="inlineStr">
        <is>
          <t>P-35 &gt; DDG-51 &gt; SPQ-9B Radar &gt; Spares</t>
        </is>
      </c>
      <c r="AD1290" s="7" t="inlineStr">
        <is>
          <t>263</t>
        </is>
      </c>
      <c r="AE1290" s="7" t="inlineStr">
        <is>
          <t>2122</t>
        </is>
      </c>
      <c r="AG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13" t="inlineStr">
        <is>
          <t>P-35 &gt; DDG-51 &gt; SPQ-9B Radar &gt; System Engineering</t>
        </is>
      </c>
      <c r="AD1291" s="7" t="inlineStr">
        <is>
          <t>263</t>
        </is>
      </c>
      <c r="AE1291" s="7" t="inlineStr">
        <is>
          <t>2122</t>
        </is>
      </c>
      <c r="AG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13" t="inlineStr">
        <is>
          <t>P-35 &gt; DDG-51 &gt; SPQ-9B Radar &gt; Technical Engineering Services</t>
        </is>
      </c>
      <c r="AD1292" s="7" t="inlineStr">
        <is>
          <t>263</t>
        </is>
      </c>
      <c r="AE1292" s="7" t="inlineStr">
        <is>
          <t>2122</t>
        </is>
      </c>
      <c r="AG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13" t="inlineStr">
        <is>
          <t>P-35 &gt; DDG-51 &gt; SPQ-9B Radar &gt; Other Costs</t>
        </is>
      </c>
      <c r="AD1293" s="7" t="inlineStr">
        <is>
          <t>263</t>
        </is>
      </c>
      <c r="AE1293" s="7" t="inlineStr">
        <is>
          <t>2122</t>
        </is>
      </c>
      <c r="AG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13" t="inlineStr">
        <is>
          <t>P-35 &gt; DDG-51 &gt; MK-38 Gun Weapon System (GWS) &gt; Major Hardware                                                                                                 2</t>
        </is>
      </c>
      <c r="AD1294" s="7" t="inlineStr">
        <is>
          <t>264</t>
        </is>
      </c>
      <c r="AE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13" t="inlineStr">
        <is>
          <t>P-35 &gt; DDG-51 &gt; MK-38 Gun Weapon System (GWS) &gt; Technical Data and Documentation</t>
        </is>
      </c>
      <c r="AD1295" s="7" t="inlineStr">
        <is>
          <t>264</t>
        </is>
      </c>
      <c r="AE1295" s="7" t="inlineStr">
        <is>
          <t>2122</t>
        </is>
      </c>
      <c r="AG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13" t="inlineStr">
        <is>
          <t>P-35 &gt; DDG-51 &gt; MK-38 Gun Weapon System (GWS) &gt; System Engineering</t>
        </is>
      </c>
      <c r="AD1296" s="7" t="inlineStr">
        <is>
          <t>264</t>
        </is>
      </c>
      <c r="AE1296" s="7" t="inlineStr">
        <is>
          <t>2122</t>
        </is>
      </c>
      <c r="AG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13" t="inlineStr">
        <is>
          <t>P-35 &gt; DDG-51 &gt; MK-38 Gun Weapon System (GWS) &gt; Technical Engineering Services</t>
        </is>
      </c>
      <c r="AD1297" s="7" t="inlineStr">
        <is>
          <t>264</t>
        </is>
      </c>
      <c r="AE1297" s="7" t="inlineStr">
        <is>
          <t>2122</t>
        </is>
      </c>
      <c r="AG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13" t="inlineStr">
        <is>
          <t>P-35 &gt; DDG-51 &gt; MK-38 Gun Weapon System (GWS) &gt; Other Costs</t>
        </is>
      </c>
      <c r="AD1298" s="7" t="inlineStr">
        <is>
          <t>264</t>
        </is>
      </c>
      <c r="AE1298" s="7" t="inlineStr">
        <is>
          <t>2122</t>
        </is>
      </c>
      <c r="AG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13" t="inlineStr">
        <is>
          <t>P-10 &gt; DDG-51 &gt; SHIP CONSTRUCTION ECONOMIC ORDER QUANTITY (EOQ) - SHIP Construction EOQ FY23 Ships                                                 VARIOUS          VARIOUS                -             -</t>
        </is>
      </c>
      <c r="AD1299" s="7" t="inlineStr">
        <is>
          <t>265</t>
        </is>
      </c>
      <c r="AE1299" s="7" t="inlineStr">
        <is>
          <t>2122</t>
        </is>
      </c>
      <c r="AG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13" t="inlineStr">
        <is>
          <t>P-10 &gt; DDG-51 &gt; SHIP CONSTRUCTION ECONOMIC ORDER QUANTITY (EOQ) - SHIP Construction EOQ FY24 Ships                                                 VARIOUS          VARIOUS                -             -</t>
        </is>
      </c>
      <c r="AD1300" s="7" t="inlineStr">
        <is>
          <t>265</t>
        </is>
      </c>
      <c r="AE1300" s="7" t="inlineStr">
        <is>
          <t>2122</t>
        </is>
      </c>
      <c r="AG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13" t="inlineStr">
        <is>
          <t>P-10 &gt; DDG-51 &gt; SHIP CONSTRUCTION ECONOMIC ORDER QUANTITY (EOQ) - SHIP Construction EOQ FY25 Ships                                                 VARIOUS          VARIOUS</t>
        </is>
      </c>
      <c r="AD1301" s="7" t="inlineStr">
        <is>
          <t>265</t>
        </is>
      </c>
      <c r="AE1301" s="7" t="inlineStr">
        <is>
          <t>2122</t>
        </is>
      </c>
      <c r="AG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13" t="inlineStr">
        <is>
          <t>P-10 &gt; DDG-51 &gt; SHIP CONSTRUCTION ECONOMIC ORDER QUANTITY (EOQ) - SHIP Construction EOQ FY26 Ships                                                 VARIOUS          VARIOUS</t>
        </is>
      </c>
      <c r="AD1302" s="7" t="inlineStr">
        <is>
          <t>265</t>
        </is>
      </c>
      <c r="AE1302" s="7" t="inlineStr">
        <is>
          <t>2122</t>
        </is>
      </c>
      <c r="AG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13" t="inlineStr">
        <is>
          <t>P-10 &gt; DDG-51 &gt; SHIP CONSTRUCTION ECONOMIC ORDER QUANTITY (EOQ) - SHIP Construction EOQ FY27 Ships                                                 VARIOUS          VARIOUS</t>
        </is>
      </c>
      <c r="AD1303" s="7" t="inlineStr">
        <is>
          <t>265</t>
        </is>
      </c>
      <c r="AE1303" s="7" t="inlineStr">
        <is>
          <t>2122</t>
        </is>
      </c>
      <c r="AG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13" t="inlineStr">
        <is>
          <t>P-10 &gt; DDG-51 &gt; SHIP CONSTRUCTION ECONOMIC ORDER QUANTITY (EOQ) - SHIP Construction EOQ FY29 Ships                                                 VARIOUS          VARIOUS                -             -</t>
        </is>
      </c>
      <c r="AD1304" s="7" t="inlineStr">
        <is>
          <t>265</t>
        </is>
      </c>
      <c r="AE1304" s="7" t="inlineStr">
        <is>
          <t>2122</t>
        </is>
      </c>
      <c r="AG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13" t="inlineStr">
        <is>
          <t>P-10 &gt; DDG-51 &gt; SHIP CONSTRUCTION ECONOMIC ORDER QUANTITY (EOQ) - SHIP Construction EOQ FY30 Ships                                                 VARIOUS          VARIOUS                -             -</t>
        </is>
      </c>
      <c r="AD1305" s="7" t="inlineStr">
        <is>
          <t>265</t>
        </is>
      </c>
      <c r="AE1305" s="7" t="inlineStr">
        <is>
          <t>2122</t>
        </is>
      </c>
      <c r="AG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13" t="inlineStr">
        <is>
          <t>P-10 &gt; DDG-51 &gt; SHIP CONSTRUCTION ECONOMIC ORDER QUANTITY (EOQ) - SHIP Construction EOQ FY31 Ships                                                 VARIOUS          VARIOUS                -             -</t>
        </is>
      </c>
      <c r="AD1306" s="7" t="inlineStr">
        <is>
          <t>265</t>
        </is>
      </c>
      <c r="AE1306" s="7" t="inlineStr">
        <is>
          <t>2122</t>
        </is>
      </c>
      <c r="AG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13" t="inlineStr">
        <is>
          <t>P-10 &gt; DDG-51 &gt; SHIP CONSTRUCTION ECONOMIC ORDER QUANTITY (EOQ) - SHIP Construction EOQ FY32 Ships                                                 VARIOUS          VARIOUS                -             -</t>
        </is>
      </c>
      <c r="AD1307" s="7" t="inlineStr">
        <is>
          <t>265</t>
        </is>
      </c>
      <c r="AE1307" s="7" t="inlineStr">
        <is>
          <t>2122</t>
        </is>
      </c>
      <c r="AG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13" t="inlineStr">
        <is>
          <t>P-10 &gt; DDG-51 &gt; AWS EOQ - AWS EOQ FY24 Ships                                                               VARIOUS          VARIOUS                -             -</t>
        </is>
      </c>
      <c r="AD1308" s="7" t="inlineStr">
        <is>
          <t>265</t>
        </is>
      </c>
      <c r="AE1308" s="7" t="inlineStr">
        <is>
          <t>2122</t>
        </is>
      </c>
      <c r="AG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13" t="inlineStr">
        <is>
          <t>P-10 &gt; DDG-51 &gt; AWS EOQ - AWS EOQ FY25 Ships                                                               VARIOUS          VARIOUS                -             -</t>
        </is>
      </c>
      <c r="AD1309" s="7" t="inlineStr">
        <is>
          <t>265</t>
        </is>
      </c>
      <c r="AE1309" s="7" t="inlineStr">
        <is>
          <t>2122</t>
        </is>
      </c>
      <c r="AG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13" t="inlineStr">
        <is>
          <t>P-10 &gt; DDG-51 &gt; AWS EOQ - AWS EOQ FY26 Ships                                                               VARIOUS          VARIOUS                -             -</t>
        </is>
      </c>
      <c r="AD1310" s="7" t="inlineStr">
        <is>
          <t>265</t>
        </is>
      </c>
      <c r="AE1310" s="7" t="inlineStr">
        <is>
          <t>2122</t>
        </is>
      </c>
      <c r="AG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13" t="inlineStr">
        <is>
          <t>P-10 &gt; DDG-51 &gt; AWS EOQ - AWS EOQ FY27 Ships                                                               VARIOUS          VARIOUS                -             -</t>
        </is>
      </c>
      <c r="AD1311" s="7" t="inlineStr">
        <is>
          <t>265</t>
        </is>
      </c>
      <c r="AE1311" s="7" t="inlineStr">
        <is>
          <t>2122</t>
        </is>
      </c>
      <c r="AG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13" t="inlineStr">
        <is>
          <t>P-10 &gt; DDG-51 &gt; AWS EOQ - (7)</t>
        </is>
      </c>
      <c r="AD1312" s="7" t="inlineStr">
        <is>
          <t>265</t>
        </is>
      </c>
      <c r="AE1312" s="7" t="inlineStr">
        <is>
          <t>2122</t>
        </is>
      </c>
      <c r="AG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13" t="inlineStr">
        <is>
          <t>P-10 &gt; DDG-51 &gt; AWS EOQ - CBSP AP for FY26 Ships                                                                      06    VARIOUS</t>
        </is>
      </c>
      <c r="AD1313" s="7" t="inlineStr">
        <is>
          <t>265</t>
        </is>
      </c>
      <c r="AE1313" s="7" t="inlineStr">
        <is>
          <t>2122</t>
        </is>
      </c>
      <c r="AG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13" t="inlineStr">
        <is>
          <t>P-10 &gt; DDG-51 &gt; AWS EOQ - CBSP AP for FY27 Ships                                                                      06    VARIOUS</t>
        </is>
      </c>
      <c r="AD1314" s="7" t="inlineStr">
        <is>
          <t>265</t>
        </is>
      </c>
      <c r="AE1314" s="7" t="inlineStr">
        <is>
          <t>2122</t>
        </is>
      </c>
      <c r="AG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13" t="inlineStr">
        <is>
          <t>P-10 &gt; DDG-51 &gt; AWS EOQ - (8)                                                                                              -</t>
        </is>
      </c>
      <c r="AD1315" s="7" t="inlineStr">
        <is>
          <t>265</t>
        </is>
      </c>
      <c r="AE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13" t="inlineStr">
        <is>
          <t>P-10 &gt; DDG-51 &gt; AWS EOQ - NMT AP for FY27 Ships                                                                       18    VARIOUS                -</t>
        </is>
      </c>
      <c r="AD1316" s="7" t="inlineStr">
        <is>
          <t>265</t>
        </is>
      </c>
      <c r="AE1316" s="7" t="inlineStr">
        <is>
          <t>2122</t>
        </is>
      </c>
      <c r="AG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13" t="inlineStr">
        <is>
          <t>P-10 &gt; DDG-51 &gt; SHIP CONSTRUCTION ECONOMIC ORDER QUANTITY (EOQ) - SHIP Construction EOQ FY25 Ships                                                  VARIOUS             VARIOUS                     -                                 -</t>
        </is>
      </c>
      <c r="AD1317" s="7" t="inlineStr">
        <is>
          <t>266</t>
        </is>
      </c>
      <c r="AE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13" t="inlineStr">
        <is>
          <t>P-10 &gt; DDG-51 &gt; SHIP CONSTRUCTION ECONOMIC ORDER QUANTITY (EOQ) - SHIP Construction EOQ FY26 Ships                                                  VARIOUS             VARIOUS                     -                                 -</t>
        </is>
      </c>
      <c r="AD1318" s="7" t="inlineStr">
        <is>
          <t>266</t>
        </is>
      </c>
      <c r="AE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13" t="inlineStr">
        <is>
          <t>P-10 &gt; DDG-51 &gt; SHIP CONSTRUCTION ECONOMIC ORDER QUANTITY (EOQ) - SHIP Construction EOQ FY27 Ships                                                  VARIOUS             VARIOUS                     -                                 -</t>
        </is>
      </c>
      <c r="AD1319" s="7" t="inlineStr">
        <is>
          <t>266</t>
        </is>
      </c>
      <c r="AE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13" t="inlineStr">
        <is>
          <t>P-10 &gt; DDG-51 &gt; SHIP CONSTRUCTION ECONOMIC ORDER QUANTITY (EOQ) - SHIP Construction EOQ FY29 Ships                                                  VARIOUS             VARIOUS                     -                                 -</t>
        </is>
      </c>
      <c r="AD1320" s="7" t="inlineStr">
        <is>
          <t>266</t>
        </is>
      </c>
      <c r="AE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13" t="inlineStr">
        <is>
          <t>P-10 &gt; DDG-51 &gt; SHIP CONSTRUCTION ECONOMIC ORDER QUANTITY (EOQ) - SHIP Construction EOQ FY30 Ships                                                  VARIOUS             VARIOUS                     -                                 -</t>
        </is>
      </c>
      <c r="AD1321" s="7" t="inlineStr">
        <is>
          <t>266</t>
        </is>
      </c>
      <c r="AE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13" t="inlineStr">
        <is>
          <t>P-10 &gt; DDG-51 &gt; SHIP CONSTRUCTION ECONOMIC ORDER QUANTITY (EOQ) - SHIP Construction EOQ FY31 Ships                                                  VARIOUS             VARIOUS                     -                                 -</t>
        </is>
      </c>
      <c r="AD1322" s="7" t="inlineStr">
        <is>
          <t>266</t>
        </is>
      </c>
      <c r="AE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13" t="inlineStr">
        <is>
          <t>P-10 &gt; DDG-51 &gt; SHIP CONSTRUCTION ECONOMIC ORDER QUANTITY (EOQ) - SHIP Construction EOQ FY32 Ships                                                  VARIOUS             VARIOUS                     -                                 -</t>
        </is>
      </c>
      <c r="AD1323" s="7" t="inlineStr">
        <is>
          <t>266</t>
        </is>
      </c>
      <c r="AE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13" t="inlineStr">
        <is>
          <t>P-10 &gt; DDG-51 &gt; AWS EOQ - AWS EOQ FY24 Ships                                                                VARIOUS             VARIOUS                     -                                 -</t>
        </is>
      </c>
      <c r="AD1324" s="7" t="inlineStr">
        <is>
          <t>266</t>
        </is>
      </c>
      <c r="AE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13" t="inlineStr">
        <is>
          <t>P-10 &gt; DDG-51 &gt; AWS EOQ - AWS EOQ FY25 Ships                                                                VARIOUS             VARIOUS                     -                                 -</t>
        </is>
      </c>
      <c r="AD1325" s="7" t="inlineStr">
        <is>
          <t>266</t>
        </is>
      </c>
      <c r="AE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13" t="inlineStr">
        <is>
          <t>P-10 &gt; DDG-51 &gt; AWS EOQ - AWS EOQ FY26 Ships                                                                VARIOUS             VARIOUS                     -                                 -</t>
        </is>
      </c>
      <c r="AD1326" s="7" t="inlineStr">
        <is>
          <t>266</t>
        </is>
      </c>
      <c r="AE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13" t="inlineStr">
        <is>
          <t>P-10 &gt; DDG-51 &gt; AWS EOQ - AWS EOQ FY27 Ships                                                                VARIOUS             VARIOUS                     -                                 -</t>
        </is>
      </c>
      <c r="AD1327" s="7" t="inlineStr">
        <is>
          <t>266</t>
        </is>
      </c>
      <c r="AE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13" t="inlineStr">
        <is>
          <t>P-10 &gt; DDG-51 &gt; AWS EOQ - (7)</t>
        </is>
      </c>
      <c r="AD1328" s="7" t="inlineStr">
        <is>
          <t>266</t>
        </is>
      </c>
      <c r="AE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13" t="inlineStr">
        <is>
          <t>P-10 &gt; DDG-51 &gt; AWS EOQ - CBSP AP for FY26 Ships                                                                     06         VARIOUS                     -                                 -</t>
        </is>
      </c>
      <c r="AD1329" s="7" t="inlineStr">
        <is>
          <t>266</t>
        </is>
      </c>
      <c r="AE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13" t="inlineStr">
        <is>
          <t>P-10 &gt; DDG-51 &gt; AWS EOQ - CBSP AP for FY27 Ships                                                                     06         VARIOUS                     -                                 -</t>
        </is>
      </c>
      <c r="AD1330" s="7" t="inlineStr">
        <is>
          <t>266</t>
        </is>
      </c>
      <c r="AE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13" t="inlineStr">
        <is>
          <t>P-10 &gt; DDG-51 &gt; AWS EOQ - (8)</t>
        </is>
      </c>
      <c r="AD1331" s="7" t="inlineStr">
        <is>
          <t>266</t>
        </is>
      </c>
      <c r="AE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13" t="inlineStr">
        <is>
          <t>P-10 &gt; DDG-51 &gt; AWS EOQ - NMT AP for FY27 Ships                                                                      18         VARIOUS                     -                                 -</t>
        </is>
      </c>
      <c r="AD1332" s="7" t="inlineStr">
        <is>
          <t>266</t>
        </is>
      </c>
      <c r="AE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13" t="inlineStr">
        <is>
          <t>P-5c &gt; Littoral Combat Ship (LCS) &gt; Plan Costs</t>
        </is>
      </c>
      <c r="AD1333" s="7" t="inlineStr">
        <is>
          <t>271</t>
        </is>
      </c>
      <c r="AE1333" s="7" t="inlineStr">
        <is>
          <t>2127</t>
        </is>
      </c>
      <c r="AG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13" t="inlineStr">
        <is>
          <t>P-5c &gt; Littoral Combat Ship (LCS) &gt; Basic Construction</t>
        </is>
      </c>
      <c r="AD1334" s="7" t="inlineStr">
        <is>
          <t>271</t>
        </is>
      </c>
      <c r="AE1334" s="7" t="inlineStr">
        <is>
          <t>2127</t>
        </is>
      </c>
      <c r="AG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13" t="inlineStr">
        <is>
          <t>P-5c &gt; Littoral Combat Ship (LCS) &gt; Change Orders</t>
        </is>
      </c>
      <c r="AD1335" s="7" t="inlineStr">
        <is>
          <t>271</t>
        </is>
      </c>
      <c r="AE1335" s="7" t="inlineStr">
        <is>
          <t>2127</t>
        </is>
      </c>
      <c r="AG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13" t="inlineStr">
        <is>
          <t>P-5c &gt; Littoral Combat Ship (LCS) &gt; Electronics</t>
        </is>
      </c>
      <c r="AD1336" s="7" t="inlineStr">
        <is>
          <t>271</t>
        </is>
      </c>
      <c r="AE1336" s="7" t="inlineStr">
        <is>
          <t>2127</t>
        </is>
      </c>
      <c r="AG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13" t="inlineStr">
        <is>
          <t>P-5c &gt; Littoral Combat Ship (LCS) &gt; Hull, Mechanical, and Electrical</t>
        </is>
      </c>
      <c r="AD1337" s="7" t="inlineStr">
        <is>
          <t>271</t>
        </is>
      </c>
      <c r="AE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13" t="inlineStr">
        <is>
          <t>P-5c &gt; Littoral Combat Ship (LCS) &gt; Ordnance</t>
        </is>
      </c>
      <c r="AD1338" s="7" t="inlineStr">
        <is>
          <t>271</t>
        </is>
      </c>
      <c r="AE1338" s="7" t="inlineStr">
        <is>
          <t>2127</t>
        </is>
      </c>
      <c r="AG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13" t="inlineStr">
        <is>
          <t>P-5c &gt; Littoral Combat Ship (LCS) &gt; Other Cost</t>
        </is>
      </c>
      <c r="AD1339" s="7" t="inlineStr">
        <is>
          <t>271</t>
        </is>
      </c>
      <c r="AE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13" t="inlineStr">
        <is>
          <t>P-5c &gt; FFG-Frigate &gt; Plan Costs</t>
        </is>
      </c>
      <c r="AD1340" s="7" t="inlineStr">
        <is>
          <t>275</t>
        </is>
      </c>
      <c r="AE1340" s="7" t="inlineStr">
        <is>
          <t>2128</t>
        </is>
      </c>
      <c r="AG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13" t="inlineStr">
        <is>
          <t>P-5c &gt; FFG-Frigate &gt; Basic Construction</t>
        </is>
      </c>
      <c r="AD1341" s="7" t="inlineStr">
        <is>
          <t>275</t>
        </is>
      </c>
      <c r="AE1341" s="7" t="inlineStr">
        <is>
          <t>2128</t>
        </is>
      </c>
      <c r="AG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13" t="inlineStr">
        <is>
          <t>P-5c &gt; FFG-Frigate &gt; Change Orders</t>
        </is>
      </c>
      <c r="AD1342" s="7" t="inlineStr">
        <is>
          <t>275</t>
        </is>
      </c>
      <c r="AE1342" s="7" t="inlineStr">
        <is>
          <t>2128</t>
        </is>
      </c>
      <c r="AG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13" t="inlineStr">
        <is>
          <t>P-5c &gt; FFG-Frigate &gt; Electronics</t>
        </is>
      </c>
      <c r="AD1343" s="7" t="inlineStr">
        <is>
          <t>275</t>
        </is>
      </c>
      <c r="AE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13" t="inlineStr">
        <is>
          <t>P-5c &gt; FFG-Frigate &gt; Ordnance</t>
        </is>
      </c>
      <c r="AD1344" s="7" t="inlineStr">
        <is>
          <t>275</t>
        </is>
      </c>
      <c r="AE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13" t="inlineStr">
        <is>
          <t>P-5c &gt; FFG-Frigate &gt; Other Cost</t>
        </is>
      </c>
      <c r="AD1345" s="7" t="inlineStr">
        <is>
          <t>275</t>
        </is>
      </c>
      <c r="AE1345" s="7" t="inlineStr">
        <is>
          <t>2128</t>
        </is>
      </c>
      <c r="AG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13" t="inlineStr">
        <is>
          <t>P-5c &gt; FFG-Frigate &gt; 2020                                                                 -                            -                            -</t>
        </is>
      </c>
      <c r="AD1346" s="7" t="inlineStr">
        <is>
          <t>275</t>
        </is>
      </c>
      <c r="AE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13" t="inlineStr">
        <is>
          <t>P-5c &gt; FFG-Frigate &gt; 2025                                                                 -                            -                            -                             -</t>
        </is>
      </c>
      <c r="AD1347" s="7" t="inlineStr">
        <is>
          <t>275</t>
        </is>
      </c>
      <c r="AE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13" t="inlineStr">
        <is>
          <t>P-8a &gt; FFG-Frigate &gt; Electronics &gt; Enterprise Air Surveillance Radar (EASR) 2</t>
        </is>
      </c>
      <c r="AD1348" s="7" t="inlineStr">
        <is>
          <t>277</t>
        </is>
      </c>
      <c r="AE1348" s="7" t="inlineStr">
        <is>
          <t>2128</t>
        </is>
      </c>
      <c r="AG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13" t="inlineStr">
        <is>
          <t>P-8a &gt; FFG-Frigate &gt; Electronics &gt; AEGIS Weapon System (AWS) 2</t>
        </is>
      </c>
      <c r="AD1349" s="7" t="inlineStr">
        <is>
          <t>277</t>
        </is>
      </c>
      <c r="AE1349" s="7" t="inlineStr">
        <is>
          <t>2128</t>
        </is>
      </c>
      <c r="AG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13" t="inlineStr">
        <is>
          <t>P-8a &gt; FFG-Frigate &gt; Electronics &gt; Anti-Submarine Warfare (ASW) Combat Suite 2</t>
        </is>
      </c>
      <c r="AD1350" s="7" t="inlineStr">
        <is>
          <t>277</t>
        </is>
      </c>
      <c r="AE1350" s="7" t="inlineStr">
        <is>
          <t>2128</t>
        </is>
      </c>
      <c r="AG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13" t="inlineStr">
        <is>
          <t>P-8a &gt; FFG-Frigate &gt; Electronics &gt; SLQ-32(V)6) 2</t>
        </is>
      </c>
      <c r="AD1351" s="7" t="inlineStr">
        <is>
          <t>277</t>
        </is>
      </c>
      <c r="AE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13" t="inlineStr">
        <is>
          <t>P-8a &gt; FFG-Frigate &gt; Electronics &gt; Tactical COMINT System- Spectral 2</t>
        </is>
      </c>
      <c r="AD1352" s="7" t="inlineStr">
        <is>
          <t>277</t>
        </is>
      </c>
      <c r="AE1352" s="7" t="inlineStr">
        <is>
          <t>2128</t>
        </is>
      </c>
      <c r="AG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13" t="inlineStr">
        <is>
          <t>P-8a &gt; FFG-Frigate &gt; Electronics &gt; Cooperative Engagement Capability (CEC) 2</t>
        </is>
      </c>
      <c r="AD1353" s="7" t="inlineStr">
        <is>
          <t>277</t>
        </is>
      </c>
      <c r="AE1353" s="7" t="inlineStr">
        <is>
          <t>2128</t>
        </is>
      </c>
      <c r="AG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13" t="inlineStr">
        <is>
          <t>P-8a &gt; FFG-Frigate &gt; Electronics &gt; Identification Friend or Foe (IFF) UPX-29 2</t>
        </is>
      </c>
      <c r="AD1354" s="7" t="inlineStr">
        <is>
          <t>277</t>
        </is>
      </c>
      <c r="AE1354" s="7" t="inlineStr">
        <is>
          <t>2128</t>
        </is>
      </c>
      <c r="AG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13" t="inlineStr">
        <is>
          <t>P-8a &gt; FFG-Frigate &gt; Electronics &gt; External Communication Suite (EXCOMM) 2</t>
        </is>
      </c>
      <c r="AD1355" s="7" t="inlineStr">
        <is>
          <t>277</t>
        </is>
      </c>
      <c r="AE1355" s="7" t="inlineStr">
        <is>
          <t>2128</t>
        </is>
      </c>
      <c r="AG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13" t="inlineStr">
        <is>
          <t>P-8a &gt; FFG-Frigate &gt; Hull, Mechanical, and Electrical &gt; Aircraft Ship Integrated Securing and Traversing System (ASIST) 2</t>
        </is>
      </c>
      <c r="AD1356" s="7" t="inlineStr">
        <is>
          <t>279</t>
        </is>
      </c>
      <c r="AE1356" s="7" t="inlineStr">
        <is>
          <t>2128</t>
        </is>
      </c>
      <c r="AG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13" t="inlineStr">
        <is>
          <t>P-8a &gt; FFG-Frigate &gt; Hull, Mechanical, and Electrical &gt; Internal Communication (IC) Voice 2</t>
        </is>
      </c>
      <c r="AD1357" s="7" t="inlineStr">
        <is>
          <t>279</t>
        </is>
      </c>
      <c r="AE1357" s="7" t="inlineStr">
        <is>
          <t>2128</t>
        </is>
      </c>
      <c r="AG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13" t="inlineStr">
        <is>
          <t>P-8a &gt; FFG-Frigate &gt; Hull, Mechanical, and Electrical &gt; Advanced Flight Deck Lighting System (AFDLS) 2</t>
        </is>
      </c>
      <c r="AD1358" s="7" t="inlineStr">
        <is>
          <t>279</t>
        </is>
      </c>
      <c r="AE1358" s="7" t="inlineStr">
        <is>
          <t>2128</t>
        </is>
      </c>
      <c r="AG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13" t="inlineStr">
        <is>
          <t>P-8a &gt; FFG-Frigate &gt; Hull, Mechanical, and Electrical &gt; Unclassified Video System (UVS) 2</t>
        </is>
      </c>
      <c r="AD1359" s="7" t="inlineStr">
        <is>
          <t>279</t>
        </is>
      </c>
      <c r="AE1359" s="7" t="inlineStr">
        <is>
          <t>2128</t>
        </is>
      </c>
      <c r="AG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13" t="inlineStr">
        <is>
          <t>P-8a &gt; FFG-Frigate &gt; Hull, Mechanical, and Electrical &gt; Interior Wireless Communication System (IWCS) 2</t>
        </is>
      </c>
      <c r="AD1360" s="7" t="inlineStr">
        <is>
          <t>279</t>
        </is>
      </c>
      <c r="AE1360" s="7" t="inlineStr">
        <is>
          <t>2128</t>
        </is>
      </c>
      <c r="AG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13" t="inlineStr">
        <is>
          <t>P-8a &gt; FFG-Frigate &gt; Hull, Mechanical, and Electrical &gt; Response (SABER) 2</t>
        </is>
      </c>
      <c r="AD1361" s="7" t="inlineStr">
        <is>
          <t>279</t>
        </is>
      </c>
      <c r="AE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13" t="inlineStr">
        <is>
          <t>P-8a &gt; FFG-Frigate &gt; Hull, Mechanical, and Electrical &gt; Ship Control System-Government (SCS GOV) 2</t>
        </is>
      </c>
      <c r="AD1362" s="7" t="inlineStr">
        <is>
          <t>279</t>
        </is>
      </c>
      <c r="AE1362" s="7" t="inlineStr">
        <is>
          <t>2128</t>
        </is>
      </c>
      <c r="AG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13" t="inlineStr">
        <is>
          <t>P-8a &gt; FFG-Frigate &gt; Hull, Mechanical, and Electrical &gt; Other HM&amp;E 2</t>
        </is>
      </c>
      <c r="AD1363" s="7" t="inlineStr">
        <is>
          <t>279</t>
        </is>
      </c>
      <c r="AE1363" s="7" t="inlineStr">
        <is>
          <t>2128</t>
        </is>
      </c>
      <c r="AG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13" t="inlineStr">
        <is>
          <t>P-8a &gt; FFG-Frigate &gt; Ordnance &gt; MK 41 Vertical Launch System (VLS)- 32 Cell 2</t>
        </is>
      </c>
      <c r="AD1364" s="7" t="inlineStr">
        <is>
          <t>280</t>
        </is>
      </c>
      <c r="AE1364" s="7" t="inlineStr">
        <is>
          <t>2128</t>
        </is>
      </c>
      <c r="AG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13" t="inlineStr">
        <is>
          <t>P-8a &gt; FFG-Frigate &gt; Ordnance &gt; MK 48 Gun Weapon System (GWS) 2</t>
        </is>
      </c>
      <c r="AD1365" s="7" t="inlineStr">
        <is>
          <t>280</t>
        </is>
      </c>
      <c r="AE1365" s="7" t="inlineStr">
        <is>
          <t>2128</t>
        </is>
      </c>
      <c r="AG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13" t="inlineStr">
        <is>
          <t>P-8a &gt; FFG-Frigate &gt; Ordnance &gt; 21 Cell 2</t>
        </is>
      </c>
      <c r="AD1366" s="7" t="inlineStr">
        <is>
          <t>280</t>
        </is>
      </c>
      <c r="AE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13" t="inlineStr">
        <is>
          <t>P-8a &gt; FFG-Frigate &gt; Ordnance &gt; MK 53 Decoy Launching System (DLS) (Nulka)- 4 Launcher 2</t>
        </is>
      </c>
      <c r="AD1367" s="7" t="inlineStr">
        <is>
          <t>280</t>
        </is>
      </c>
      <c r="AE1367" s="7" t="inlineStr">
        <is>
          <t>2128</t>
        </is>
      </c>
      <c r="AG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13" t="inlineStr">
        <is>
          <t>P-8a &gt; FFG-Frigate &gt; Ordnance &gt; Other Ordnance 2</t>
        </is>
      </c>
      <c r="AD1368" s="7" t="inlineStr">
        <is>
          <t>280</t>
        </is>
      </c>
      <c r="AE1368" s="7" t="inlineStr">
        <is>
          <t>2128</t>
        </is>
      </c>
      <c r="AG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13" t="inlineStr">
        <is>
          <t>P-35 &gt; FFG-Frigate &gt; Enterprise Air Surveillance Radar (EASR) &gt; Major Hardware                                                                           2</t>
        </is>
      </c>
      <c r="AD1369" s="7" t="inlineStr">
        <is>
          <t>281</t>
        </is>
      </c>
      <c r="AE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13" t="inlineStr">
        <is>
          <t>P-35 &gt; FFG-Frigate &gt; Enterprise Air Surveillance Radar (EASR) &gt; System Engineering</t>
        </is>
      </c>
      <c r="AD1370" s="7" t="inlineStr">
        <is>
          <t>281</t>
        </is>
      </c>
      <c r="AE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13" t="inlineStr">
        <is>
          <t>P-35 &gt; FFG-Frigate &gt; Enterprise Air Surveillance Radar (EASR) &gt; Technical Engineering Services</t>
        </is>
      </c>
      <c r="AD1371" s="7" t="inlineStr">
        <is>
          <t>281</t>
        </is>
      </c>
      <c r="AE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13" t="inlineStr">
        <is>
          <t>P-35 &gt; FFG-Frigate &gt; Enterprise Air Surveillance Radar (EASR) &gt; Other Costs</t>
        </is>
      </c>
      <c r="AD1372" s="7" t="inlineStr">
        <is>
          <t>281</t>
        </is>
      </c>
      <c r="AE1372" s="7" t="inlineStr">
        <is>
          <t>2128</t>
        </is>
      </c>
      <c r="AG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13" t="inlineStr">
        <is>
          <t>P-35 &gt; FFG-Frigate &gt; AEGIS Weapon System (AWS) &gt; Major Hardware                                                                        2</t>
        </is>
      </c>
      <c r="AD1373" s="7" t="inlineStr">
        <is>
          <t>282</t>
        </is>
      </c>
      <c r="AE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13" t="inlineStr">
        <is>
          <t>P-35 &gt; FFG-Frigate &gt; AEGIS Weapon System (AWS) &gt; System Engineering</t>
        </is>
      </c>
      <c r="AD1374" s="7" t="inlineStr">
        <is>
          <t>282</t>
        </is>
      </c>
      <c r="AE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13" t="inlineStr">
        <is>
          <t>P-35 &gt; FFG-Frigate &gt; AEGIS Weapon System (AWS) &gt; Technical Engineering Services</t>
        </is>
      </c>
      <c r="AD1375" s="7" t="inlineStr">
        <is>
          <t>282</t>
        </is>
      </c>
      <c r="AE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13" t="inlineStr">
        <is>
          <t>P-35 &gt; FFG-Frigate &gt; AEGIS Weapon System (AWS) &gt; Other Costs</t>
        </is>
      </c>
      <c r="AD1376" s="7" t="inlineStr">
        <is>
          <t>282</t>
        </is>
      </c>
      <c r="AE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13" t="inlineStr">
        <is>
          <t>P-35 &gt; FFG-Frigate &gt; Anti-Submarine Warfare (ASW) Combat Suite &gt; Major Hardware                                                                      2</t>
        </is>
      </c>
      <c r="AD1377" s="7" t="inlineStr">
        <is>
          <t>283</t>
        </is>
      </c>
      <c r="AE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13" t="inlineStr">
        <is>
          <t>P-35 &gt; FFG-Frigate &gt; Anti-Submarine Warfare (ASW) Combat Suite &gt; System Engineering</t>
        </is>
      </c>
      <c r="AD1378" s="7" t="inlineStr">
        <is>
          <t>283</t>
        </is>
      </c>
      <c r="AE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13" t="inlineStr">
        <is>
          <t>P-35 &gt; FFG-Frigate &gt; Anti-Submarine Warfare (ASW) Combat Suite &gt; Technical Engineering Services</t>
        </is>
      </c>
      <c r="AD1379" s="7" t="inlineStr">
        <is>
          <t>283</t>
        </is>
      </c>
      <c r="AE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13" t="inlineStr">
        <is>
          <t>P-35 &gt; FFG-Frigate &gt; Anti-Submarine Warfare (ASW) Combat Suite &gt; Other Costs</t>
        </is>
      </c>
      <c r="AD1380" s="7" t="inlineStr">
        <is>
          <t>283</t>
        </is>
      </c>
      <c r="AE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13" t="inlineStr">
        <is>
          <t>P-35 &gt; FFG-Frigate &gt; Surface Electronic Warfare Improvement Program (SEWIP) BLK II (SLQ-32(V)6) &gt; Major Hardware                                                                        2</t>
        </is>
      </c>
      <c r="AD1381" s="7" t="inlineStr">
        <is>
          <t>284</t>
        </is>
      </c>
      <c r="AE1381" s="7" t="inlineStr">
        <is>
          <t>2128</t>
        </is>
      </c>
      <c r="AG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13" t="inlineStr">
        <is>
          <t>P-35 &gt; FFG-Frigate &gt; Surface Electronic Warfare Improvement Program (SEWIP) BLK II (SLQ-32(V)6) &gt; System Engineering</t>
        </is>
      </c>
      <c r="AD1382" s="7" t="inlineStr">
        <is>
          <t>284</t>
        </is>
      </c>
      <c r="AE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13" t="inlineStr">
        <is>
          <t>P-35 &gt; FFG-Frigate &gt; Surface Electronic Warfare Improvement Program (SEWIP) BLK II (SLQ-32(V)6) &gt; Technical Engineering Services</t>
        </is>
      </c>
      <c r="AD1383" s="7" t="inlineStr">
        <is>
          <t>284</t>
        </is>
      </c>
      <c r="AE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13" t="inlineStr">
        <is>
          <t>P-35 &gt; FFG-Frigate &gt; Surface Electronic Warfare Improvement Program (SEWIP) BLK II (SLQ-32(V)6) &gt; Other Costs</t>
        </is>
      </c>
      <c r="AD1384" s="7" t="inlineStr">
        <is>
          <t>284</t>
        </is>
      </c>
      <c r="AE1384" s="7" t="inlineStr">
        <is>
          <t>2128</t>
        </is>
      </c>
      <c r="AG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13" t="inlineStr">
        <is>
          <t>P-35 &gt; FFG-Frigate &gt; Tactical COMINT System- Spectral &gt; Major Hardware                                                                          2</t>
        </is>
      </c>
      <c r="AD1385" s="7" t="inlineStr">
        <is>
          <t>285</t>
        </is>
      </c>
      <c r="AE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13" t="inlineStr">
        <is>
          <t>P-35 &gt; FFG-Frigate &gt; Tactical COMINT System- Spectral &gt; Technical Engineering Services</t>
        </is>
      </c>
      <c r="AD1386" s="7" t="inlineStr">
        <is>
          <t>285</t>
        </is>
      </c>
      <c r="AE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13" t="inlineStr">
        <is>
          <t>P-35 &gt; FFG-Frigate &gt; Tactical COMINT System- Spectral &gt; Other Costs</t>
        </is>
      </c>
      <c r="AD1387" s="7" t="inlineStr">
        <is>
          <t>285</t>
        </is>
      </c>
      <c r="AE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13" t="inlineStr">
        <is>
          <t>P-35 &gt; FFG-Frigate &gt; Tactical COMINT System- Spectral &gt; Systems Engineering</t>
        </is>
      </c>
      <c r="AD1388" s="7" t="inlineStr">
        <is>
          <t>285</t>
        </is>
      </c>
      <c r="AE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13" t="inlineStr">
        <is>
          <t>P-35 &gt; FFG-Frigate &gt; Cooperative Engagement Capability (CEC) &gt; Major Hardware                                                                       2</t>
        </is>
      </c>
      <c r="AD1389" s="7" t="inlineStr">
        <is>
          <t>286</t>
        </is>
      </c>
      <c r="AE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13" t="inlineStr">
        <is>
          <t>P-35 &gt; FFG-Frigate &gt; Cooperative Engagement Capability (CEC) &gt; System Engineering</t>
        </is>
      </c>
      <c r="AD1390" s="7" t="inlineStr">
        <is>
          <t>286</t>
        </is>
      </c>
      <c r="AE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13" t="inlineStr">
        <is>
          <t>P-35 &gt; FFG-Frigate &gt; Cooperative Engagement Capability (CEC) &gt; Technical Engineering Services</t>
        </is>
      </c>
      <c r="AD1391" s="7" t="inlineStr">
        <is>
          <t>286</t>
        </is>
      </c>
      <c r="AE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13" t="inlineStr">
        <is>
          <t>P-35 &gt; FFG-Frigate &gt; Cooperative Engagement Capability (CEC) &gt; Other Costs</t>
        </is>
      </c>
      <c r="AD1392" s="7" t="inlineStr">
        <is>
          <t>286</t>
        </is>
      </c>
      <c r="AE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13" t="inlineStr">
        <is>
          <t>P-35 &gt; FFG-Frigate &gt; Identification Friend or Foe (IFF) UPX-29 &gt; Major Hardware                                                                              2</t>
        </is>
      </c>
      <c r="AD1393" s="7" t="inlineStr">
        <is>
          <t>287</t>
        </is>
      </c>
      <c r="AE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13" t="inlineStr">
        <is>
          <t>P-35 &gt; FFG-Frigate &gt; Identification Friend or Foe (IFF) UPX-29 &gt; System Engineering</t>
        </is>
      </c>
      <c r="AD1394" s="7" t="inlineStr">
        <is>
          <t>287</t>
        </is>
      </c>
      <c r="AE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13" t="inlineStr">
        <is>
          <t>P-35 &gt; FFG-Frigate &gt; Identification Friend or Foe (IFF) UPX-29 &gt; Technical Engineering Services</t>
        </is>
      </c>
      <c r="AD1395" s="7" t="inlineStr">
        <is>
          <t>287</t>
        </is>
      </c>
      <c r="AE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13" t="inlineStr">
        <is>
          <t>P-35 &gt; FFG-Frigate &gt; Identification Friend or Foe (IFF) UPX-29 &gt; Other Costs</t>
        </is>
      </c>
      <c r="AD1396" s="7" t="inlineStr">
        <is>
          <t>287</t>
        </is>
      </c>
      <c r="AE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13" t="inlineStr">
        <is>
          <t>P-35 &gt; FFG-Frigate &gt; External Communication Suite (EXCOMM) &gt; Major Hardware                                                                     2</t>
        </is>
      </c>
      <c r="AD1397" s="7" t="inlineStr">
        <is>
          <t>288</t>
        </is>
      </c>
      <c r="AE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13" t="inlineStr">
        <is>
          <t>P-35 &gt; FFG-Frigate &gt; External Communication Suite (EXCOMM) &gt; System Engineering</t>
        </is>
      </c>
      <c r="AD1398" s="7" t="inlineStr">
        <is>
          <t>288</t>
        </is>
      </c>
      <c r="AE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13" t="inlineStr">
        <is>
          <t>P-35 &gt; FFG-Frigate &gt; External Communication Suite (EXCOMM) &gt; Technical Engineering Services</t>
        </is>
      </c>
      <c r="AD1399" s="7" t="inlineStr">
        <is>
          <t>288</t>
        </is>
      </c>
      <c r="AE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13" t="inlineStr">
        <is>
          <t>P-35 &gt; FFG-Frigate &gt; External Communication Suite (EXCOMM) &gt; Other Costs</t>
        </is>
      </c>
      <c r="AD1400" s="7" t="inlineStr">
        <is>
          <t>288</t>
        </is>
      </c>
      <c r="AE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13" t="inlineStr">
        <is>
          <t>P-35 &gt; FFG-Frigate &gt; Navy Advanced Extremely High Frequency (AEHF) Multiband Terminal (NMT)(AN/WSC-9(V)1)) &gt; Major Hardware                                                                           2</t>
        </is>
      </c>
      <c r="AD1401" s="7" t="inlineStr">
        <is>
          <t>289</t>
        </is>
      </c>
      <c r="AE1401" s="7" t="inlineStr">
        <is>
          <t>2128</t>
        </is>
      </c>
      <c r="AG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13" t="inlineStr">
        <is>
          <t>P-35 &gt; FFG-Frigate &gt; Navy Advanced Extremely High Frequency (AEHF) Multiband Terminal (NMT)(AN/WSC-9(V)1)) &gt; System Engineering</t>
        </is>
      </c>
      <c r="AD1402" s="7" t="inlineStr">
        <is>
          <t>289</t>
        </is>
      </c>
      <c r="AE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13" t="inlineStr">
        <is>
          <t>P-35 &gt; FFG-Frigate &gt; Navy Advanced Extremely High Frequency (AEHF) Multiband Terminal (NMT)(AN/WSC-9(V)1)) &gt; Technical Engineering Services</t>
        </is>
      </c>
      <c r="AD1403" s="7" t="inlineStr">
        <is>
          <t>289</t>
        </is>
      </c>
      <c r="AE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13" t="inlineStr">
        <is>
          <t>P-35 &gt; FFG-Frigate &gt; Navy Advanced Extremely High Frequency (AEHF) Multiband Terminal (NMT)(AN/WSC-9(V)1)) &gt; Other Costs</t>
        </is>
      </c>
      <c r="AD1404" s="7" t="inlineStr">
        <is>
          <t>289</t>
        </is>
      </c>
      <c r="AE1404" s="7" t="inlineStr">
        <is>
          <t>2128</t>
        </is>
      </c>
      <c r="AG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13" t="inlineStr">
        <is>
          <t>P-35 &gt; FFG-Frigate &gt; Consolidated Afloat Network Enterprise System (CANES) &gt; Major Hardware                                                                         2</t>
        </is>
      </c>
      <c r="AD1405" s="7" t="inlineStr">
        <is>
          <t>290</t>
        </is>
      </c>
      <c r="AE1405" s="7" t="inlineStr">
        <is>
          <t>2128</t>
        </is>
      </c>
      <c r="AG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13" t="inlineStr">
        <is>
          <t>P-35 &gt; FFG-Frigate &gt; Consolidated Afloat Network Enterprise System (CANES) &gt; System Engineering</t>
        </is>
      </c>
      <c r="AD1406" s="7" t="inlineStr">
        <is>
          <t>290</t>
        </is>
      </c>
      <c r="AE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13" t="inlineStr">
        <is>
          <t>P-35 &gt; FFG-Frigate &gt; Consolidated Afloat Network Enterprise System (CANES) &gt; Technical Engineering Services</t>
        </is>
      </c>
      <c r="AD1407" s="7" t="inlineStr">
        <is>
          <t>290</t>
        </is>
      </c>
      <c r="AE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13" t="inlineStr">
        <is>
          <t>P-35 &gt; FFG-Frigate &gt; Consolidated Afloat Network Enterprise System (CANES) &gt; Other Costs</t>
        </is>
      </c>
      <c r="AD1408" s="7" t="inlineStr">
        <is>
          <t>290</t>
        </is>
      </c>
      <c r="AE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13" t="inlineStr">
        <is>
          <t>P-35 &gt; FFG-Frigate &gt; Network Tactical Common Data Link (NTCDL) Variant B &gt; Major Hardware                                                                        2</t>
        </is>
      </c>
      <c r="AD1409" s="7" t="inlineStr">
        <is>
          <t>291</t>
        </is>
      </c>
      <c r="AE1409" s="7" t="inlineStr">
        <is>
          <t>2128</t>
        </is>
      </c>
      <c r="AG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13" t="inlineStr">
        <is>
          <t>P-35 &gt; FFG-Frigate &gt; Network Tactical Common Data Link (NTCDL) Variant B &gt; System Engineering</t>
        </is>
      </c>
      <c r="AD1410" s="7" t="inlineStr">
        <is>
          <t>291</t>
        </is>
      </c>
      <c r="AE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13" t="inlineStr">
        <is>
          <t>P-35 &gt; FFG-Frigate &gt; Network Tactical Common Data Link (NTCDL) Variant B &gt; Technical Engineering Services</t>
        </is>
      </c>
      <c r="AD1411" s="7" t="inlineStr">
        <is>
          <t>291</t>
        </is>
      </c>
      <c r="AE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13" t="inlineStr">
        <is>
          <t>P-35 &gt; FFG-Frigate &gt; Network Tactical Common Data Link (NTCDL) Variant B &gt; Other Costs</t>
        </is>
      </c>
      <c r="AD1412" s="7" t="inlineStr">
        <is>
          <t>291</t>
        </is>
      </c>
      <c r="AE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13" t="inlineStr">
        <is>
          <t>P-35 &gt; FFG-Frigate &gt; Inertial Navigation System (INS) AN/WSN-7(V)1 &gt; Major Hardware                                                                     2</t>
        </is>
      </c>
      <c r="AD1413" s="7" t="inlineStr">
        <is>
          <t>292</t>
        </is>
      </c>
      <c r="AE1413" s="7" t="inlineStr">
        <is>
          <t>2128</t>
        </is>
      </c>
      <c r="AG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13" t="inlineStr">
        <is>
          <t>P-35 &gt; FFG-Frigate &gt; Inertial Navigation System (INS) AN/WSN-7(V)1 &gt; System Engineering</t>
        </is>
      </c>
      <c r="AD1414" s="7" t="inlineStr">
        <is>
          <t>292</t>
        </is>
      </c>
      <c r="AE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13" t="inlineStr">
        <is>
          <t>P-35 &gt; FFG-Frigate &gt; Inertial Navigation System (INS) AN/WSN-7(V)1 &gt; Technical Engineering Services</t>
        </is>
      </c>
      <c r="AD1415" s="7" t="inlineStr">
        <is>
          <t>292</t>
        </is>
      </c>
      <c r="AE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13" t="inlineStr">
        <is>
          <t>P-35 &gt; FFG-Frigate &gt; Inertial Navigation System (INS) AN/WSN-7(V)1 &gt; Other Costs</t>
        </is>
      </c>
      <c r="AD1416" s="7" t="inlineStr">
        <is>
          <t>292</t>
        </is>
      </c>
      <c r="AE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13" t="inlineStr">
        <is>
          <t>P-35 &gt; FFG-Frigate &gt; Situation Awareness EO/IR &gt; Major Hardware                                                                       2</t>
        </is>
      </c>
      <c r="AD1417" s="7" t="inlineStr">
        <is>
          <t>293</t>
        </is>
      </c>
      <c r="AE1417" s="7" t="inlineStr">
        <is>
          <t>2128</t>
        </is>
      </c>
      <c r="AG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13" t="inlineStr">
        <is>
          <t>P-35 &gt; FFG-Frigate &gt; Situation Awareness EO/IR &gt; System Engineering</t>
        </is>
      </c>
      <c r="AD1418" s="7" t="inlineStr">
        <is>
          <t>293</t>
        </is>
      </c>
      <c r="AE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13" t="inlineStr">
        <is>
          <t>P-35 &gt; FFG-Frigate &gt; Situation Awareness EO/IR &gt; Technical Engineering Services</t>
        </is>
      </c>
      <c r="AD1419" s="7" t="inlineStr">
        <is>
          <t>293</t>
        </is>
      </c>
      <c r="AE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13" t="inlineStr">
        <is>
          <t>P-35 &gt; FFG-Frigate &gt; Situation Awareness EO/IR &gt; Other Costs</t>
        </is>
      </c>
      <c r="AD1420" s="7" t="inlineStr">
        <is>
          <t>293</t>
        </is>
      </c>
      <c r="AE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13" t="inlineStr">
        <is>
          <t>P-35 &gt; FFG-Frigate &gt; NIXIE AN/SLQ-25E &gt; Major Hardware                                                                     2</t>
        </is>
      </c>
      <c r="AD1421" s="7" t="inlineStr">
        <is>
          <t>294</t>
        </is>
      </c>
      <c r="AE1421" s="7" t="inlineStr">
        <is>
          <t>2128</t>
        </is>
      </c>
      <c r="AG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13" t="inlineStr">
        <is>
          <t>P-35 &gt; FFG-Frigate &gt; NIXIE AN/SLQ-25E &gt; System Engineering</t>
        </is>
      </c>
      <c r="AD1422" s="7" t="inlineStr">
        <is>
          <t>294</t>
        </is>
      </c>
      <c r="AE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13" t="inlineStr">
        <is>
          <t>P-35 &gt; FFG-Frigate &gt; NIXIE AN/SLQ-25E &gt; Technical Engineering Services</t>
        </is>
      </c>
      <c r="AD1423" s="7" t="inlineStr">
        <is>
          <t>294</t>
        </is>
      </c>
      <c r="AE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13" t="inlineStr">
        <is>
          <t>P-35 &gt; FFG-Frigate &gt; NIXIE AN/SLQ-25E &gt; Other Costs</t>
        </is>
      </c>
      <c r="AD1424" s="7" t="inlineStr">
        <is>
          <t>294</t>
        </is>
      </c>
      <c r="AE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13" t="inlineStr">
        <is>
          <t>P-35 &gt; FFG-Frigate &gt; Situational Awareness Boundary Enforcement Response Navigation (SABER NAV) &gt; Major Hardware                                                                         2</t>
        </is>
      </c>
      <c r="AD1425" s="7" t="inlineStr">
        <is>
          <t>295</t>
        </is>
      </c>
      <c r="AE1425" s="7" t="inlineStr">
        <is>
          <t>2128</t>
        </is>
      </c>
      <c r="AG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13" t="inlineStr">
        <is>
          <t>P-35 &gt; FFG-Frigate &gt; Situational Awareness Boundary Enforcement Response Navigation (SABER NAV) &gt; System Engineering</t>
        </is>
      </c>
      <c r="AD1426" s="7" t="inlineStr">
        <is>
          <t>295</t>
        </is>
      </c>
      <c r="AE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13" t="inlineStr">
        <is>
          <t>P-35 &gt; FFG-Frigate &gt; Situational Awareness Boundary Enforcement Response Navigation (SABER NAV) &gt; Technical Engineering Services</t>
        </is>
      </c>
      <c r="AD1427" s="7" t="inlineStr">
        <is>
          <t>295</t>
        </is>
      </c>
      <c r="AE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13" t="inlineStr">
        <is>
          <t>P-35 &gt; FFG-Frigate &gt; Situational Awareness Boundary Enforcement Response Navigation (SABER NAV) &gt; Other Costs</t>
        </is>
      </c>
      <c r="AD1428" s="7" t="inlineStr">
        <is>
          <t>295</t>
        </is>
      </c>
      <c r="AE1428" s="7" t="inlineStr">
        <is>
          <t>2128</t>
        </is>
      </c>
      <c r="AG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13" t="inlineStr">
        <is>
          <t>P-35 &gt; FFG-Frigate &gt; Platform Boundary Defense (PBD) &gt; Major Hardware                                                                        2</t>
        </is>
      </c>
      <c r="AD1429" s="7" t="inlineStr">
        <is>
          <t>296</t>
        </is>
      </c>
      <c r="AE1429" s="7" t="inlineStr">
        <is>
          <t>2128</t>
        </is>
      </c>
      <c r="AG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13" t="inlineStr">
        <is>
          <t>P-35 &gt; FFG-Frigate &gt; Platform Boundary Defense (PBD) &gt; System Engineering</t>
        </is>
      </c>
      <c r="AD1430" s="7" t="inlineStr">
        <is>
          <t>296</t>
        </is>
      </c>
      <c r="AE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13" t="inlineStr">
        <is>
          <t>P-35 &gt; FFG-Frigate &gt; Platform Boundary Defense (PBD) &gt; Technical Engineering Services</t>
        </is>
      </c>
      <c r="AD1431" s="7" t="inlineStr">
        <is>
          <t>296</t>
        </is>
      </c>
      <c r="AE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13" t="inlineStr">
        <is>
          <t>P-35 &gt; FFG-Frigate &gt; Platform Boundary Defense (PBD) &gt; Other Costs</t>
        </is>
      </c>
      <c r="AD1432" s="7" t="inlineStr">
        <is>
          <t>296</t>
        </is>
      </c>
      <c r="AE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13" t="inlineStr">
        <is>
          <t>P-35 &gt; FFG-Frigate &gt; Aircraft Ship Integrated Securing and Traversing System (ASIST) &gt; Major Hardware                                                                      2</t>
        </is>
      </c>
      <c r="AD1433" s="7" t="inlineStr">
        <is>
          <t>297</t>
        </is>
      </c>
      <c r="AE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13" t="inlineStr">
        <is>
          <t>P-35 &gt; FFG-Frigate &gt; Aircraft Ship Integrated Securing and Traversing System (ASIST) &gt; System Engineering</t>
        </is>
      </c>
      <c r="AD1434" s="7" t="inlineStr">
        <is>
          <t>297</t>
        </is>
      </c>
      <c r="AE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13" t="inlineStr">
        <is>
          <t>P-35 &gt; FFG-Frigate &gt; Aircraft Ship Integrated Securing and Traversing System (ASIST) &gt; Technical Engineering Services</t>
        </is>
      </c>
      <c r="AD1435" s="7" t="inlineStr">
        <is>
          <t>297</t>
        </is>
      </c>
      <c r="AE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13" t="inlineStr">
        <is>
          <t>P-35 &gt; FFG-Frigate &gt; Aircraft Ship Integrated Securing and Traversing System (ASIST) &gt; Other Costs</t>
        </is>
      </c>
      <c r="AD1436" s="7" t="inlineStr">
        <is>
          <t>297</t>
        </is>
      </c>
      <c r="AE1436" s="7" t="inlineStr">
        <is>
          <t>2128</t>
        </is>
      </c>
      <c r="AG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13" t="inlineStr">
        <is>
          <t>P-35 &gt; FFG-Frigate &gt; Internal Communication (IC) Voice &gt; Major Hardware                                                                      2</t>
        </is>
      </c>
      <c r="AD1437" s="7" t="inlineStr">
        <is>
          <t>298</t>
        </is>
      </c>
      <c r="AE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13" t="inlineStr">
        <is>
          <t>P-35 &gt; FFG-Frigate &gt; Internal Communication (IC) Voice &gt; System Engineering</t>
        </is>
      </c>
      <c r="AD1438" s="7" t="inlineStr">
        <is>
          <t>298</t>
        </is>
      </c>
      <c r="AE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13" t="inlineStr">
        <is>
          <t>P-35 &gt; FFG-Frigate &gt; Internal Communication (IC) Voice &gt; Technical Engineering Services</t>
        </is>
      </c>
      <c r="AD1439" s="7" t="inlineStr">
        <is>
          <t>298</t>
        </is>
      </c>
      <c r="AE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13" t="inlineStr">
        <is>
          <t>P-35 &gt; FFG-Frigate &gt; Internal Communication (IC) Voice &gt; Other Costs</t>
        </is>
      </c>
      <c r="AD1440" s="7" t="inlineStr">
        <is>
          <t>298</t>
        </is>
      </c>
      <c r="AE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13" t="inlineStr">
        <is>
          <t>P-35 &gt; FFG-Frigate &gt; MK 41 Vertical Launch System (VLS)- 32 Cell &gt; Major Hardware                                                                       2</t>
        </is>
      </c>
      <c r="AD1441" s="7" t="inlineStr">
        <is>
          <t>299</t>
        </is>
      </c>
      <c r="AE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13" t="inlineStr">
        <is>
          <t>P-35 &gt; FFG-Frigate &gt; MK 41 Vertical Launch System (VLS)- 32 Cell &gt; System Engineering</t>
        </is>
      </c>
      <c r="AD1442" s="7" t="inlineStr">
        <is>
          <t>299</t>
        </is>
      </c>
      <c r="AE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13" t="inlineStr">
        <is>
          <t>P-35 &gt; FFG-Frigate &gt; MK 41 Vertical Launch System (VLS)- 32 Cell &gt; Other Costs</t>
        </is>
      </c>
      <c r="AD1443" s="7" t="inlineStr">
        <is>
          <t>299</t>
        </is>
      </c>
      <c r="AE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13" t="inlineStr">
        <is>
          <t>P-35 &gt; FFG-Frigate &gt; MK 48 Gun Weapon System (GWS) &gt; Major Hardware                                                                         2</t>
        </is>
      </c>
      <c r="AD1444" s="7" t="inlineStr">
        <is>
          <t>300</t>
        </is>
      </c>
      <c r="AE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13" t="inlineStr">
        <is>
          <t>P-35 &gt; FFG-Frigate &gt; MK 48 Gun Weapon System (GWS) &gt; System Engineering</t>
        </is>
      </c>
      <c r="AD1445" s="7" t="inlineStr">
        <is>
          <t>300</t>
        </is>
      </c>
      <c r="AE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13" t="inlineStr">
        <is>
          <t>P-35 &gt; FFG-Frigate &gt; MK 48 Gun Weapon System (GWS) &gt; Technical Engineering Services</t>
        </is>
      </c>
      <c r="AD1446" s="7" t="inlineStr">
        <is>
          <t>300</t>
        </is>
      </c>
      <c r="AE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13" t="inlineStr">
        <is>
          <t>P-35 &gt; FFG-Frigate &gt; MK 48 Gun Weapon System (GWS) &gt; Other Costs</t>
        </is>
      </c>
      <c r="AD1447" s="7" t="inlineStr">
        <is>
          <t>300</t>
        </is>
      </c>
      <c r="AE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13" t="inlineStr">
        <is>
          <t>P-35 &gt; FFG-Frigate &gt; Rolling Airframe Missile (RAM) Guided Missile Launching System- 21 Cell &gt; Major Hardware                                                                         2</t>
        </is>
      </c>
      <c r="AD1448" s="7" t="inlineStr">
        <is>
          <t>301</t>
        </is>
      </c>
      <c r="AE1448" s="7" t="inlineStr">
        <is>
          <t>2128</t>
        </is>
      </c>
      <c r="AG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13" t="inlineStr">
        <is>
          <t>P-35 &gt; FFG-Frigate &gt; Rolling Airframe Missile (RAM) Guided Missile Launching System- 21 Cell &gt; System Engineering</t>
        </is>
      </c>
      <c r="AD1449" s="7" t="inlineStr">
        <is>
          <t>301</t>
        </is>
      </c>
      <c r="AE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13" t="inlineStr">
        <is>
          <t>P-35 &gt; FFG-Frigate &gt; Rolling Airframe Missile (RAM) Guided Missile Launching System- 21 Cell &gt; Technical Engineering Services</t>
        </is>
      </c>
      <c r="AD1450" s="7" t="inlineStr">
        <is>
          <t>301</t>
        </is>
      </c>
      <c r="AE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13" t="inlineStr">
        <is>
          <t>P-35 &gt; FFG-Frigate &gt; Rolling Airframe Missile (RAM) Guided Missile Launching System- 21 Cell &gt; Other Costs</t>
        </is>
      </c>
      <c r="AD1451" s="7" t="inlineStr">
        <is>
          <t>301</t>
        </is>
      </c>
      <c r="AE1451" s="7" t="inlineStr">
        <is>
          <t>2128</t>
        </is>
      </c>
      <c r="AG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13" t="inlineStr">
        <is>
          <t>P-5c &gt; LPD Flight II &gt; Basic Construction</t>
        </is>
      </c>
      <c r="AD1452" s="7" t="inlineStr">
        <is>
          <t>306</t>
        </is>
      </c>
      <c r="AE1452" s="7" t="inlineStr">
        <is>
          <t>3010</t>
        </is>
      </c>
      <c r="AG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13" t="inlineStr">
        <is>
          <t>P-5c &gt; LPD Flight II &gt; Change Orders</t>
        </is>
      </c>
      <c r="AD1453" s="7" t="inlineStr">
        <is>
          <t>306</t>
        </is>
      </c>
      <c r="AE1453" s="7" t="inlineStr">
        <is>
          <t>3010</t>
        </is>
      </c>
      <c r="AG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13" t="inlineStr">
        <is>
          <t>P-5c &gt; LPD Flight II &gt; Electronics</t>
        </is>
      </c>
      <c r="AD1454" s="7" t="inlineStr">
        <is>
          <t>306</t>
        </is>
      </c>
      <c r="AE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13" t="inlineStr">
        <is>
          <t>P-5c &gt; LPD Flight II &gt; Hull, Mechanical, and Electrical</t>
        </is>
      </c>
      <c r="AD1455" s="7" t="inlineStr">
        <is>
          <t>306</t>
        </is>
      </c>
      <c r="AE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13" t="inlineStr">
        <is>
          <t>P-5c &gt; LPD Flight II &gt; Ordnance</t>
        </is>
      </c>
      <c r="AD1456" s="7" t="inlineStr">
        <is>
          <t>306</t>
        </is>
      </c>
      <c r="AE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13" t="inlineStr">
        <is>
          <t>P-5c &gt; LPD Flight II &gt; Other Cost</t>
        </is>
      </c>
      <c r="AD1457" s="7" t="inlineStr">
        <is>
          <t>306</t>
        </is>
      </c>
      <c r="AE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13" t="inlineStr">
        <is>
          <t>P-8a &gt; LPD Flight II &gt; Electronics &gt; Mission Systems 1</t>
        </is>
      </c>
      <c r="AD1458" s="7" t="inlineStr">
        <is>
          <t>308</t>
        </is>
      </c>
      <c r="AE1458" s="7" t="inlineStr">
        <is>
          <t>3010</t>
        </is>
      </c>
      <c r="AG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13" t="inlineStr">
        <is>
          <t>P-8a &gt; LPD Flight II &gt; Electronics &gt; C4ISR 1</t>
        </is>
      </c>
      <c r="AD1459" s="7" t="inlineStr">
        <is>
          <t>308</t>
        </is>
      </c>
      <c r="AE1459" s="7" t="inlineStr">
        <is>
          <t>3010</t>
        </is>
      </c>
      <c r="AG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13" t="inlineStr">
        <is>
          <t>P-8a &gt; LPD Flight II &gt; Electronics &gt; Ship Self Defense System (SSDS) 1</t>
        </is>
      </c>
      <c r="AD1460" s="7" t="inlineStr">
        <is>
          <t>308</t>
        </is>
      </c>
      <c r="AE1460" s="7" t="inlineStr">
        <is>
          <t>3010</t>
        </is>
      </c>
      <c r="AG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13" t="inlineStr">
        <is>
          <t>P-8a &gt; LPD Flight II &gt; Electronics &gt; Cooperative Engagement Capability (CEC) 1</t>
        </is>
      </c>
      <c r="AD1461" s="7" t="inlineStr">
        <is>
          <t>308</t>
        </is>
      </c>
      <c r="AE1461" s="7" t="inlineStr">
        <is>
          <t>3010</t>
        </is>
      </c>
      <c r="AG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13" t="inlineStr">
        <is>
          <t>P-8a &gt; LPD Flight II &gt; Electronics &gt; Interrogator System IFF (Identification Friend or Foe) 1</t>
        </is>
      </c>
      <c r="AD1462" s="7" t="inlineStr">
        <is>
          <t>308</t>
        </is>
      </c>
      <c r="AE1462" s="7" t="inlineStr">
        <is>
          <t>3010</t>
        </is>
      </c>
      <c r="AG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13" t="inlineStr">
        <is>
          <t>P-8a &gt; LPD Flight II &gt; Electronics &gt; AN/SLQ-32(V)6 Surface Electronic Warfare Improvement Program (SEWIP) 1</t>
        </is>
      </c>
      <c r="AD1463" s="7" t="inlineStr">
        <is>
          <t>308</t>
        </is>
      </c>
      <c r="AE1463" s="7" t="inlineStr">
        <is>
          <t>3010</t>
        </is>
      </c>
      <c r="AG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13" t="inlineStr">
        <is>
          <t>P-8a &gt; LPD Flight II &gt; Electronics &gt; HM&amp;E Condition System (HMECS) 1</t>
        </is>
      </c>
      <c r="AD1464" s="7" t="inlineStr">
        <is>
          <t>308</t>
        </is>
      </c>
      <c r="AE1464" s="7" t="inlineStr">
        <is>
          <t>3010</t>
        </is>
      </c>
      <c r="AG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13" t="inlineStr">
        <is>
          <t>P-8a &gt; LPD Flight II &gt; Electronics &gt; Advanced Training Domain (ATD) 1</t>
        </is>
      </c>
      <c r="AD1465" s="7" t="inlineStr">
        <is>
          <t>308</t>
        </is>
      </c>
      <c r="AE1465" s="7" t="inlineStr">
        <is>
          <t>3010</t>
        </is>
      </c>
      <c r="AG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13" t="inlineStr">
        <is>
          <t>P-8a &gt; LPD Flight II &gt; Electronics &gt; AN/WSN-7(RLGN) 1</t>
        </is>
      </c>
      <c r="AD1466" s="7" t="inlineStr">
        <is>
          <t>308</t>
        </is>
      </c>
      <c r="AE1466" s="7" t="inlineStr">
        <is>
          <t>3010</t>
        </is>
      </c>
      <c r="AG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13" t="inlineStr">
        <is>
          <t>P-8a &gt; LPD Flight II &gt; Electronics &gt; Nulka Decoy Launching System (DLS) 1</t>
        </is>
      </c>
      <c r="AD1467" s="7" t="inlineStr">
        <is>
          <t>308</t>
        </is>
      </c>
      <c r="AE1467" s="7" t="inlineStr">
        <is>
          <t>3010</t>
        </is>
      </c>
      <c r="AG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13" t="inlineStr">
        <is>
          <t>P-8a &gt; LPD Flight II &gt; Electronics &gt; Amphibious Assault Direction System (AADS) 1</t>
        </is>
      </c>
      <c r="AD1468" s="7" t="inlineStr">
        <is>
          <t>308</t>
        </is>
      </c>
      <c r="AE1468" s="7" t="inlineStr">
        <is>
          <t>3010</t>
        </is>
      </c>
      <c r="AG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13" t="inlineStr">
        <is>
          <t>P-8a &gt; LPD Flight II &gt; Electronics &gt; RADIAC 1</t>
        </is>
      </c>
      <c r="AD1469" s="7" t="inlineStr">
        <is>
          <t>308</t>
        </is>
      </c>
      <c r="AE1469" s="7" t="inlineStr">
        <is>
          <t>3010</t>
        </is>
      </c>
      <c r="AG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13" t="inlineStr">
        <is>
          <t>P-8a &gt; LPD Flight II &gt; Electronics &gt; AN/UQN-10 1</t>
        </is>
      </c>
      <c r="AD1470" s="7" t="inlineStr">
        <is>
          <t>308</t>
        </is>
      </c>
      <c r="AE1470" s="7" t="inlineStr">
        <is>
          <t>3010</t>
        </is>
      </c>
      <c r="AG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13" t="inlineStr">
        <is>
          <t>P-8a &gt; LPD Flight II &gt; Electronics &gt; DHYSL 1</t>
        </is>
      </c>
      <c r="AD1471" s="7" t="inlineStr">
        <is>
          <t>308</t>
        </is>
      </c>
      <c r="AE1471" s="7" t="inlineStr">
        <is>
          <t>3010</t>
        </is>
      </c>
      <c r="AG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13" t="inlineStr">
        <is>
          <t>P-8a &gt; LPD Flight II &gt; Electronics &gt; Electronic Charting Display and Information Systems-Navy (ECDIS-N) 1</t>
        </is>
      </c>
      <c r="AD1472" s="7" t="inlineStr">
        <is>
          <t>308</t>
        </is>
      </c>
      <c r="AE1472" s="7" t="inlineStr">
        <is>
          <t>3010</t>
        </is>
      </c>
      <c r="AG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13" t="inlineStr">
        <is>
          <t>P-8a &gt; LPD Flight II &gt; Electronics &gt; Miscellaneous Electronics</t>
        </is>
      </c>
      <c r="AD1473" s="7" t="inlineStr">
        <is>
          <t>308</t>
        </is>
      </c>
      <c r="AE1473" s="7" t="inlineStr">
        <is>
          <t>3010</t>
        </is>
      </c>
      <c r="AG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13" t="inlineStr">
        <is>
          <t>P-8a &gt; LPD Flight II &gt; Electronics &gt; IWS CSI</t>
        </is>
      </c>
      <c r="AD1474" s="7" t="inlineStr">
        <is>
          <t>308</t>
        </is>
      </c>
      <c r="AE1474" s="7" t="inlineStr">
        <is>
          <t>3010</t>
        </is>
      </c>
      <c r="AG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13" t="inlineStr">
        <is>
          <t>P-8a &gt; LPD Flight II &gt; Hull, Mechanical, and Electrical &gt; Boats (Rigid Inflatable Boat, 7 meter) 1</t>
        </is>
      </c>
      <c r="AD1475" s="7" t="inlineStr">
        <is>
          <t>309</t>
        </is>
      </c>
      <c r="AE1475" s="7" t="inlineStr">
        <is>
          <t>3010</t>
        </is>
      </c>
      <c r="AG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13" t="inlineStr">
        <is>
          <t>P-8a &gt; LPD Flight II &gt; Hull, Mechanical, and Electrical &gt; Forklift Trucks 7</t>
        </is>
      </c>
      <c r="AD1476" s="7" t="inlineStr">
        <is>
          <t>309</t>
        </is>
      </c>
      <c r="AE1476" s="7" t="inlineStr">
        <is>
          <t>3010</t>
        </is>
      </c>
      <c r="AG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13" t="inlineStr">
        <is>
          <t>P-8a &gt; LPD Flight II &gt; Hull, Mechanical, and Electrical &gt; Chemical Warfare Detectors 1</t>
        </is>
      </c>
      <c r="AD1477" s="7" t="inlineStr">
        <is>
          <t>309</t>
        </is>
      </c>
      <c r="AE1477" s="7" t="inlineStr">
        <is>
          <t>3010</t>
        </is>
      </c>
      <c r="AG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13" t="inlineStr">
        <is>
          <t>P-8a &gt; LPD Flight II &gt; Hull, Mechanical, and Electrical &gt; Military Payroll System 1</t>
        </is>
      </c>
      <c r="AD1478" s="7" t="inlineStr">
        <is>
          <t>309</t>
        </is>
      </c>
      <c r="AE1478" s="7" t="inlineStr">
        <is>
          <t>3010</t>
        </is>
      </c>
      <c r="AG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13" t="inlineStr">
        <is>
          <t>P-8a &gt; LPD Flight II &gt; Hull, Mechanical, and Electrical &gt; Motor Operated Pilot Valve (MOPV) 1</t>
        </is>
      </c>
      <c r="AD1479" s="7" t="inlineStr">
        <is>
          <t>309</t>
        </is>
      </c>
      <c r="AE1479" s="7" t="inlineStr">
        <is>
          <t>3010</t>
        </is>
      </c>
      <c r="AG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13" t="inlineStr">
        <is>
          <t>P-8a &gt; LPD Flight II &gt; Hull, Mechanical, and Electrical &gt; Oily Water Separator 1</t>
        </is>
      </c>
      <c r="AD1480" s="7" t="inlineStr">
        <is>
          <t>309</t>
        </is>
      </c>
      <c r="AE1480" s="7" t="inlineStr">
        <is>
          <t>3010</t>
        </is>
      </c>
      <c r="AG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13" t="inlineStr">
        <is>
          <t>P-8a &gt; LPD Flight II &gt; Hull, Mechanical, and Electrical &gt; Plastic Waste Processing EQP 1</t>
        </is>
      </c>
      <c r="AD1481" s="7" t="inlineStr">
        <is>
          <t>309</t>
        </is>
      </c>
      <c r="AE1481" s="7" t="inlineStr">
        <is>
          <t>3010</t>
        </is>
      </c>
      <c r="AG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13" t="inlineStr">
        <is>
          <t>P-8a &gt; LPD Flight II &gt; Hull, Mechanical, and Electrical &gt; Unclassified Video System (UVS) 1</t>
        </is>
      </c>
      <c r="AD1482" s="7" t="inlineStr">
        <is>
          <t>309</t>
        </is>
      </c>
      <c r="AE1482" s="7" t="inlineStr">
        <is>
          <t>3010</t>
        </is>
      </c>
      <c r="AG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13" t="inlineStr">
        <is>
          <t>P-8a &gt; LPD Flight II &gt; Ordnance &gt; RAM BLOCK II 2</t>
        </is>
      </c>
      <c r="AD1483" s="7" t="inlineStr">
        <is>
          <t>310</t>
        </is>
      </c>
      <c r="AE1483" s="7" t="inlineStr">
        <is>
          <t>3010</t>
        </is>
      </c>
      <c r="AG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13" t="inlineStr">
        <is>
          <t>P-8a &gt; LPD Flight II &gt; Ordnance &gt; MK 46 GUN 2</t>
        </is>
      </c>
      <c r="AD1484" s="7" t="inlineStr">
        <is>
          <t>310</t>
        </is>
      </c>
      <c r="AE1484" s="7" t="inlineStr">
        <is>
          <t>3010</t>
        </is>
      </c>
      <c r="AG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13" t="inlineStr">
        <is>
          <t>P-8a &gt; LPD Flight II &gt; Ordnance &gt; AN/SPQ-9B Radar Set 1</t>
        </is>
      </c>
      <c r="AD1485" s="7" t="inlineStr">
        <is>
          <t>310</t>
        </is>
      </c>
      <c r="AE1485" s="7" t="inlineStr">
        <is>
          <t>3010</t>
        </is>
      </c>
      <c r="AG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13" t="inlineStr">
        <is>
          <t>P-8a &gt; LPD Flight II &gt; Ordnance &gt; EASR 1</t>
        </is>
      </c>
      <c r="AD1486" s="7" t="inlineStr">
        <is>
          <t>310</t>
        </is>
      </c>
      <c r="AE1486" s="7" t="inlineStr">
        <is>
          <t>3010</t>
        </is>
      </c>
      <c r="AG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13" t="inlineStr">
        <is>
          <t>P-8a &gt; LPD Flight II &gt; Ordnance &gt; ASGSI/HOSS/MWS Fit Control &amp; Inst Land Sys 1</t>
        </is>
      </c>
      <c r="AD1487" s="7" t="inlineStr">
        <is>
          <t>310</t>
        </is>
      </c>
      <c r="AE1487" s="7" t="inlineStr">
        <is>
          <t>3010</t>
        </is>
      </c>
      <c r="AG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13" t="inlineStr">
        <is>
          <t>P-8a &gt; LPD Flight II &gt; Ordnance &gt; ORDNANCE HANDLING EQUIPMENT 1</t>
        </is>
      </c>
      <c r="AD1488" s="7" t="inlineStr">
        <is>
          <t>310</t>
        </is>
      </c>
      <c r="AE1488" s="7" t="inlineStr">
        <is>
          <t>3010</t>
        </is>
      </c>
      <c r="AG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13" t="inlineStr">
        <is>
          <t>P-8a &gt; LPD Flight II &gt; Ordnance &gt; Next Generation Surface Search Radar (NGSSR) 1</t>
        </is>
      </c>
      <c r="AD1489" s="7" t="inlineStr">
        <is>
          <t>310</t>
        </is>
      </c>
      <c r="AE1489" s="7" t="inlineStr">
        <is>
          <t>3010</t>
        </is>
      </c>
      <c r="AG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13" t="inlineStr">
        <is>
          <t>P-8a &gt; LPD Flight II &gt; Ordnance &gt; MISCELLANEOUS ORDNANCE</t>
        </is>
      </c>
      <c r="AD1490" s="7" t="inlineStr">
        <is>
          <t>310</t>
        </is>
      </c>
      <c r="AE1490" s="7" t="inlineStr">
        <is>
          <t>3010</t>
        </is>
      </c>
      <c r="AG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13" t="inlineStr">
        <is>
          <t>P-35 &gt; LPD Flight II &gt; Mission Systems &gt; Major Hardware                                                                                                                                                 1</t>
        </is>
      </c>
      <c r="AD1491" s="7" t="inlineStr">
        <is>
          <t>311</t>
        </is>
      </c>
      <c r="AE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13" t="inlineStr">
        <is>
          <t>P-35 &gt; LPD Flight II &gt; Mission Systems &gt; Other Costs</t>
        </is>
      </c>
      <c r="AD1492" s="7" t="inlineStr">
        <is>
          <t>311</t>
        </is>
      </c>
      <c r="AE1492" s="7" t="inlineStr">
        <is>
          <t>3010</t>
        </is>
      </c>
      <c r="AG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13" t="inlineStr">
        <is>
          <t>P-35 &gt; LPD Flight II &gt; C4ISR &gt; Major Hardware                                                                                                                                                    1</t>
        </is>
      </c>
      <c r="AD1493" s="7" t="inlineStr">
        <is>
          <t>312</t>
        </is>
      </c>
      <c r="AE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13" t="inlineStr">
        <is>
          <t>P-35 &gt; LPD Flight II &gt; C4ISR &gt; Spares</t>
        </is>
      </c>
      <c r="AD1494" s="7" t="inlineStr">
        <is>
          <t>312</t>
        </is>
      </c>
      <c r="AE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13" t="inlineStr">
        <is>
          <t>P-35 &gt; LPD Flight II &gt; C4ISR &gt; Technical Engineering Services</t>
        </is>
      </c>
      <c r="AD1495" s="7" t="inlineStr">
        <is>
          <t>312</t>
        </is>
      </c>
      <c r="AE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13" t="inlineStr">
        <is>
          <t>P-35 &gt; LPD Flight II &gt; C4ISR &gt; Ancillary Equipment</t>
        </is>
      </c>
      <c r="AD1496" s="7" t="inlineStr">
        <is>
          <t>312</t>
        </is>
      </c>
      <c r="AE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13" t="inlineStr">
        <is>
          <t>P-35 &gt; LPD Flight II &gt; C4ISR &gt; Documentation and Systems Engineering</t>
        </is>
      </c>
      <c r="AD1497" s="7" t="inlineStr">
        <is>
          <t>312</t>
        </is>
      </c>
      <c r="AE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13" t="inlineStr">
        <is>
          <t>P-35 &gt; LPD Flight II &gt; C4ISR &gt; Other Appropriate Costs</t>
        </is>
      </c>
      <c r="AD1498" s="7" t="inlineStr">
        <is>
          <t>312</t>
        </is>
      </c>
      <c r="AE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13" t="inlineStr">
        <is>
          <t>P-35 &gt; LPD Flight II &gt; C4ISR &gt; Turnkey</t>
        </is>
      </c>
      <c r="AD1499" s="7" t="inlineStr">
        <is>
          <t>312</t>
        </is>
      </c>
      <c r="AE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13" t="inlineStr">
        <is>
          <t>P-35 &gt; LPD Flight II &gt; Ship Self Defense System (SSDS) &gt; Major Hardware                                                                                                                                                 1</t>
        </is>
      </c>
      <c r="AD1500" s="7" t="inlineStr">
        <is>
          <t>313</t>
        </is>
      </c>
      <c r="AE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13" t="inlineStr">
        <is>
          <t>P-35 &gt; LPD Flight II &gt; Ship Self Defense System (SSDS) &gt; Spares</t>
        </is>
      </c>
      <c r="AD1501" s="7" t="inlineStr">
        <is>
          <t>313</t>
        </is>
      </c>
      <c r="AE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13" t="inlineStr">
        <is>
          <t>P-35 &gt; LPD Flight II &gt; Ship Self Defense System (SSDS) &gt; Technical Engineering Services</t>
        </is>
      </c>
      <c r="AD1502" s="7" t="inlineStr">
        <is>
          <t>313</t>
        </is>
      </c>
      <c r="AE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13" t="inlineStr">
        <is>
          <t>P-35 &gt; LPD Flight II &gt; Ship Self Defense System (SSDS) &gt; Other Costs</t>
        </is>
      </c>
      <c r="AD1503" s="7" t="inlineStr">
        <is>
          <t>313</t>
        </is>
      </c>
      <c r="AE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13" t="inlineStr">
        <is>
          <t>P-35 &gt; LPD Flight II &gt; Ship Self Defense System (SSDS) &gt; Documentation and Systems Engineering</t>
        </is>
      </c>
      <c r="AD1504" s="7" t="inlineStr">
        <is>
          <t>313</t>
        </is>
      </c>
      <c r="AE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13" t="inlineStr">
        <is>
          <t>P-35 &gt; LPD Flight II &gt; Cooperative Engagement Capability (CEC) &gt; Major Hardware                                                                                                                                                       1</t>
        </is>
      </c>
      <c r="AD1505" s="7" t="inlineStr">
        <is>
          <t>314</t>
        </is>
      </c>
      <c r="AE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13" t="inlineStr">
        <is>
          <t>P-35 &gt; LPD Flight II &gt; Cooperative Engagement Capability (CEC) &gt; Technical Engineering Services</t>
        </is>
      </c>
      <c r="AD1506" s="7" t="inlineStr">
        <is>
          <t>314</t>
        </is>
      </c>
      <c r="AE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13" t="inlineStr">
        <is>
          <t>P-35 &gt; LPD Flight II &gt; Cooperative Engagement Capability (CEC) &gt; Documentation and Systems Engineering</t>
        </is>
      </c>
      <c r="AD1507" s="7" t="inlineStr">
        <is>
          <t>314</t>
        </is>
      </c>
      <c r="AE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13" t="inlineStr">
        <is>
          <t>P-35 &gt; LPD Flight II &gt; Cooperative Engagement Capability (CEC) &gt; Other Costs</t>
        </is>
      </c>
      <c r="AD1508" s="7" t="inlineStr">
        <is>
          <t>314</t>
        </is>
      </c>
      <c r="AE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13" t="inlineStr">
        <is>
          <t>P-35 &gt; LPD Flight II &gt; Interrogator System IFF (Identification Friend or Foe) &gt; Major Hardware                                                                                                                                                       1</t>
        </is>
      </c>
      <c r="AD1509" s="7" t="inlineStr">
        <is>
          <t>315</t>
        </is>
      </c>
      <c r="AE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13" t="inlineStr">
        <is>
          <t>P-35 &gt; LPD Flight II &gt; Interrogator System IFF (Identification Friend or Foe) &gt; Spares</t>
        </is>
      </c>
      <c r="AD1510" s="7" t="inlineStr">
        <is>
          <t>315</t>
        </is>
      </c>
      <c r="AE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13" t="inlineStr">
        <is>
          <t>P-35 &gt; LPD Flight II &gt; Interrogator System IFF (Identification Friend or Foe) &gt; Technical Engineering Services</t>
        </is>
      </c>
      <c r="AD1511" s="7" t="inlineStr">
        <is>
          <t>315</t>
        </is>
      </c>
      <c r="AE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13" t="inlineStr">
        <is>
          <t>P-35 &gt; LPD Flight II &gt; Interrogator System IFF (Identification Friend or Foe) &gt; Other Costs</t>
        </is>
      </c>
      <c r="AD1512" s="7" t="inlineStr">
        <is>
          <t>315</t>
        </is>
      </c>
      <c r="AE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13" t="inlineStr">
        <is>
          <t>P-35 &gt; LPD Flight II &gt; Interrogator System IFF (Identification Friend or Foe) &gt; Documentation and Systems Engineering</t>
        </is>
      </c>
      <c r="AD1513" s="7" t="inlineStr">
        <is>
          <t>315</t>
        </is>
      </c>
      <c r="AE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13" t="inlineStr">
        <is>
          <t>P-35 &gt; LPD Flight II &gt; AN/SLQ-32(V)6 Surface Electronic Warfare Improvement Program (SEWIP) &gt; Major Hardware                                                                                                                                                   1</t>
        </is>
      </c>
      <c r="AD1514" s="7" t="inlineStr">
        <is>
          <t>316</t>
        </is>
      </c>
      <c r="AE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13" t="inlineStr">
        <is>
          <t>P-35 &gt; LPD Flight II &gt; AN/SLQ-32(V)6 Surface Electronic Warfare Improvement Program (SEWIP) &gt; Spares</t>
        </is>
      </c>
      <c r="AD1515" s="7" t="inlineStr">
        <is>
          <t>316</t>
        </is>
      </c>
      <c r="AE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13" t="inlineStr">
        <is>
          <t>P-35 &gt; LPD Flight II &gt; AN/SLQ-32(V)6 Surface Electronic Warfare Improvement Program (SEWIP) &gt; Technical Engineering Services</t>
        </is>
      </c>
      <c r="AD1516" s="7" t="inlineStr">
        <is>
          <t>316</t>
        </is>
      </c>
      <c r="AE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13" t="inlineStr">
        <is>
          <t>P-35 &gt; LPD Flight II &gt; AN/SLQ-32(V)6 Surface Electronic Warfare Improvement Program (SEWIP) &gt; Other Costs</t>
        </is>
      </c>
      <c r="AD1517" s="7" t="inlineStr">
        <is>
          <t>316</t>
        </is>
      </c>
      <c r="AE1517" s="7" t="inlineStr">
        <is>
          <t>3010</t>
        </is>
      </c>
      <c r="AG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13" t="inlineStr">
        <is>
          <t>P-35 &gt; LPD Flight II &gt; AN/SLQ-32(V)6 Surface Electronic Warfare Improvement Program (SEWIP) &gt; Documentation and Systems Engineering</t>
        </is>
      </c>
      <c r="AD1518" s="7" t="inlineStr">
        <is>
          <t>316</t>
        </is>
      </c>
      <c r="AE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13" t="inlineStr">
        <is>
          <t>P-35 &gt; LPD Flight II &gt; RAM BLOCK II &gt; Major Hardware                                                                                                                                                      2</t>
        </is>
      </c>
      <c r="AD1519" s="7" t="inlineStr">
        <is>
          <t>317</t>
        </is>
      </c>
      <c r="AE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13" t="inlineStr">
        <is>
          <t>P-35 &gt; LPD Flight II &gt; RAM BLOCK II &gt; Spares</t>
        </is>
      </c>
      <c r="AD1520" s="7" t="inlineStr">
        <is>
          <t>317</t>
        </is>
      </c>
      <c r="AE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13" t="inlineStr">
        <is>
          <t>P-35 &gt; LPD Flight II &gt; RAM BLOCK II &gt; Technical Engineering Services</t>
        </is>
      </c>
      <c r="AD1521" s="7" t="inlineStr">
        <is>
          <t>317</t>
        </is>
      </c>
      <c r="AE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13" t="inlineStr">
        <is>
          <t>P-35 &gt; LPD Flight II &gt; RAM BLOCK II &gt; Other Costs</t>
        </is>
      </c>
      <c r="AD1522" s="7" t="inlineStr">
        <is>
          <t>317</t>
        </is>
      </c>
      <c r="AE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13" t="inlineStr">
        <is>
          <t>P-35 &gt; LPD Flight II &gt; RAM BLOCK II &gt; Documentation and Systems Engineering</t>
        </is>
      </c>
      <c r="AD1523" s="7" t="inlineStr">
        <is>
          <t>317</t>
        </is>
      </c>
      <c r="AE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13" t="inlineStr">
        <is>
          <t>P-35 &gt; LPD Flight II &gt; MK 46 GUN &gt; Major Hardware                                                                                                                                                      2</t>
        </is>
      </c>
      <c r="AD1524" s="7" t="inlineStr">
        <is>
          <t>318</t>
        </is>
      </c>
      <c r="AE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13" t="inlineStr">
        <is>
          <t>P-35 &gt; LPD Flight II &gt; MK 46 GUN &gt; Technical Engineering Services</t>
        </is>
      </c>
      <c r="AD1525" s="7" t="inlineStr">
        <is>
          <t>318</t>
        </is>
      </c>
      <c r="AE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13" t="inlineStr">
        <is>
          <t>P-35 &gt; LPD Flight II &gt; AN/SPQ-9B Radar Set &gt; Major Hardware                                                                                                                                                 1</t>
        </is>
      </c>
      <c r="AD1526" s="7" t="inlineStr">
        <is>
          <t>319</t>
        </is>
      </c>
      <c r="AE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13" t="inlineStr">
        <is>
          <t>P-35 &gt; LPD Flight II &gt; AN/SPQ-9B Radar Set &gt; Spares</t>
        </is>
      </c>
      <c r="AD1527" s="7" t="inlineStr">
        <is>
          <t>319</t>
        </is>
      </c>
      <c r="AE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13" t="inlineStr">
        <is>
          <t>P-35 &gt; LPD Flight II &gt; AN/SPQ-9B Radar Set &gt; Technical Engineering Services</t>
        </is>
      </c>
      <c r="AD1528" s="7" t="inlineStr">
        <is>
          <t>319</t>
        </is>
      </c>
      <c r="AE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13" t="inlineStr">
        <is>
          <t>P-35 &gt; LPD Flight II &gt; AN/SPQ-9B Radar Set &gt; Other Costs</t>
        </is>
      </c>
      <c r="AD1529" s="7" t="inlineStr">
        <is>
          <t>319</t>
        </is>
      </c>
      <c r="AE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13" t="inlineStr">
        <is>
          <t>P-35 &gt; LPD Flight II &gt; AN/SPQ-9B Radar Set &gt; Documentation and Systems Engineering</t>
        </is>
      </c>
      <c r="AD1530" s="7" t="inlineStr">
        <is>
          <t>319</t>
        </is>
      </c>
      <c r="AE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13" t="inlineStr">
        <is>
          <t>P-35 &gt; LPD Flight II &gt; EASR &gt; Major Hardware                                                                                                                                              1</t>
        </is>
      </c>
      <c r="AD1531" s="7" t="inlineStr">
        <is>
          <t>320</t>
        </is>
      </c>
      <c r="AE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13" t="inlineStr">
        <is>
          <t>P-35 &gt; LPD Flight II &gt; EASR &gt; Spares</t>
        </is>
      </c>
      <c r="AD1532" s="7" t="inlineStr">
        <is>
          <t>320</t>
        </is>
      </c>
      <c r="AE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13" t="inlineStr">
        <is>
          <t>P-35 &gt; LPD Flight II &gt; EASR &gt; Technical Engineering Services</t>
        </is>
      </c>
      <c r="AD1533" s="7" t="inlineStr">
        <is>
          <t>320</t>
        </is>
      </c>
      <c r="AE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13" t="inlineStr">
        <is>
          <t>P-35 &gt; LPD Flight II &gt; EASR &gt; Other Costs</t>
        </is>
      </c>
      <c r="AD1534" s="7" t="inlineStr">
        <is>
          <t>320</t>
        </is>
      </c>
      <c r="AE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13" t="inlineStr">
        <is>
          <t>P-35 &gt; LPD Flight II &gt; EASR &gt; Documentation and Systems Engineering</t>
        </is>
      </c>
      <c r="AD1535" s="7" t="inlineStr">
        <is>
          <t>320</t>
        </is>
      </c>
      <c r="AE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13" t="inlineStr">
        <is>
          <t>P-10 &gt; LPD Flight II &gt; Ordnance                                                                                    -               -</t>
        </is>
      </c>
      <c r="AD1536" s="7" t="inlineStr">
        <is>
          <t>321</t>
        </is>
      </c>
      <c r="AE1536" s="7" t="inlineStr">
        <is>
          <t>3010</t>
        </is>
      </c>
      <c r="AG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13" t="inlineStr">
        <is>
          <t>P-10 &gt; LPD Flight II &gt; HM&amp;E                                                                                        -               -</t>
        </is>
      </c>
      <c r="AD1537" s="7" t="inlineStr">
        <is>
          <t>321</t>
        </is>
      </c>
      <c r="AE1537" s="7" t="inlineStr">
        <is>
          <t>3010</t>
        </is>
      </c>
      <c r="AG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13" t="inlineStr">
        <is>
          <t>P-10 &gt; LPD Flight II &gt; Electronics                                                                                 -               -</t>
        </is>
      </c>
      <c r="AD1538" s="7" t="inlineStr">
        <is>
          <t>321</t>
        </is>
      </c>
      <c r="AE1538" s="7" t="inlineStr">
        <is>
          <t>3010</t>
        </is>
      </c>
      <c r="AG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13" t="inlineStr">
        <is>
          <t>P-10 &gt; LPD Flight II &gt; Basic Construction                                                                          -               -</t>
        </is>
      </c>
      <c r="AD1539" s="7" t="inlineStr">
        <is>
          <t>321</t>
        </is>
      </c>
      <c r="AE1539" s="7" t="inlineStr">
        <is>
          <t>3010</t>
        </is>
      </c>
      <c r="AG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13" t="inlineStr">
        <is>
          <t>P-10 &gt; LPD Flight II &gt; Ordnance                                                                                      -                  -                -                                    -</t>
        </is>
      </c>
      <c r="AD1540" s="7" t="inlineStr">
        <is>
          <t>322</t>
        </is>
      </c>
      <c r="AE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13" t="inlineStr">
        <is>
          <t>P-10 &gt; LPD Flight II &gt; HM&amp;E                                                                                          -                  -                -                                    -</t>
        </is>
      </c>
      <c r="AD1541" s="7" t="inlineStr">
        <is>
          <t>322</t>
        </is>
      </c>
      <c r="AE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13" t="inlineStr">
        <is>
          <t>P-10 &gt; LPD Flight II &gt; Electronics                                                                                   -                  -                -                                    -</t>
        </is>
      </c>
      <c r="AD1542" s="7" t="inlineStr">
        <is>
          <t>322</t>
        </is>
      </c>
      <c r="AE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13" t="inlineStr">
        <is>
          <t>P-10 &gt; LPD Flight II &gt; Basic Construction                                                                            -                  -                -                                    -</t>
        </is>
      </c>
      <c r="AD1543" s="7" t="inlineStr">
        <is>
          <t>322</t>
        </is>
      </c>
      <c r="AE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13" t="inlineStr">
        <is>
          <t>P-5c &gt; LHA Replacement &gt; Plan Costs</t>
        </is>
      </c>
      <c r="AD1544" s="7" t="inlineStr">
        <is>
          <t>326</t>
        </is>
      </c>
      <c r="AE1544" s="7" t="inlineStr">
        <is>
          <t>3041</t>
        </is>
      </c>
      <c r="AG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13" t="inlineStr">
        <is>
          <t>P-5c &gt; LHA Replacement &gt; Basic Construction</t>
        </is>
      </c>
      <c r="AD1545" s="7" t="inlineStr">
        <is>
          <t>326</t>
        </is>
      </c>
      <c r="AE1545" s="7" t="inlineStr">
        <is>
          <t>3041</t>
        </is>
      </c>
      <c r="AG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13" t="inlineStr">
        <is>
          <t>P-5c &gt; LHA Replacement &gt; Change Orders</t>
        </is>
      </c>
      <c r="AD1546" s="7" t="inlineStr">
        <is>
          <t>326</t>
        </is>
      </c>
      <c r="AE1546" s="7" t="inlineStr">
        <is>
          <t>3041</t>
        </is>
      </c>
      <c r="AG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13" t="inlineStr">
        <is>
          <t>P-5c &gt; LHA Replacement &gt; Electronics</t>
        </is>
      </c>
      <c r="AD1547" s="7" t="inlineStr">
        <is>
          <t>326</t>
        </is>
      </c>
      <c r="AE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13" t="inlineStr">
        <is>
          <t>P-5c &gt; LHA Replacement &gt; Hull, Mechanical, and Electrical</t>
        </is>
      </c>
      <c r="AD1548" s="7" t="inlineStr">
        <is>
          <t>326</t>
        </is>
      </c>
      <c r="AE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13" t="inlineStr">
        <is>
          <t>P-5c &gt; LHA Replacement &gt; Ordnance</t>
        </is>
      </c>
      <c r="AD1549" s="7" t="inlineStr">
        <is>
          <t>326</t>
        </is>
      </c>
      <c r="AE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13" t="inlineStr">
        <is>
          <t>P-5c &gt; LHA Replacement &gt; Other Cost</t>
        </is>
      </c>
      <c r="AD1550" s="7" t="inlineStr">
        <is>
          <t>326</t>
        </is>
      </c>
      <c r="AE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13" t="inlineStr">
        <is>
          <t>P-8a &gt; LHA Replacement &gt; Electronics &gt; Command, Control, Communication, Computer Intelligence Surveillance and Reconnaissance (C4ISR) 1</t>
        </is>
      </c>
      <c r="AD1551" s="7" t="inlineStr">
        <is>
          <t>328</t>
        </is>
      </c>
      <c r="AE1551" s="7" t="inlineStr">
        <is>
          <t>3041</t>
        </is>
      </c>
      <c r="AG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13" t="inlineStr">
        <is>
          <t>P-8a &gt; LHA Replacement &gt; Electronics &gt; MK 2 MOD 4E Ship Self Defense System (SSDS) 1</t>
        </is>
      </c>
      <c r="AD1552" s="7" t="inlineStr">
        <is>
          <t>328</t>
        </is>
      </c>
      <c r="AE1552" s="7" t="inlineStr">
        <is>
          <t>3041</t>
        </is>
      </c>
      <c r="AG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13" t="inlineStr">
        <is>
          <t>P-8a &gt; LHA Replacement &gt; Electronics &gt; Integrated Voice Network (IVN) 1</t>
        </is>
      </c>
      <c r="AD1553" s="7" t="inlineStr">
        <is>
          <t>328</t>
        </is>
      </c>
      <c r="AE1553" s="7" t="inlineStr">
        <is>
          <t>3041</t>
        </is>
      </c>
      <c r="AG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13" t="inlineStr">
        <is>
          <t>P-8a &gt; LHA Replacement &gt; Electronics &gt; AN/SLQ-32(V), Surface Warfare Improvement Program (SEWIP) 1</t>
        </is>
      </c>
      <c r="AD1554" s="7" t="inlineStr">
        <is>
          <t>328</t>
        </is>
      </c>
      <c r="AE1554" s="7" t="inlineStr">
        <is>
          <t>3041</t>
        </is>
      </c>
      <c r="AG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13" t="inlineStr">
        <is>
          <t>P-8a &gt; LHA Replacement &gt; Electronics &gt; AN/SPN-50 (V)1 1</t>
        </is>
      </c>
      <c r="AD1555" s="7" t="inlineStr">
        <is>
          <t>328</t>
        </is>
      </c>
      <c r="AE1555" s="7" t="inlineStr">
        <is>
          <t>3041</t>
        </is>
      </c>
      <c r="AG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13" t="inlineStr">
        <is>
          <t>P-8a &gt; LHA Replacement &gt; Electronics &gt; Joint Precision Approach and Landing System (JPALS) (AN/USN-3(V)1, SSLS) 1</t>
        </is>
      </c>
      <c r="AD1556" s="7" t="inlineStr">
        <is>
          <t>328</t>
        </is>
      </c>
      <c r="AE1556" s="7" t="inlineStr">
        <is>
          <t>3041</t>
        </is>
      </c>
      <c r="AG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13" t="inlineStr">
        <is>
          <t>P-8a &gt; LHA Replacement &gt; Electronics &gt; Hierarchical Yet Dynamically Reprogrammable Architecture (HYDRA) AN/SRC-55 1</t>
        </is>
      </c>
      <c r="AD1557" s="7" t="inlineStr">
        <is>
          <t>328</t>
        </is>
      </c>
      <c r="AE1557" s="7" t="inlineStr">
        <is>
          <t>3041</t>
        </is>
      </c>
      <c r="AG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13" t="inlineStr">
        <is>
          <t>P-8a &gt; LHA Replacement &gt; Electronics &gt; AN/UPX-29(V), Identification Friend or Foe (IFF) MK12 1</t>
        </is>
      </c>
      <c r="AD1558" s="7" t="inlineStr">
        <is>
          <t>328</t>
        </is>
      </c>
      <c r="AE1558" s="7" t="inlineStr">
        <is>
          <t>3041</t>
        </is>
      </c>
      <c r="AG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13" t="inlineStr">
        <is>
          <t>P-8a &gt; LHA Replacement &gt; Electronics &gt; Ring Laser Gyro Navigator (RLGN) AN/WSN-7 1</t>
        </is>
      </c>
      <c r="AD1559" s="7" t="inlineStr">
        <is>
          <t>328</t>
        </is>
      </c>
      <c r="AE1559" s="7" t="inlineStr">
        <is>
          <t>3041</t>
        </is>
      </c>
      <c r="AG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13" t="inlineStr">
        <is>
          <t>P-8a &gt; LHA Replacement &gt; Electronics &gt; Amphibious Air Traffic Control Direct Altitude and Identity Readout (AATC-DAIR) 1</t>
        </is>
      </c>
      <c r="AD1560" s="7" t="inlineStr">
        <is>
          <t>328</t>
        </is>
      </c>
      <c r="AE1560" s="7" t="inlineStr">
        <is>
          <t>3041</t>
        </is>
      </c>
      <c r="AG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13" t="inlineStr">
        <is>
          <t>P-8a &gt; LHA Replacement &gt; Electronics &gt; Aircraft Control Approach Central AN/SPN-35C 1</t>
        </is>
      </c>
      <c r="AD1561" s="7" t="inlineStr">
        <is>
          <t>328</t>
        </is>
      </c>
      <c r="AE1561" s="7" t="inlineStr">
        <is>
          <t>3041</t>
        </is>
      </c>
      <c r="AG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13" t="inlineStr">
        <is>
          <t>P-8a &gt; LHA Replacement &gt; Electronics &gt; Aircraft Approach Control Transmitting Set (AACTS) AN/SPN-41B 1</t>
        </is>
      </c>
      <c r="AD1562" s="7" t="inlineStr">
        <is>
          <t>328</t>
        </is>
      </c>
      <c r="AE1562" s="7" t="inlineStr">
        <is>
          <t>3041</t>
        </is>
      </c>
      <c r="AG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13" t="inlineStr">
        <is>
          <t>P-8a &gt; LHA Replacement &gt; Electronics &gt; AN/USG-2, Cooperative Engagement Transmission Processing Set (CETPS) 1</t>
        </is>
      </c>
      <c r="AD1563" s="7" t="inlineStr">
        <is>
          <t>328</t>
        </is>
      </c>
      <c r="AE1563" s="7" t="inlineStr">
        <is>
          <t>3041</t>
        </is>
      </c>
      <c r="AG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13" t="inlineStr">
        <is>
          <t>P-8a &gt; LHA Replacement &gt; Electronics &gt; USQ-82, Gigabit Ethernet Data Multiplex System (GEDMS) 1</t>
        </is>
      </c>
      <c r="AD1564" s="7" t="inlineStr">
        <is>
          <t>328</t>
        </is>
      </c>
      <c r="AE1564" s="7" t="inlineStr">
        <is>
          <t>3041</t>
        </is>
      </c>
      <c r="AG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13" t="inlineStr">
        <is>
          <t>P-8a &gt; LHA Replacement &gt; Electronics &gt; AN/SLQ-25C, Torpedo Countermeasures Transmitting Set (NIXIE) 2</t>
        </is>
      </c>
      <c r="AD1565" s="7" t="inlineStr">
        <is>
          <t>328</t>
        </is>
      </c>
      <c r="AE1565" s="7" t="inlineStr">
        <is>
          <t>3041</t>
        </is>
      </c>
      <c r="AG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13" t="inlineStr">
        <is>
          <t>P-8a &gt; LHA Replacement &gt; Electronics &gt; AN/USQ-T46(V), Battle Force Tactical Training (BFTT) 1</t>
        </is>
      </c>
      <c r="AD1566" s="7" t="inlineStr">
        <is>
          <t>328</t>
        </is>
      </c>
      <c r="AE1566" s="7" t="inlineStr">
        <is>
          <t>3041</t>
        </is>
      </c>
      <c r="AG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13" t="inlineStr">
        <is>
          <t>P-8a &gt; LHA Replacement &gt; Electronics &gt; Announcing Systems AN/SIA-127H 1</t>
        </is>
      </c>
      <c r="AD1567" s="7" t="inlineStr">
        <is>
          <t>328</t>
        </is>
      </c>
      <c r="AE1567" s="7" t="inlineStr">
        <is>
          <t>3041</t>
        </is>
      </c>
      <c r="AG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13" t="inlineStr">
        <is>
          <t>P-8a &gt; LHA Replacement &gt; Electronics &gt; SATCC 1</t>
        </is>
      </c>
      <c r="AD1568" s="7" t="inlineStr">
        <is>
          <t>328</t>
        </is>
      </c>
      <c r="AE1568" s="7" t="inlineStr">
        <is>
          <t>3041</t>
        </is>
      </c>
      <c r="AG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13" t="inlineStr">
        <is>
          <t>P-8a &gt; LHA Replacement &gt; Electronics &gt; Amphibious Assault Direction System (AADS) 1</t>
        </is>
      </c>
      <c r="AD1569" s="7" t="inlineStr">
        <is>
          <t>328</t>
        </is>
      </c>
      <c r="AE1569" s="7" t="inlineStr">
        <is>
          <t>3041</t>
        </is>
      </c>
      <c r="AG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13" t="inlineStr">
        <is>
          <t>P-8a &gt; LHA Replacement &gt; Electronics &gt; Digital Photo Lab 1</t>
        </is>
      </c>
      <c r="AD1570" s="7" t="inlineStr">
        <is>
          <t>328</t>
        </is>
      </c>
      <c r="AE1570" s="7" t="inlineStr">
        <is>
          <t>3041</t>
        </is>
      </c>
      <c r="AG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13" t="inlineStr">
        <is>
          <t>P-8a &gt; LHA Replacement &gt; Electronics &gt; MK 53 NULKA Decoy Launching System (DLS) Mod 3 1</t>
        </is>
      </c>
      <c r="AD1571" s="7" t="inlineStr">
        <is>
          <t>328</t>
        </is>
      </c>
      <c r="AE1571" s="7" t="inlineStr">
        <is>
          <t>3041</t>
        </is>
      </c>
      <c r="AG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13" t="inlineStr">
        <is>
          <t>P-8a &gt; LHA Replacement &gt; Electronics &gt; Print Shop 1</t>
        </is>
      </c>
      <c r="AD1572" s="7" t="inlineStr">
        <is>
          <t>328</t>
        </is>
      </c>
      <c r="AE1572" s="7" t="inlineStr">
        <is>
          <t>3041</t>
        </is>
      </c>
      <c r="AG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13" t="inlineStr">
        <is>
          <t>P-8a &gt; LHA Replacement &gt; Electronics &gt; 30 TV 1</t>
        </is>
      </c>
      <c r="AD1573" s="7" t="inlineStr">
        <is>
          <t>328</t>
        </is>
      </c>
      <c r="AE1573" s="7" t="inlineStr">
        <is>
          <t>3041</t>
        </is>
      </c>
      <c r="AG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13" t="inlineStr">
        <is>
          <t>P-8a &gt; LHA Replacement &gt; Electronics &gt; Next Generation Navigational Radar 1</t>
        </is>
      </c>
      <c r="AD1574" s="7" t="inlineStr">
        <is>
          <t>328</t>
        </is>
      </c>
      <c r="AE1574" s="7" t="inlineStr">
        <is>
          <t>3041</t>
        </is>
      </c>
      <c r="AG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13" t="inlineStr">
        <is>
          <t>P-8a &gt; LHA Replacement &gt; Electronics &gt; Miscellaneous Electronics</t>
        </is>
      </c>
      <c r="AD1575" s="7" t="inlineStr">
        <is>
          <t>328</t>
        </is>
      </c>
      <c r="AE1575" s="7" t="inlineStr">
        <is>
          <t>3041</t>
        </is>
      </c>
      <c r="AG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13" t="inlineStr">
        <is>
          <t>P-8a &gt; LHA Replacement &gt; Hull, Mechanical, and Electrical &gt; Equipment &amp; Engineering</t>
        </is>
      </c>
      <c r="AD1576" s="7" t="inlineStr">
        <is>
          <t>330</t>
        </is>
      </c>
      <c r="AE1576" s="7" t="inlineStr">
        <is>
          <t>3041</t>
        </is>
      </c>
      <c r="AG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13" t="inlineStr">
        <is>
          <t>P-8a &gt; LHA Replacement &gt; Hull, Mechanical, and Electrical &gt; SUPSHIP Material/Services</t>
        </is>
      </c>
      <c r="AD1577" s="7" t="inlineStr">
        <is>
          <t>330</t>
        </is>
      </c>
      <c r="AE1577" s="7" t="inlineStr">
        <is>
          <t>3041</t>
        </is>
      </c>
      <c r="AG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13" t="inlineStr">
        <is>
          <t>P-8a &gt; LHA Replacement &gt; Hull, Mechanical, and Electrical &gt; Test &amp; Instrumentation</t>
        </is>
      </c>
      <c r="AD1578" s="7" t="inlineStr">
        <is>
          <t>330</t>
        </is>
      </c>
      <c r="AE1578" s="7" t="inlineStr">
        <is>
          <t>3041</t>
        </is>
      </c>
      <c r="AG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13" t="inlineStr">
        <is>
          <t>P-8a &gt; LHA Replacement &gt; Ordnance &gt; Enterprise Air Surveillance Radar (EASR) 1</t>
        </is>
      </c>
      <c r="AD1579" s="7" t="inlineStr">
        <is>
          <t>331</t>
        </is>
      </c>
      <c r="AE1579" s="7" t="inlineStr">
        <is>
          <t>3041</t>
        </is>
      </c>
      <c r="AG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13" t="inlineStr">
        <is>
          <t>P-8a &gt; LHA Replacement &gt; Ordnance &gt; NATO Sea Sparrow Missile System (NSSMS) MK 57 Mod 14 1</t>
        </is>
      </c>
      <c r="AD1580" s="7" t="inlineStr">
        <is>
          <t>331</t>
        </is>
      </c>
      <c r="AE1580" s="7" t="inlineStr">
        <is>
          <t>3041</t>
        </is>
      </c>
      <c r="AG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13" t="inlineStr">
        <is>
          <t>P-8a &gt; LHA Replacement &gt; Ordnance &gt; MK31 Mod 3, Rolling Airframe Missile (RAM) (Tech Refresh) 2</t>
        </is>
      </c>
      <c r="AD1581" s="7" t="inlineStr">
        <is>
          <t>331</t>
        </is>
      </c>
      <c r="AE1581" s="7" t="inlineStr">
        <is>
          <t>3041</t>
        </is>
      </c>
      <c r="AG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13" t="inlineStr">
        <is>
          <t>P-8a &gt; LHA Replacement &gt; Ordnance &gt; PHALANX Block 1B MK15 Mod 21 &amp; 22, Close-in Weapon System (CIWS) 1</t>
        </is>
      </c>
      <c r="AD1582" s="7" t="inlineStr">
        <is>
          <t>331</t>
        </is>
      </c>
      <c r="AE1582" s="7" t="inlineStr">
        <is>
          <t>3041</t>
        </is>
      </c>
      <c r="AG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13" t="inlineStr">
        <is>
          <t>P-8a &gt; LHA Replacement &gt; Ordnance &gt; Vertical/Stationary Take-Off Landing Optical Landing System (VSTOL OLS) 1</t>
        </is>
      </c>
      <c r="AD1583" s="7" t="inlineStr">
        <is>
          <t>331</t>
        </is>
      </c>
      <c r="AE1583" s="7" t="inlineStr">
        <is>
          <t>3041</t>
        </is>
      </c>
      <c r="AG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13" t="inlineStr">
        <is>
          <t>P-8a &gt; LHA Replacement &gt; Ordnance &gt; AN/SPQ-9B Radar Set 1</t>
        </is>
      </c>
      <c r="AD1584" s="7" t="inlineStr">
        <is>
          <t>331</t>
        </is>
      </c>
      <c r="AE1584" s="7" t="inlineStr">
        <is>
          <t>3041</t>
        </is>
      </c>
      <c r="AG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13" t="inlineStr">
        <is>
          <t>P-8a &gt; LHA Replacement &gt; Ordnance &gt; MK 38 Mod 2 Stabilized Gun Stand Assembly 3</t>
        </is>
      </c>
      <c r="AD1585" s="7" t="inlineStr">
        <is>
          <t>331</t>
        </is>
      </c>
      <c r="AE1585" s="7" t="inlineStr">
        <is>
          <t>3041</t>
        </is>
      </c>
      <c r="AG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13" t="inlineStr">
        <is>
          <t>P-8a &gt; LHA Replacement &gt; Ordnance &gt; AN/SPQ-14 4</t>
        </is>
      </c>
      <c r="AD1586" s="7" t="inlineStr">
        <is>
          <t>331</t>
        </is>
      </c>
      <c r="AE1586" s="7" t="inlineStr">
        <is>
          <t>3041</t>
        </is>
      </c>
      <c r="AG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13" t="inlineStr">
        <is>
          <t>P-8a &gt; LHA Replacement &gt; Ordnance &gt; MORIAH 1</t>
        </is>
      </c>
      <c r="AD1587" s="7" t="inlineStr">
        <is>
          <t>331</t>
        </is>
      </c>
      <c r="AE1587" s="7" t="inlineStr">
        <is>
          <t>3041</t>
        </is>
      </c>
      <c r="AG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13" t="inlineStr">
        <is>
          <t>P-8a &gt; LHA Replacement &gt; Ordnance &gt; Aviation Support</t>
        </is>
      </c>
      <c r="AD1588" s="7" t="inlineStr">
        <is>
          <t>331</t>
        </is>
      </c>
      <c r="AE1588" s="7" t="inlineStr">
        <is>
          <t>3041</t>
        </is>
      </c>
      <c r="AG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13" t="inlineStr">
        <is>
          <t>P-8a &gt; LHA Replacement &gt; Ordnance &gt; Miscellaneous Ordnance</t>
        </is>
      </c>
      <c r="AD1589" s="7" t="inlineStr">
        <is>
          <t>331</t>
        </is>
      </c>
      <c r="AE1589" s="7" t="inlineStr">
        <is>
          <t>3041</t>
        </is>
      </c>
      <c r="AG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13" t="inlineStr">
        <is>
          <t>P-35 &gt; LHA Replacement &gt; Command, Control, Communication, Computer Intelligence Surveillance and Reconnaissance (C4ISR) PARM Code: PEO C4I &gt; Major Hardware                                                                                                                                               1</t>
        </is>
      </c>
      <c r="AD1590" s="7" t="inlineStr">
        <is>
          <t>332</t>
        </is>
      </c>
      <c r="AE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13" t="inlineStr">
        <is>
          <t>P-35 &gt; LHA Replacement &gt; Command, Control, Communication, Computer Intelligence Surveillance and Reconnaissance (C4ISR) PARM Code: PEO C4I &gt; Technical Data and Documentation</t>
        </is>
      </c>
      <c r="AD1591" s="7" t="inlineStr">
        <is>
          <t>332</t>
        </is>
      </c>
      <c r="AE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13" t="inlineStr">
        <is>
          <t>P-35 &gt; LHA Replacement &gt; Command, Control, Communication, Computer Intelligence Surveillance and Reconnaissance (C4ISR) PARM Code: PEO C4I &gt; Spares</t>
        </is>
      </c>
      <c r="AD1592" s="7" t="inlineStr">
        <is>
          <t>332</t>
        </is>
      </c>
      <c r="AE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13" t="inlineStr">
        <is>
          <t>P-35 &gt; LHA Replacement &gt; Command, Control, Communication, Computer Intelligence Surveillance and Reconnaissance (C4ISR) PARM Code: PEO C4I &gt; System Engineering</t>
        </is>
      </c>
      <c r="AD1593" s="7" t="inlineStr">
        <is>
          <t>332</t>
        </is>
      </c>
      <c r="AE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13" t="inlineStr">
        <is>
          <t>P-35 &gt; LHA Replacement &gt; Command, Control, Communication, Computer Intelligence Surveillance and Reconnaissance (C4ISR) PARM Code: PEO C4I &gt; Technical Engineering Services</t>
        </is>
      </c>
      <c r="AD1594" s="7" t="inlineStr">
        <is>
          <t>332</t>
        </is>
      </c>
      <c r="AE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13" t="inlineStr">
        <is>
          <t>P-35 &gt; LHA Replacement &gt; Command, Control, Communication, Computer Intelligence Surveillance and Reconnaissance (C4ISR) PARM Code: PEO C4I &gt; Other Costs</t>
        </is>
      </c>
      <c r="AD1595" s="7" t="inlineStr">
        <is>
          <t>332</t>
        </is>
      </c>
      <c r="AE1595" s="7" t="inlineStr">
        <is>
          <t>3041</t>
        </is>
      </c>
      <c r="AG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13" t="inlineStr">
        <is>
          <t>P-35 &gt; LHA Replacement &gt; MK 2 MOD 4E Ship Self Defense System (SSDS) &gt; Major Hardware                                                                                                                                                 1</t>
        </is>
      </c>
      <c r="AD1596" s="7" t="inlineStr">
        <is>
          <t>333</t>
        </is>
      </c>
      <c r="AE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13" t="inlineStr">
        <is>
          <t>P-35 &gt; LHA Replacement &gt; MK 2 MOD 4E Ship Self Defense System (SSDS) &gt; Technical Data and Documentation</t>
        </is>
      </c>
      <c r="AD1597" s="7" t="inlineStr">
        <is>
          <t>333</t>
        </is>
      </c>
      <c r="AE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13" t="inlineStr">
        <is>
          <t>P-35 &gt; LHA Replacement &gt; MK 2 MOD 4E Ship Self Defense System (SSDS) &gt; Spares</t>
        </is>
      </c>
      <c r="AD1598" s="7" t="inlineStr">
        <is>
          <t>333</t>
        </is>
      </c>
      <c r="AE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13" t="inlineStr">
        <is>
          <t>P-35 &gt; LHA Replacement &gt; MK 2 MOD 4E Ship Self Defense System (SSDS) &gt; System Engineering</t>
        </is>
      </c>
      <c r="AD1599" s="7" t="inlineStr">
        <is>
          <t>333</t>
        </is>
      </c>
      <c r="AE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13" t="inlineStr">
        <is>
          <t>P-35 &gt; LHA Replacement &gt; MK 2 MOD 4E Ship Self Defense System (SSDS) &gt; Technical Engineering Services</t>
        </is>
      </c>
      <c r="AD1600" s="7" t="inlineStr">
        <is>
          <t>333</t>
        </is>
      </c>
      <c r="AE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13" t="inlineStr">
        <is>
          <t>P-35 &gt; LHA Replacement &gt; MK 2 MOD 4E Ship Self Defense System (SSDS) &gt; Other Costs</t>
        </is>
      </c>
      <c r="AD1601" s="7" t="inlineStr">
        <is>
          <t>333</t>
        </is>
      </c>
      <c r="AE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13" t="inlineStr">
        <is>
          <t>P-35 &gt; LHA Replacement &gt; Integrated Voice Network (IVN) &gt; Major Hardware                                                                                                                                                  1</t>
        </is>
      </c>
      <c r="AD1602" s="7" t="inlineStr">
        <is>
          <t>334</t>
        </is>
      </c>
      <c r="AE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13" t="inlineStr">
        <is>
          <t>P-35 &gt; LHA Replacement &gt; Integrated Voice Network (IVN) &gt; Technical Data and Documentation</t>
        </is>
      </c>
      <c r="AD1603" s="7" t="inlineStr">
        <is>
          <t>334</t>
        </is>
      </c>
      <c r="AE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13" t="inlineStr">
        <is>
          <t>P-35 &gt; LHA Replacement &gt; Integrated Voice Network (IVN) &gt; System Engineering</t>
        </is>
      </c>
      <c r="AD1604" s="7" t="inlineStr">
        <is>
          <t>334</t>
        </is>
      </c>
      <c r="AE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13" t="inlineStr">
        <is>
          <t>P-35 &gt; LHA Replacement &gt; Integrated Voice Network (IVN) &gt; Technical Engineering Services</t>
        </is>
      </c>
      <c r="AD1605" s="7" t="inlineStr">
        <is>
          <t>334</t>
        </is>
      </c>
      <c r="AE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13" t="inlineStr">
        <is>
          <t>P-35 &gt; LHA Replacement &gt; Integrated Voice Network (IVN) &gt; Other Costs</t>
        </is>
      </c>
      <c r="AD1606" s="7" t="inlineStr">
        <is>
          <t>334</t>
        </is>
      </c>
      <c r="AE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13" t="inlineStr">
        <is>
          <t>P-35 &gt; LHA Replacement &gt; AN/SLQ-32(V), Surface Warfare Improvement Program (SEWIP) &gt; Major Hardware                                                                                                                                                   1</t>
        </is>
      </c>
      <c r="AD1607" s="7" t="inlineStr">
        <is>
          <t>335</t>
        </is>
      </c>
      <c r="AE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13" t="inlineStr">
        <is>
          <t>P-35 &gt; LHA Replacement &gt; AN/SLQ-32(V), Surface Warfare Improvement Program (SEWIP) &gt; Technical Data and Documentation</t>
        </is>
      </c>
      <c r="AD1608" s="7" t="inlineStr">
        <is>
          <t>335</t>
        </is>
      </c>
      <c r="AE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13" t="inlineStr">
        <is>
          <t>P-35 &gt; LHA Replacement &gt; AN/SLQ-32(V), Surface Warfare Improvement Program (SEWIP) &gt; Spares</t>
        </is>
      </c>
      <c r="AD1609" s="7" t="inlineStr">
        <is>
          <t>335</t>
        </is>
      </c>
      <c r="AE1609" s="7" t="inlineStr">
        <is>
          <t>3041</t>
        </is>
      </c>
      <c r="AG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13" t="inlineStr">
        <is>
          <t>P-35 &gt; LHA Replacement &gt; AN/SLQ-32(V), Surface Warfare Improvement Program (SEWIP) &gt; System Engineering</t>
        </is>
      </c>
      <c r="AD1610" s="7" t="inlineStr">
        <is>
          <t>335</t>
        </is>
      </c>
      <c r="AE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13" t="inlineStr">
        <is>
          <t>P-35 &gt; LHA Replacement &gt; AN/SLQ-32(V), Surface Warfare Improvement Program (SEWIP) &gt; Technical Engineering Services</t>
        </is>
      </c>
      <c r="AD1611" s="7" t="inlineStr">
        <is>
          <t>335</t>
        </is>
      </c>
      <c r="AE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13" t="inlineStr">
        <is>
          <t>P-35 &gt; LHA Replacement &gt; AN/SLQ-32(V), Surface Warfare Improvement Program (SEWIP) &gt; Other Costs</t>
        </is>
      </c>
      <c r="AD1612" s="7" t="inlineStr">
        <is>
          <t>335</t>
        </is>
      </c>
      <c r="AE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13" t="inlineStr">
        <is>
          <t>P-35 &gt; LHA Replacement &gt; AN/SPN-50 (V)1 &gt; Major Hardware                                                                                                                                                        1</t>
        </is>
      </c>
      <c r="AD1613" s="7" t="inlineStr">
        <is>
          <t>336</t>
        </is>
      </c>
      <c r="AE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13" t="inlineStr">
        <is>
          <t>P-35 &gt; LHA Replacement &gt; AN/SPN-50 (V)1 &gt; Technical Data and Documentation</t>
        </is>
      </c>
      <c r="AD1614" s="7" t="inlineStr">
        <is>
          <t>336</t>
        </is>
      </c>
      <c r="AE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13" t="inlineStr">
        <is>
          <t>P-35 &gt; LHA Replacement &gt; AN/SPN-50 (V)1 &gt; Spares</t>
        </is>
      </c>
      <c r="AD1615" s="7" t="inlineStr">
        <is>
          <t>336</t>
        </is>
      </c>
      <c r="AE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13" t="inlineStr">
        <is>
          <t>P-35 &gt; LHA Replacement &gt; AN/SPN-50 (V)1 &gt; System Engineering</t>
        </is>
      </c>
      <c r="AD1616" s="7" t="inlineStr">
        <is>
          <t>336</t>
        </is>
      </c>
      <c r="AE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13" t="inlineStr">
        <is>
          <t>P-35 &gt; LHA Replacement &gt; AN/SPN-50 (V)1 &gt; Technical Engineering Services</t>
        </is>
      </c>
      <c r="AD1617" s="7" t="inlineStr">
        <is>
          <t>336</t>
        </is>
      </c>
      <c r="AE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13" t="inlineStr">
        <is>
          <t>P-35 &gt; LHA Replacement &gt; AN/SPN-50 (V)1 &gt; Other Costs</t>
        </is>
      </c>
      <c r="AD1618" s="7" t="inlineStr">
        <is>
          <t>336</t>
        </is>
      </c>
      <c r="AE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13" t="inlineStr">
        <is>
          <t>P-35 &gt; LHA Replacement &gt; Joint Precision Approach and Landing System (JPALS) (AN/USN-3(V)1, SSLS) &gt; Major Hardware                                                                                                                                                   1</t>
        </is>
      </c>
      <c r="AD1619" s="7" t="inlineStr">
        <is>
          <t>337</t>
        </is>
      </c>
      <c r="AE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13" t="inlineStr">
        <is>
          <t>P-35 &gt; LHA Replacement &gt; Joint Precision Approach and Landing System (JPALS) (AN/USN-3(V)1, SSLS) &gt; Spares</t>
        </is>
      </c>
      <c r="AD1620" s="7" t="inlineStr">
        <is>
          <t>337</t>
        </is>
      </c>
      <c r="AE1620" s="7" t="inlineStr">
        <is>
          <t>3041</t>
        </is>
      </c>
      <c r="AG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13" t="inlineStr">
        <is>
          <t>P-35 &gt; LHA Replacement &gt; Joint Precision Approach and Landing System (JPALS) (AN/USN-3(V)1, SSLS) &gt; System Engineering</t>
        </is>
      </c>
      <c r="AD1621" s="7" t="inlineStr">
        <is>
          <t>337</t>
        </is>
      </c>
      <c r="AE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13" t="inlineStr">
        <is>
          <t>P-35 &gt; LHA Replacement &gt; Joint Precision Approach and Landing System (JPALS) (AN/USN-3(V)1, SSLS) &gt; Technical Engineering Services</t>
        </is>
      </c>
      <c r="AD1622" s="7" t="inlineStr">
        <is>
          <t>337</t>
        </is>
      </c>
      <c r="AE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13" t="inlineStr">
        <is>
          <t>P-35 &gt; LHA Replacement &gt; Joint Precision Approach and Landing System (JPALS) (AN/USN-3(V)1, SSLS) &gt; Other Costs</t>
        </is>
      </c>
      <c r="AD1623" s="7" t="inlineStr">
        <is>
          <t>337</t>
        </is>
      </c>
      <c r="AE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13" t="inlineStr">
        <is>
          <t>P-35 &gt; LHA Replacement &gt; Hierarchical Yet Dynamically Reprogrammable Architecture (HYDRA) AN/SRC-55 &gt; Major Hardware                                                                                                                                                1</t>
        </is>
      </c>
      <c r="AD1624" s="7" t="inlineStr">
        <is>
          <t>338</t>
        </is>
      </c>
      <c r="AE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13" t="inlineStr">
        <is>
          <t>P-35 &gt; LHA Replacement &gt; Hierarchical Yet Dynamically Reprogrammable Architecture (HYDRA) AN/SRC-55 &gt; Technical Data and Documentation</t>
        </is>
      </c>
      <c r="AD1625" s="7" t="inlineStr">
        <is>
          <t>338</t>
        </is>
      </c>
      <c r="AE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13" t="inlineStr">
        <is>
          <t>P-35 &gt; LHA Replacement &gt; Hierarchical Yet Dynamically Reprogrammable Architecture (HYDRA) AN/SRC-55 &gt; Spares</t>
        </is>
      </c>
      <c r="AD1626" s="7" t="inlineStr">
        <is>
          <t>338</t>
        </is>
      </c>
      <c r="AE1626" s="7" t="inlineStr">
        <is>
          <t>3041</t>
        </is>
      </c>
      <c r="AG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13" t="inlineStr">
        <is>
          <t>P-35 &gt; LHA Replacement &gt; Hierarchical Yet Dynamically Reprogrammable Architecture (HYDRA) AN/SRC-55 &gt; System Engineering</t>
        </is>
      </c>
      <c r="AD1627" s="7" t="inlineStr">
        <is>
          <t>338</t>
        </is>
      </c>
      <c r="AE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13" t="inlineStr">
        <is>
          <t>P-35 &gt; LHA Replacement &gt; Hierarchical Yet Dynamically Reprogrammable Architecture (HYDRA) AN/SRC-55 &gt; Technical Engineering Services</t>
        </is>
      </c>
      <c r="AD1628" s="7" t="inlineStr">
        <is>
          <t>338</t>
        </is>
      </c>
      <c r="AE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13" t="inlineStr">
        <is>
          <t>P-35 &gt; LHA Replacement &gt; Hierarchical Yet Dynamically Reprogrammable Architecture (HYDRA) AN/SRC-55 &gt; Other Costs</t>
        </is>
      </c>
      <c r="AD1629" s="7" t="inlineStr">
        <is>
          <t>338</t>
        </is>
      </c>
      <c r="AE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13" t="inlineStr">
        <is>
          <t>P-35 &gt; LHA Replacement &gt; AN/UPX-29(V), Identification Friend or Foe (IFF) MK12 &gt; Major Hardware                                                                                                                                                        1</t>
        </is>
      </c>
      <c r="AD1630" s="7" t="inlineStr">
        <is>
          <t>339</t>
        </is>
      </c>
      <c r="AE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13" t="inlineStr">
        <is>
          <t>P-35 &gt; LHA Replacement &gt; AN/UPX-29(V), Identification Friend or Foe (IFF) MK12 &gt; Spares</t>
        </is>
      </c>
      <c r="AD1631" s="7" t="inlineStr">
        <is>
          <t>339</t>
        </is>
      </c>
      <c r="AE1631" s="7" t="inlineStr">
        <is>
          <t>3041</t>
        </is>
      </c>
      <c r="AG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13" t="inlineStr">
        <is>
          <t>P-35 &gt; LHA Replacement &gt; AN/UPX-29(V), Identification Friend or Foe (IFF) MK12 &gt; System Engineering</t>
        </is>
      </c>
      <c r="AD1632" s="7" t="inlineStr">
        <is>
          <t>339</t>
        </is>
      </c>
      <c r="AE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13" t="inlineStr">
        <is>
          <t>P-35 &gt; LHA Replacement &gt; AN/UPX-29(V), Identification Friend or Foe (IFF) MK12 &gt; Technical Engineering Services</t>
        </is>
      </c>
      <c r="AD1633" s="7" t="inlineStr">
        <is>
          <t>339</t>
        </is>
      </c>
      <c r="AE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13" t="inlineStr">
        <is>
          <t>P-35 &gt; LHA Replacement &gt; AN/UPX-29(V), Identification Friend or Foe (IFF) MK12 &gt; Other Costs</t>
        </is>
      </c>
      <c r="AD1634" s="7" t="inlineStr">
        <is>
          <t>339</t>
        </is>
      </c>
      <c r="AE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13" t="inlineStr">
        <is>
          <t>P-35 &gt; LHA Replacement &gt; Ring Laser Gyro Navigator (RLGN) AN/WSN-7 &gt; Major Hardware                                                                                                                                            1</t>
        </is>
      </c>
      <c r="AD1635" s="7" t="inlineStr">
        <is>
          <t>340</t>
        </is>
      </c>
      <c r="AE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13" t="inlineStr">
        <is>
          <t>P-35 &gt; LHA Replacement &gt; Ring Laser Gyro Navigator (RLGN) AN/WSN-7 &gt; System Engineering</t>
        </is>
      </c>
      <c r="AD1636" s="7" t="inlineStr">
        <is>
          <t>340</t>
        </is>
      </c>
      <c r="AE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13" t="inlineStr">
        <is>
          <t>P-35 &gt; LHA Replacement &gt; Ring Laser Gyro Navigator (RLGN) AN/WSN-7 &gt; Technical Engineering Services</t>
        </is>
      </c>
      <c r="AD1637" s="7" t="inlineStr">
        <is>
          <t>340</t>
        </is>
      </c>
      <c r="AE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13" t="inlineStr">
        <is>
          <t>P-35 &gt; LHA Replacement &gt; Ring Laser Gyro Navigator (RLGN) AN/WSN-7 &gt; Other Costs</t>
        </is>
      </c>
      <c r="AD1638" s="7" t="inlineStr">
        <is>
          <t>340</t>
        </is>
      </c>
      <c r="AE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13" t="inlineStr">
        <is>
          <t>P-35 &gt; LHA Replacement &gt; Amphibious Air Traffic Control Direct Altitude and Identity Readout (AATC-DAIR) &gt; Major Hardware                                                                                                                                                     1</t>
        </is>
      </c>
      <c r="AD1639" s="7" t="inlineStr">
        <is>
          <t>341</t>
        </is>
      </c>
      <c r="AE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13" t="inlineStr">
        <is>
          <t>P-35 &gt; LHA Replacement &gt; Amphibious Air Traffic Control Direct Altitude and Identity Readout (AATC-DAIR) &gt; Spares</t>
        </is>
      </c>
      <c r="AD1640" s="7" t="inlineStr">
        <is>
          <t>341</t>
        </is>
      </c>
      <c r="AE1640" s="7" t="inlineStr">
        <is>
          <t>3041</t>
        </is>
      </c>
      <c r="AG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13" t="inlineStr">
        <is>
          <t>P-35 &gt; LHA Replacement &gt; Amphibious Air Traffic Control Direct Altitude and Identity Readout (AATC-DAIR) &gt; System Engineering</t>
        </is>
      </c>
      <c r="AD1641" s="7" t="inlineStr">
        <is>
          <t>341</t>
        </is>
      </c>
      <c r="AE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13" t="inlineStr">
        <is>
          <t>P-35 &gt; LHA Replacement &gt; Amphibious Air Traffic Control Direct Altitude and Identity Readout (AATC-DAIR) &gt; Technical Engineering Services</t>
        </is>
      </c>
      <c r="AD1642" s="7" t="inlineStr">
        <is>
          <t>341</t>
        </is>
      </c>
      <c r="AE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13" t="inlineStr">
        <is>
          <t>P-35 &gt; LHA Replacement &gt; Amphibious Air Traffic Control Direct Altitude and Identity Readout (AATC-DAIR) &gt; Other Costs</t>
        </is>
      </c>
      <c r="AD1643" s="7" t="inlineStr">
        <is>
          <t>341</t>
        </is>
      </c>
      <c r="AE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13" t="inlineStr">
        <is>
          <t>P-35 &gt; LHA Replacement &gt; Aircraft Control Approach Central AN/SPN-35C &gt; Major Hardware                                                                                                                                                     1</t>
        </is>
      </c>
      <c r="AD1644" s="7" t="inlineStr">
        <is>
          <t>342</t>
        </is>
      </c>
      <c r="AE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13" t="inlineStr">
        <is>
          <t>P-35 &gt; LHA Replacement &gt; Aircraft Control Approach Central AN/SPN-35C &gt; System Engineering</t>
        </is>
      </c>
      <c r="AD1645" s="7" t="inlineStr">
        <is>
          <t>342</t>
        </is>
      </c>
      <c r="AE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13" t="inlineStr">
        <is>
          <t>P-35 &gt; LHA Replacement &gt; Aircraft Control Approach Central AN/SPN-35C &gt; Technical Engineering Services</t>
        </is>
      </c>
      <c r="AD1646" s="7" t="inlineStr">
        <is>
          <t>342</t>
        </is>
      </c>
      <c r="AE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13" t="inlineStr">
        <is>
          <t>P-35 &gt; LHA Replacement &gt; Aircraft Control Approach Central AN/SPN-35C &gt; Other Costs</t>
        </is>
      </c>
      <c r="AD1647" s="7" t="inlineStr">
        <is>
          <t>342</t>
        </is>
      </c>
      <c r="AE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13" t="inlineStr">
        <is>
          <t>P-35 &gt; LHA Replacement &gt; Aircraft Approach Control Transmitting Set (AACTS) AN/SPN-41B &gt; Major Hardware                                                                                                                                                    1</t>
        </is>
      </c>
      <c r="AD1648" s="7" t="inlineStr">
        <is>
          <t>343</t>
        </is>
      </c>
      <c r="AE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13" t="inlineStr">
        <is>
          <t>P-35 &gt; LHA Replacement &gt; Aircraft Approach Control Transmitting Set (AACTS) AN/SPN-41B &gt; System Engineering</t>
        </is>
      </c>
      <c r="AD1649" s="7" t="inlineStr">
        <is>
          <t>343</t>
        </is>
      </c>
      <c r="AE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13" t="inlineStr">
        <is>
          <t>P-35 &gt; LHA Replacement &gt; Aircraft Approach Control Transmitting Set (AACTS) AN/SPN-41B &gt; Technical Engineering Services</t>
        </is>
      </c>
      <c r="AD1650" s="7" t="inlineStr">
        <is>
          <t>343</t>
        </is>
      </c>
      <c r="AE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13" t="inlineStr">
        <is>
          <t>P-35 &gt; LHA Replacement &gt; Aircraft Approach Control Transmitting Set (AACTS) AN/SPN-41B &gt; Other Costs</t>
        </is>
      </c>
      <c r="AD1651" s="7" t="inlineStr">
        <is>
          <t>343</t>
        </is>
      </c>
      <c r="AE1651" s="7" t="inlineStr">
        <is>
          <t>3041</t>
        </is>
      </c>
      <c r="AG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13" t="inlineStr">
        <is>
          <t>P-35 &gt; LHA Replacement &gt; Enterprise Air Surveillance Radar (EASR) &gt; Major Hardware                                                                                                                                                     1</t>
        </is>
      </c>
      <c r="AD1652" s="7" t="inlineStr">
        <is>
          <t>344</t>
        </is>
      </c>
      <c r="AE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13" t="inlineStr">
        <is>
          <t>P-35 &gt; LHA Replacement &gt; Enterprise Air Surveillance Radar (EASR) &gt; Technical Data and Documentation</t>
        </is>
      </c>
      <c r="AD1653" s="7" t="inlineStr">
        <is>
          <t>344</t>
        </is>
      </c>
      <c r="AE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13" t="inlineStr">
        <is>
          <t>P-35 &gt; LHA Replacement &gt; Enterprise Air Surveillance Radar (EASR) &gt; Spares</t>
        </is>
      </c>
      <c r="AD1654" s="7" t="inlineStr">
        <is>
          <t>344</t>
        </is>
      </c>
      <c r="AE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13" t="inlineStr">
        <is>
          <t>P-35 &gt; LHA Replacement &gt; Enterprise Air Surveillance Radar (EASR) &gt; System Engineering</t>
        </is>
      </c>
      <c r="AD1655" s="7" t="inlineStr">
        <is>
          <t>344</t>
        </is>
      </c>
      <c r="AE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13" t="inlineStr">
        <is>
          <t>P-35 &gt; LHA Replacement &gt; Enterprise Air Surveillance Radar (EASR) &gt; Technical Engineering Services</t>
        </is>
      </c>
      <c r="AD1656" s="7" t="inlineStr">
        <is>
          <t>344</t>
        </is>
      </c>
      <c r="AE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13" t="inlineStr">
        <is>
          <t>P-35 &gt; LHA Replacement &gt; Enterprise Air Surveillance Radar (EASR) &gt; Other Costs</t>
        </is>
      </c>
      <c r="AD1657" s="7" t="inlineStr">
        <is>
          <t>344</t>
        </is>
      </c>
      <c r="AE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13" t="inlineStr">
        <is>
          <t>P-35 &gt; LHA Replacement &gt; NATO Sea Sparrow Missile System (NSSMS) MK 57 Mod 14 &gt; Major Hardware                                                                                                                                                     1</t>
        </is>
      </c>
      <c r="AD1658" s="7" t="inlineStr">
        <is>
          <t>345</t>
        </is>
      </c>
      <c r="AE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13" t="inlineStr">
        <is>
          <t>P-35 &gt; LHA Replacement &gt; NATO Sea Sparrow Missile System (NSSMS) MK 57 Mod 14 &gt; Spares</t>
        </is>
      </c>
      <c r="AD1659" s="7" t="inlineStr">
        <is>
          <t>345</t>
        </is>
      </c>
      <c r="AE1659" s="7" t="inlineStr">
        <is>
          <t>3041</t>
        </is>
      </c>
      <c r="AG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13" t="inlineStr">
        <is>
          <t>P-35 &gt; LHA Replacement &gt; NATO Sea Sparrow Missile System (NSSMS) MK 57 Mod 14 &gt; System Engineering</t>
        </is>
      </c>
      <c r="AD1660" s="7" t="inlineStr">
        <is>
          <t>345</t>
        </is>
      </c>
      <c r="AE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13" t="inlineStr">
        <is>
          <t>P-35 &gt; LHA Replacement &gt; NATO Sea Sparrow Missile System (NSSMS) MK 57 Mod 14 &gt; Technical Engineering Services</t>
        </is>
      </c>
      <c r="AD1661" s="7" t="inlineStr">
        <is>
          <t>345</t>
        </is>
      </c>
      <c r="AE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13" t="inlineStr">
        <is>
          <t>P-35 &gt; LHA Replacement &gt; NATO Sea Sparrow Missile System (NSSMS) MK 57 Mod 14 &gt; Other Costs</t>
        </is>
      </c>
      <c r="AD1662" s="7" t="inlineStr">
        <is>
          <t>345</t>
        </is>
      </c>
      <c r="AE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13" t="inlineStr">
        <is>
          <t>P-35 &gt; LHA Replacement &gt; MK31 Mod 3, Rolling Airframe Missile (RAM) (Tech Refresh) &gt; Major Hardware                                                                                                                                                   2</t>
        </is>
      </c>
      <c r="AD1663" s="7" t="inlineStr">
        <is>
          <t>346</t>
        </is>
      </c>
      <c r="AE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13" t="inlineStr">
        <is>
          <t>P-35 &gt; LHA Replacement &gt; MK31 Mod 3, Rolling Airframe Missile (RAM) (Tech Refresh) &gt; Technical Data and Documentation</t>
        </is>
      </c>
      <c r="AD1664" s="7" t="inlineStr">
        <is>
          <t>346</t>
        </is>
      </c>
      <c r="AE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13" t="inlineStr">
        <is>
          <t>P-35 &gt; LHA Replacement &gt; MK31 Mod 3, Rolling Airframe Missile (RAM) (Tech Refresh) &gt; Spares</t>
        </is>
      </c>
      <c r="AD1665" s="7" t="inlineStr">
        <is>
          <t>346</t>
        </is>
      </c>
      <c r="AE1665" s="7" t="inlineStr">
        <is>
          <t>3041</t>
        </is>
      </c>
      <c r="AG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13" t="inlineStr">
        <is>
          <t>P-35 &gt; LHA Replacement &gt; MK31 Mod 3, Rolling Airframe Missile (RAM) (Tech Refresh) &gt; System Engineering</t>
        </is>
      </c>
      <c r="AD1666" s="7" t="inlineStr">
        <is>
          <t>346</t>
        </is>
      </c>
      <c r="AE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13" t="inlineStr">
        <is>
          <t>P-35 &gt; LHA Replacement &gt; MK31 Mod 3, Rolling Airframe Missile (RAM) (Tech Refresh) &gt; Technical Engineering Services</t>
        </is>
      </c>
      <c r="AD1667" s="7" t="inlineStr">
        <is>
          <t>346</t>
        </is>
      </c>
      <c r="AE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13" t="inlineStr">
        <is>
          <t>P-35 &gt; LHA Replacement &gt; MK31 Mod 3, Rolling Airframe Missile (RAM) (Tech Refresh) &gt; Other Costs</t>
        </is>
      </c>
      <c r="AD1668" s="7" t="inlineStr">
        <is>
          <t>346</t>
        </is>
      </c>
      <c r="AE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13" t="inlineStr">
        <is>
          <t>P-35 &gt; LHA Replacement &gt; PHALANX Block 1B MK15 Mod 21 &amp; 22, Close-in Weapon System (CIWS) &gt; Major Hardware                                                                                                                                                         1</t>
        </is>
      </c>
      <c r="AD1669" s="7" t="inlineStr">
        <is>
          <t>347</t>
        </is>
      </c>
      <c r="AE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13" t="inlineStr">
        <is>
          <t>P-35 &gt; LHA Replacement &gt; PHALANX Block 1B MK15 Mod 21 &amp; 22, Close-in Weapon System (CIWS) &gt; Technical Data and Documentation</t>
        </is>
      </c>
      <c r="AD1670" s="7" t="inlineStr">
        <is>
          <t>347</t>
        </is>
      </c>
      <c r="AE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13" t="inlineStr">
        <is>
          <t>P-35 &gt; LHA Replacement &gt; PHALANX Block 1B MK15 Mod 21 &amp; 22, Close-in Weapon System (CIWS) &gt; Spares</t>
        </is>
      </c>
      <c r="AD1671" s="7" t="inlineStr">
        <is>
          <t>347</t>
        </is>
      </c>
      <c r="AE1671" s="7" t="inlineStr">
        <is>
          <t>3041</t>
        </is>
      </c>
      <c r="AG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13" t="inlineStr">
        <is>
          <t>P-35 &gt; LHA Replacement &gt; PHALANX Block 1B MK15 Mod 21 &amp; 22, Close-in Weapon System (CIWS) &gt; System Engineering</t>
        </is>
      </c>
      <c r="AD1672" s="7" t="inlineStr">
        <is>
          <t>347</t>
        </is>
      </c>
      <c r="AE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13" t="inlineStr">
        <is>
          <t>P-35 &gt; LHA Replacement &gt; PHALANX Block 1B MK15 Mod 21 &amp; 22, Close-in Weapon System (CIWS) &gt; Technical Engineering Services</t>
        </is>
      </c>
      <c r="AD1673" s="7" t="inlineStr">
        <is>
          <t>347</t>
        </is>
      </c>
      <c r="AE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13" t="inlineStr">
        <is>
          <t>P-35 &gt; LHA Replacement &gt; PHALANX Block 1B MK15 Mod 21 &amp; 22, Close-in Weapon System (CIWS) &gt; Other Costs</t>
        </is>
      </c>
      <c r="AD1674" s="7" t="inlineStr">
        <is>
          <t>347</t>
        </is>
      </c>
      <c r="AE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13" t="inlineStr">
        <is>
          <t>P-35 &gt; LHA Replacement &gt; Vertical/Stationary Take-Off Landing Optical Landing System (VSTOL OLS) &gt; Major Hardware                                                                                                                                                    1</t>
        </is>
      </c>
      <c r="AD1675" s="7" t="inlineStr">
        <is>
          <t>348</t>
        </is>
      </c>
      <c r="AE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13" t="inlineStr">
        <is>
          <t>P-35 &gt; LHA Replacement &gt; Vertical/Stationary Take-Off Landing Optical Landing System (VSTOL OLS) &gt; System Engineering</t>
        </is>
      </c>
      <c r="AD1676" s="7" t="inlineStr">
        <is>
          <t>348</t>
        </is>
      </c>
      <c r="AE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13" t="inlineStr">
        <is>
          <t>P-35 &gt; LHA Replacement &gt; Vertical/Stationary Take-Off Landing Optical Landing System (VSTOL OLS) &gt; Technical Engineering Services</t>
        </is>
      </c>
      <c r="AD1677" s="7" t="inlineStr">
        <is>
          <t>348</t>
        </is>
      </c>
      <c r="AE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13" t="inlineStr">
        <is>
          <t>P-35 &gt; LHA Replacement &gt; Vertical/Stationary Take-Off Landing Optical Landing System (VSTOL OLS) &gt; Other Costs</t>
        </is>
      </c>
      <c r="AD1678" s="7" t="inlineStr">
        <is>
          <t>348</t>
        </is>
      </c>
      <c r="AE1678" s="7" t="inlineStr">
        <is>
          <t>3041</t>
        </is>
      </c>
      <c r="AG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13" t="inlineStr">
        <is>
          <t>P-35 &gt; LHA Replacement &gt; AN/SPQ-9B Radar Set &gt; Major Hardware                                                                                                                                                      1</t>
        </is>
      </c>
      <c r="AD1679" s="7" t="inlineStr">
        <is>
          <t>349</t>
        </is>
      </c>
      <c r="AE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13" t="inlineStr">
        <is>
          <t>P-35 &gt; LHA Replacement &gt; AN/SPQ-9B Radar Set &gt; Technical Data and Documentation</t>
        </is>
      </c>
      <c r="AD1680" s="7" t="inlineStr">
        <is>
          <t>349</t>
        </is>
      </c>
      <c r="AE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13" t="inlineStr">
        <is>
          <t>P-35 &gt; LHA Replacement &gt; AN/SPQ-9B Radar Set &gt; Spares</t>
        </is>
      </c>
      <c r="AD1681" s="7" t="inlineStr">
        <is>
          <t>349</t>
        </is>
      </c>
      <c r="AE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13" t="inlineStr">
        <is>
          <t>P-35 &gt; LHA Replacement &gt; AN/SPQ-9B Radar Set &gt; System Engineering</t>
        </is>
      </c>
      <c r="AD1682" s="7" t="inlineStr">
        <is>
          <t>349</t>
        </is>
      </c>
      <c r="AE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13" t="inlineStr">
        <is>
          <t>P-35 &gt; LHA Replacement &gt; AN/SPQ-9B Radar Set &gt; Technical Engineering Services</t>
        </is>
      </c>
      <c r="AD1683" s="7" t="inlineStr">
        <is>
          <t>349</t>
        </is>
      </c>
      <c r="AE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13" t="inlineStr">
        <is>
          <t>P-35 &gt; LHA Replacement &gt; AN/SPQ-9B Radar Set &gt; Other Costs</t>
        </is>
      </c>
      <c r="AD1684" s="7" t="inlineStr">
        <is>
          <t>349</t>
        </is>
      </c>
      <c r="AE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13" t="inlineStr">
        <is>
          <t>P-10 &gt; LHA Replacement &gt; Basic Construction                                                                          -               -               -</t>
        </is>
      </c>
      <c r="AD1685" s="7" t="inlineStr">
        <is>
          <t>351</t>
        </is>
      </c>
      <c r="AE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13" t="inlineStr">
        <is>
          <t>P-10 &gt; LHA Replacement &gt; Basic Construction                                                                            -                  -                 -                                     -</t>
        </is>
      </c>
      <c r="AD1686" s="7" t="inlineStr">
        <is>
          <t>352</t>
        </is>
      </c>
      <c r="AE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13" t="inlineStr">
        <is>
          <t>P-5c &gt; Medium Landing Ship &gt; Plan Costs</t>
        </is>
      </c>
      <c r="AD1687" s="7" t="inlineStr">
        <is>
          <t>355</t>
        </is>
      </c>
      <c r="AE1687" s="7" t="inlineStr">
        <is>
          <t>3050</t>
        </is>
      </c>
      <c r="AG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13" t="inlineStr">
        <is>
          <t>P-5c &gt; Medium Landing Ship &gt; Electronics</t>
        </is>
      </c>
      <c r="AD1688" s="7" t="inlineStr">
        <is>
          <t>355</t>
        </is>
      </c>
      <c r="AE1688" s="7" t="inlineStr">
        <is>
          <t>3050</t>
        </is>
      </c>
      <c r="AG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13" t="inlineStr">
        <is>
          <t>P-5c &gt; Medium Landing Ship &gt; Other Cost</t>
        </is>
      </c>
      <c r="AD1689" s="7" t="inlineStr">
        <is>
          <t>355</t>
        </is>
      </c>
      <c r="AE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13" t="inlineStr">
        <is>
          <t>P-5c &gt; Expeditionary Sea Base (ESB) &gt; Basic Construction</t>
        </is>
      </c>
      <c r="AD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13" t="inlineStr">
        <is>
          <t>P-5c &gt; Expeditionary Sea Base (ESB) &gt; Change Orders</t>
        </is>
      </c>
      <c r="AD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13" t="inlineStr">
        <is>
          <t>P-5c &gt; Expeditionary Sea Base (ESB) &gt; Electronics</t>
        </is>
      </c>
      <c r="AD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13" t="inlineStr">
        <is>
          <t>P-5c &gt; Expeditionary Sea Base (ESB) &gt; Hull, Mechanical, and Electrical</t>
        </is>
      </c>
      <c r="AD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13" t="inlineStr">
        <is>
          <t>P-5c &gt; Expeditionary Sea Base (ESB) &gt; Other Cost</t>
        </is>
      </c>
      <c r="AD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13" t="inlineStr">
        <is>
          <t>P-5c &gt; Expeditionary Fast Transport (EPF) &gt; Plan Costs</t>
        </is>
      </c>
      <c r="AD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13" t="inlineStr">
        <is>
          <t>P-5c &gt; Expeditionary Fast Transport (EPF) &gt; Basic Construction</t>
        </is>
      </c>
      <c r="AD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13" t="inlineStr">
        <is>
          <t>P-5c &gt; Expeditionary Fast Transport (EPF) &gt; Change Orders</t>
        </is>
      </c>
      <c r="AD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13" t="inlineStr">
        <is>
          <t>P-5c &gt; Expeditionary Fast Transport (EPF) &gt; Electronics</t>
        </is>
      </c>
      <c r="AD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13" t="inlineStr">
        <is>
          <t>P-5c &gt; Expeditionary Fast Transport (EPF) &gt; Hull, Mechanical, and Electrical</t>
        </is>
      </c>
      <c r="AD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13" t="inlineStr">
        <is>
          <t>P-5c &gt; Expeditionary Fast Transport (EPF) &gt; Other Cost</t>
        </is>
      </c>
      <c r="AD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13" t="inlineStr">
        <is>
          <t>P-5c &gt; TAO Fleet Oiler &gt; Basic Construction</t>
        </is>
      </c>
      <c r="AD1701" s="7" t="inlineStr">
        <is>
          <t>367</t>
        </is>
      </c>
      <c r="AE1701" s="7" t="inlineStr">
        <is>
          <t>5025</t>
        </is>
      </c>
      <c r="AG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13" t="inlineStr">
        <is>
          <t>P-5c &gt; TAO Fleet Oiler &gt; Change Orders</t>
        </is>
      </c>
      <c r="AD1702" s="7" t="inlineStr">
        <is>
          <t>367</t>
        </is>
      </c>
      <c r="AE1702" s="7" t="inlineStr">
        <is>
          <t>5025</t>
        </is>
      </c>
      <c r="AG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13" t="inlineStr">
        <is>
          <t>P-5c &gt; TAO Fleet Oiler &gt; Electronics</t>
        </is>
      </c>
      <c r="AD1703" s="7" t="inlineStr">
        <is>
          <t>367</t>
        </is>
      </c>
      <c r="AE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13" t="inlineStr">
        <is>
          <t>P-5c &gt; TAO Fleet Oiler &gt; Hull, Mechanical, and Electrical</t>
        </is>
      </c>
      <c r="AD1704" s="7" t="inlineStr">
        <is>
          <t>367</t>
        </is>
      </c>
      <c r="AE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13" t="inlineStr">
        <is>
          <t>P-5c &gt; TAO Fleet Oiler &gt; Other Cost</t>
        </is>
      </c>
      <c r="AD1705" s="7" t="inlineStr">
        <is>
          <t>367</t>
        </is>
      </c>
      <c r="AE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13" t="inlineStr">
        <is>
          <t>P-5c &gt; TAO Fleet Oiler &gt; 2023</t>
        </is>
      </c>
      <c r="AD1706" s="7" t="inlineStr">
        <is>
          <t>367</t>
        </is>
      </c>
      <c r="AE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13" t="inlineStr">
        <is>
          <t>P-8a &gt; TAO Fleet Oiler &gt; Electronics &gt; Radio Communication System (RCS) TURNKEY 1</t>
        </is>
      </c>
      <c r="AD1707" s="7" t="inlineStr">
        <is>
          <t>369</t>
        </is>
      </c>
      <c r="AE1707" s="7" t="inlineStr">
        <is>
          <t>5025</t>
        </is>
      </c>
      <c r="AG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13" t="inlineStr">
        <is>
          <t>P-8a &gt; TAO Fleet Oiler &gt; Electronics &gt; Network Management System (NMS) 2.0/Consolidated Afloat Networks and Enterprise Services (CANES) 1</t>
        </is>
      </c>
      <c r="AD1708" s="7" t="inlineStr">
        <is>
          <t>369</t>
        </is>
      </c>
      <c r="AE1708" s="7" t="inlineStr">
        <is>
          <t>5025</t>
        </is>
      </c>
      <c r="AG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13" t="inlineStr">
        <is>
          <t>P-8a &gt; TAO Fleet Oiler &gt; Electronics &gt; Digital Modular Radio (DMR) 3</t>
        </is>
      </c>
      <c r="AD1709" s="7" t="inlineStr">
        <is>
          <t>369</t>
        </is>
      </c>
      <c r="AE1709" s="7" t="inlineStr">
        <is>
          <t>5025</t>
        </is>
      </c>
      <c r="AG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13" t="inlineStr">
        <is>
          <t>P-8a &gt; TAO Fleet Oiler &gt; Electronics &gt; Commercial Broadband Satellite Program (CBSP) 1</t>
        </is>
      </c>
      <c r="AD1710" s="7" t="inlineStr">
        <is>
          <t>369</t>
        </is>
      </c>
      <c r="AE1710" s="7" t="inlineStr">
        <is>
          <t>5025</t>
        </is>
      </c>
      <c r="AG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13" t="inlineStr">
        <is>
          <t>P-8a &gt; TAO Fleet Oiler &gt; Electronics &gt; AN/SLQ-25 NIXIE 1</t>
        </is>
      </c>
      <c r="AD1711" s="7" t="inlineStr">
        <is>
          <t>369</t>
        </is>
      </c>
      <c r="AE1711" s="7" t="inlineStr">
        <is>
          <t>5025</t>
        </is>
      </c>
      <c r="AG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13" t="inlineStr">
        <is>
          <t>P-8a &gt; TAO Fleet Oiler &gt; Electronics &gt; AN/USQ-155 Tactical Variant Switch (TVS) 1</t>
        </is>
      </c>
      <c r="AD1712" s="7" t="inlineStr">
        <is>
          <t>369</t>
        </is>
      </c>
      <c r="AE1712" s="7" t="inlineStr">
        <is>
          <t>5025</t>
        </is>
      </c>
      <c r="AG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13" t="inlineStr">
        <is>
          <t>P-8a &gt; TAO Fleet Oiler &gt; Electronics &gt; OA-9277A 1</t>
        </is>
      </c>
      <c r="AD1713" s="7" t="inlineStr">
        <is>
          <t>369</t>
        </is>
      </c>
      <c r="AE1713" s="7" t="inlineStr">
        <is>
          <t>5025</t>
        </is>
      </c>
      <c r="AG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13" t="inlineStr">
        <is>
          <t>P-8a &gt; TAO Fleet Oiler &gt; Electronics &gt; Battle Force Tactical Network (BFTN)/BFTN Resilient Command and Control System Enhancement (BRSE) 1</t>
        </is>
      </c>
      <c r="AD1714" s="7" t="inlineStr">
        <is>
          <t>369</t>
        </is>
      </c>
      <c r="AE1714" s="7" t="inlineStr">
        <is>
          <t>5025</t>
        </is>
      </c>
      <c r="AG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13" t="inlineStr">
        <is>
          <t>P-8a &gt; TAO Fleet Oiler &gt; Electronics &gt; Minor Systems 1</t>
        </is>
      </c>
      <c r="AD1715" s="7" t="inlineStr">
        <is>
          <t>369</t>
        </is>
      </c>
      <c r="AE1715" s="7" t="inlineStr">
        <is>
          <t>5025</t>
        </is>
      </c>
      <c r="AG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13" t="inlineStr">
        <is>
          <t>P-8a &gt; TAO Fleet Oiler &gt; Hull, Mechanical, and Electrical &gt; Engineering Services 1</t>
        </is>
      </c>
      <c r="AD1716" s="7" t="inlineStr">
        <is>
          <t>370</t>
        </is>
      </c>
      <c r="AE1716" s="7" t="inlineStr">
        <is>
          <t>5025</t>
        </is>
      </c>
      <c r="AG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13" t="inlineStr">
        <is>
          <t>P-8a &gt; TAO Fleet Oiler &gt; Hull, Mechanical, and Electrical &gt; Logistics Support Services 1</t>
        </is>
      </c>
      <c r="AD1717" s="7" t="inlineStr">
        <is>
          <t>370</t>
        </is>
      </c>
      <c r="AE1717" s="7" t="inlineStr">
        <is>
          <t>5025</t>
        </is>
      </c>
      <c r="AG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13" t="inlineStr">
        <is>
          <t>P-8a &gt; TAO Fleet Oiler &gt; Hull, Mechanical, and Electrical &gt; Material Handling Equipment 1</t>
        </is>
      </c>
      <c r="AD1718" s="7" t="inlineStr">
        <is>
          <t>370</t>
        </is>
      </c>
      <c r="AE1718" s="7" t="inlineStr">
        <is>
          <t>5025</t>
        </is>
      </c>
      <c r="AG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13" t="inlineStr">
        <is>
          <t>P-8a &gt; TAO Fleet Oiler &gt; Hull, Mechanical, and Electrical &gt; Shipboard Automated Maintenance Module (SAMM) 1</t>
        </is>
      </c>
      <c r="AD1719" s="7" t="inlineStr">
        <is>
          <t>370</t>
        </is>
      </c>
      <c r="AE1719" s="7" t="inlineStr">
        <is>
          <t>5025</t>
        </is>
      </c>
      <c r="AG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13" t="inlineStr">
        <is>
          <t>P-8a &gt; TAO Fleet Oiler &gt; Hull, Mechanical, and Electrical &gt; Improved Point Detection System - Lifecycle Replacement (IPDS-LR) 1</t>
        </is>
      </c>
      <c r="AD1720" s="7" t="inlineStr">
        <is>
          <t>370</t>
        </is>
      </c>
      <c r="AE1720" s="7" t="inlineStr">
        <is>
          <t>5025</t>
        </is>
      </c>
      <c r="AG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13" t="inlineStr">
        <is>
          <t>P-35 &gt; TAO Fleet Oiler &gt; Radio Communication System (RCS) TURNKEY &gt; Major Hardware                                                                                                                                                 1</t>
        </is>
      </c>
      <c r="AD1721" s="7" t="inlineStr">
        <is>
          <t>371</t>
        </is>
      </c>
      <c r="AE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13" t="inlineStr">
        <is>
          <t>P-35 &gt; TAO Fleet Oiler &gt; Radio Communication System (RCS) TURNKEY &gt; Ancillary Equipment</t>
        </is>
      </c>
      <c r="AD1722" s="7" t="inlineStr">
        <is>
          <t>371</t>
        </is>
      </c>
      <c r="AE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13" t="inlineStr">
        <is>
          <t>P-35 &gt; TAO Fleet Oiler &gt; Radio Communication System (RCS) TURNKEY &gt; Technical Engineering Services</t>
        </is>
      </c>
      <c r="AD1723" s="7" t="inlineStr">
        <is>
          <t>371</t>
        </is>
      </c>
      <c r="AE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13" t="inlineStr">
        <is>
          <t>P-35 &gt; TAO Fleet Oiler &gt; Radio Communication System (RCS) TURNKEY &gt; Ship Installation</t>
        </is>
      </c>
      <c r="AD1724" s="7" t="inlineStr">
        <is>
          <t>371</t>
        </is>
      </c>
      <c r="AE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13" t="inlineStr">
        <is>
          <t>P-35 &gt; TAO Fleet Oiler &gt; Radio Communication System (RCS) TURNKEY &gt; Program Management</t>
        </is>
      </c>
      <c r="AD1725" s="7" t="inlineStr">
        <is>
          <t>371</t>
        </is>
      </c>
      <c r="AE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13" t="inlineStr">
        <is>
          <t>P-35 &gt; TAO Fleet Oiler &gt; Network Management System (NMS) 2.0/Consolidated Afloat Networks and Enterprise Services &gt; Major Hardware                                                                                                                                                  1</t>
        </is>
      </c>
      <c r="AD1726" s="7" t="inlineStr">
        <is>
          <t>372</t>
        </is>
      </c>
      <c r="AE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13" t="inlineStr">
        <is>
          <t>P-35 &gt; TAO Fleet Oiler &gt; Network Management System (NMS) 2.0/Consolidated Afloat Networks and Enterprise Services &gt; System Engineering</t>
        </is>
      </c>
      <c r="AD1727" s="7" t="inlineStr">
        <is>
          <t>372</t>
        </is>
      </c>
      <c r="AE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13" t="inlineStr">
        <is>
          <t>P-35 &gt; TAO Fleet Oiler &gt; Network Management System (NMS) 2.0/Consolidated Afloat Networks and Enterprise Services &gt; Technical Engineering Services</t>
        </is>
      </c>
      <c r="AD1728" s="7" t="inlineStr">
        <is>
          <t>372</t>
        </is>
      </c>
      <c r="AE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13" t="inlineStr">
        <is>
          <t>P-35 &gt; TAO Fleet Oiler &gt; Network Management System (NMS) 2.0/Consolidated Afloat Networks and Enterprise Services &gt; Software</t>
        </is>
      </c>
      <c r="AD1729" s="7" t="inlineStr">
        <is>
          <t>372</t>
        </is>
      </c>
      <c r="AE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13" t="inlineStr">
        <is>
          <t>P-35 &gt; TAO Fleet Oiler &gt; Network Management System (NMS) 2.0/Consolidated Afloat Networks and Enterprise Services &gt; Ship Installation</t>
        </is>
      </c>
      <c r="AD1730" s="7" t="inlineStr">
        <is>
          <t>372</t>
        </is>
      </c>
      <c r="AE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13" t="inlineStr">
        <is>
          <t>P-35 &gt; TAO Fleet Oiler &gt; Network Management System (NMS) 2.0/Consolidated Afloat Networks and Enterprise Services &gt; Program Management</t>
        </is>
      </c>
      <c r="AD1731" s="7" t="inlineStr">
        <is>
          <t>372</t>
        </is>
      </c>
      <c r="AE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13" t="inlineStr">
        <is>
          <t>P-35 &gt; TAO Fleet Oiler &gt; Network Management System (NMS) 2.0/Consolidated Afloat Networks and Enterprise Services &gt; Integrated Logistics Support and Data</t>
        </is>
      </c>
      <c r="AD1732" s="7" t="inlineStr">
        <is>
          <t>372</t>
        </is>
      </c>
      <c r="AE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13" t="inlineStr">
        <is>
          <t>P-5c &gt; TAGOS Surtass Ships &gt; Plan Costs</t>
        </is>
      </c>
      <c r="AD1733" s="7" t="inlineStr">
        <is>
          <t>375</t>
        </is>
      </c>
      <c r="AE1733" s="7" t="inlineStr">
        <is>
          <t>5030</t>
        </is>
      </c>
      <c r="AG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13" t="inlineStr">
        <is>
          <t>P-5c &gt; TAGOS Surtass Ships &gt; Basic Construction</t>
        </is>
      </c>
      <c r="AD1734" s="7" t="inlineStr">
        <is>
          <t>375</t>
        </is>
      </c>
      <c r="AE1734" s="7" t="inlineStr">
        <is>
          <t>5030</t>
        </is>
      </c>
      <c r="AG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13" t="inlineStr">
        <is>
          <t>P-5c &gt; TAGOS Surtass Ships &gt; Change Orders</t>
        </is>
      </c>
      <c r="AD1735" s="7" t="inlineStr">
        <is>
          <t>375</t>
        </is>
      </c>
      <c r="AE1735" s="7" t="inlineStr">
        <is>
          <t>5030</t>
        </is>
      </c>
      <c r="AG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13" t="inlineStr">
        <is>
          <t>P-5c &gt; TAGOS Surtass Ships &gt; Electronics</t>
        </is>
      </c>
      <c r="AD1736" s="7" t="inlineStr">
        <is>
          <t>375</t>
        </is>
      </c>
      <c r="AE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13" t="inlineStr">
        <is>
          <t>P-5c &gt; TAGOS Surtass Ships &gt; Hull, Mechanical, and Electrical</t>
        </is>
      </c>
      <c r="AD1737" s="7" t="inlineStr">
        <is>
          <t>375</t>
        </is>
      </c>
      <c r="AE1737" s="7" t="inlineStr">
        <is>
          <t>5030</t>
        </is>
      </c>
      <c r="AG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13" t="inlineStr">
        <is>
          <t>P-8a &gt; TAGOS Surtass Ships &gt; Electronics &gt; Command, Control, Communications, Computers and Intelligence (C4I) 1</t>
        </is>
      </c>
      <c r="AD1738" s="7" t="inlineStr">
        <is>
          <t>377</t>
        </is>
      </c>
      <c r="AE1738" s="7" t="inlineStr">
        <is>
          <t>5030</t>
        </is>
      </c>
      <c r="AG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13" t="inlineStr">
        <is>
          <t>P-8a &gt; TAGOS Surtass Ships &gt; Electronics &gt; Surveillance Towed Array Sensor System (SURTASS) 4</t>
        </is>
      </c>
      <c r="AD1739" s="7" t="inlineStr">
        <is>
          <t>377</t>
        </is>
      </c>
      <c r="AE1739" s="7" t="inlineStr">
        <is>
          <t>5030</t>
        </is>
      </c>
      <c r="AG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13" t="inlineStr">
        <is>
          <t>P-35 &gt; TAGOS Surtass Ships &gt; Command, Control, Communications, Computers and Intelligence (C4I) &gt; Major Hardware                                                                                            1</t>
        </is>
      </c>
      <c r="AD1740" s="7" t="inlineStr">
        <is>
          <t>378</t>
        </is>
      </c>
      <c r="AE1740" s="7" t="inlineStr">
        <is>
          <t>5030</t>
        </is>
      </c>
      <c r="AG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13" t="inlineStr">
        <is>
          <t>P-35 &gt; TAGOS Surtass Ships &gt; Command, Control, Communications, Computers and Intelligence (C4I) &gt; Ancillary Equipment</t>
        </is>
      </c>
      <c r="AD1741" s="7" t="inlineStr">
        <is>
          <t>378</t>
        </is>
      </c>
      <c r="AE1741" s="7" t="inlineStr">
        <is>
          <t>5030</t>
        </is>
      </c>
      <c r="AG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13" t="inlineStr">
        <is>
          <t>P-35 &gt; TAGOS Surtass Ships &gt; Command, Control, Communications, Computers and Intelligence (C4I) &gt; System Engineering                                                                                        0</t>
        </is>
      </c>
      <c r="AD1742" s="7" t="inlineStr">
        <is>
          <t>378</t>
        </is>
      </c>
      <c r="AE1742" s="7" t="inlineStr">
        <is>
          <t>5030</t>
        </is>
      </c>
      <c r="AG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13" t="inlineStr">
        <is>
          <t>P-35 &gt; TAGOS Surtass Ships &gt; Command, Control, Communications, Computers and Intelligence (C4I) &gt; Other Costs</t>
        </is>
      </c>
      <c r="AD1743" s="7" t="inlineStr">
        <is>
          <t>378</t>
        </is>
      </c>
      <c r="AE1743" s="7" t="inlineStr">
        <is>
          <t>5030</t>
        </is>
      </c>
      <c r="AG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13" t="inlineStr">
        <is>
          <t>P-35 &gt; TAGOS Surtass Ships &gt; Surveillance Towed Array Sensor System (SURTASS) &gt; Major Hardware                                                                                                1</t>
        </is>
      </c>
      <c r="AD1744" s="7" t="inlineStr">
        <is>
          <t>379</t>
        </is>
      </c>
      <c r="AE1744" s="7" t="inlineStr">
        <is>
          <t>5030</t>
        </is>
      </c>
      <c r="AG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13" t="inlineStr">
        <is>
          <t>P-35 &gt; TAGOS Surtass Ships &gt; Surveillance Towed Array Sensor System (SURTASS) &gt; Ancillary Equipment</t>
        </is>
      </c>
      <c r="AD1745" s="7" t="inlineStr">
        <is>
          <t>379</t>
        </is>
      </c>
      <c r="AE1745" s="7" t="inlineStr">
        <is>
          <t>5030</t>
        </is>
      </c>
      <c r="AG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13" t="inlineStr">
        <is>
          <t>P-35 &gt; TAGOS Surtass Ships &gt; Surveillance Towed Array Sensor System (SURTASS) &gt; System Engineering</t>
        </is>
      </c>
      <c r="AD1746" s="7" t="inlineStr">
        <is>
          <t>379</t>
        </is>
      </c>
      <c r="AE1746" s="7" t="inlineStr">
        <is>
          <t>5030</t>
        </is>
      </c>
      <c r="AG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13" t="inlineStr">
        <is>
          <t>P-35 &gt; TAGOS Surtass Ships &gt; Surveillance Towed Array Sensor System (SURTASS) &gt; Active Array                                                                                                  1</t>
        </is>
      </c>
      <c r="AD1747" s="7" t="inlineStr">
        <is>
          <t>379</t>
        </is>
      </c>
      <c r="AE1747" s="7" t="inlineStr">
        <is>
          <t>5030</t>
        </is>
      </c>
      <c r="AG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13" t="inlineStr">
        <is>
          <t>P-35 &gt; TAGOS Surtass Ships &gt; Surveillance Towed Array Sensor System (SURTASS) &gt; Active Handling System                                                                                        1</t>
        </is>
      </c>
      <c r="AD1748" s="7" t="inlineStr">
        <is>
          <t>379</t>
        </is>
      </c>
      <c r="AE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13" t="inlineStr">
        <is>
          <t>P-35 &gt; TAGOS Surtass Ships &gt; Surveillance Towed Array Sensor System (SURTASS) &gt; Passive Handling System                                                                                       1</t>
        </is>
      </c>
      <c r="AD1749" s="7" t="inlineStr">
        <is>
          <t>379</t>
        </is>
      </c>
      <c r="AE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13" t="inlineStr">
        <is>
          <t>P-5c &gt; Towing, Salvage, and Rescue Ship (ATS) &gt; Basic Construction</t>
        </is>
      </c>
      <c r="AD1750" s="7" t="inlineStr">
        <is>
          <t>383</t>
        </is>
      </c>
      <c r="AE1750" s="7" t="inlineStr">
        <is>
          <t>5035</t>
        </is>
      </c>
      <c r="AG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13" t="inlineStr">
        <is>
          <t>P-5c &gt; Towing, Salvage, and Rescue Ship (ATS) &gt; Change Orders</t>
        </is>
      </c>
      <c r="AD1751" s="7" t="inlineStr">
        <is>
          <t>383</t>
        </is>
      </c>
      <c r="AE1751" s="7" t="inlineStr">
        <is>
          <t>5035</t>
        </is>
      </c>
      <c r="AG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13" t="inlineStr">
        <is>
          <t>P-5c &gt; Towing, Salvage, and Rescue Ship (ATS) &gt; Electronics</t>
        </is>
      </c>
      <c r="AD1752" s="7" t="inlineStr">
        <is>
          <t>383</t>
        </is>
      </c>
      <c r="AE1752" s="7" t="inlineStr">
        <is>
          <t>5035</t>
        </is>
      </c>
      <c r="AG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13" t="inlineStr">
        <is>
          <t>P-5c &gt; Oceanographic Ships &gt; Basic Construction</t>
        </is>
      </c>
      <c r="AD1753" s="7" t="inlineStr">
        <is>
          <t>387</t>
        </is>
      </c>
      <c r="AE1753" s="7" t="inlineStr">
        <is>
          <t>5087</t>
        </is>
      </c>
      <c r="AG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13" t="inlineStr">
        <is>
          <t>P-5c &gt; Oceanographic Ships &gt; Change Orders</t>
        </is>
      </c>
      <c r="AD1754" s="7" t="inlineStr">
        <is>
          <t>387</t>
        </is>
      </c>
      <c r="AE1754" s="7" t="inlineStr">
        <is>
          <t>5087</t>
        </is>
      </c>
      <c r="AG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13" t="inlineStr">
        <is>
          <t>P-5c &gt; Oceanographic Ships &gt; Electronics</t>
        </is>
      </c>
      <c r="AD1755" s="7" t="inlineStr">
        <is>
          <t>387</t>
        </is>
      </c>
      <c r="AE1755" s="7" t="inlineStr">
        <is>
          <t>5087</t>
        </is>
      </c>
      <c r="AG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13" t="inlineStr">
        <is>
          <t>P-5c &gt; Oceanographic Ships &gt; Hull, Mechanical, and Electrical</t>
        </is>
      </c>
      <c r="AD1756" s="7" t="inlineStr">
        <is>
          <t>387</t>
        </is>
      </c>
      <c r="AE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13" t="inlineStr">
        <is>
          <t>P-5c &gt; LCU 1700 &gt; Basic Construction</t>
        </is>
      </c>
      <c r="AD1757" s="7" t="inlineStr">
        <is>
          <t>392</t>
        </is>
      </c>
      <c r="AE1757" s="7" t="inlineStr">
        <is>
          <t>5100</t>
        </is>
      </c>
      <c r="AG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13" t="inlineStr">
        <is>
          <t>P-5c &gt; LCU 1700 &gt; Change Orders</t>
        </is>
      </c>
      <c r="AD1758" s="7" t="inlineStr">
        <is>
          <t>392</t>
        </is>
      </c>
      <c r="AE1758" s="7" t="inlineStr">
        <is>
          <t>5100</t>
        </is>
      </c>
      <c r="AG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13" t="inlineStr">
        <is>
          <t>P-5c &gt; LCU 1700 &gt; Electronics</t>
        </is>
      </c>
      <c r="AD1759" s="7" t="inlineStr">
        <is>
          <t>392</t>
        </is>
      </c>
      <c r="AE1759" s="7" t="inlineStr">
        <is>
          <t>5100</t>
        </is>
      </c>
      <c r="AG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13" t="inlineStr">
        <is>
          <t>P-5c &gt; LCU 1700 &gt; Hull, Mechanical, and Electrical</t>
        </is>
      </c>
      <c r="AD1760" s="7" t="inlineStr">
        <is>
          <t>392</t>
        </is>
      </c>
      <c r="AE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13" t="inlineStr">
        <is>
          <t>P-5c &gt; LCU 1700 &gt; Other Cost</t>
        </is>
      </c>
      <c r="AD1761" s="7" t="inlineStr">
        <is>
          <t>392</t>
        </is>
      </c>
      <c r="AE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13" t="inlineStr">
        <is>
          <t>P-5c &gt; Ship to Shore Connector &gt; Basic Construction</t>
        </is>
      </c>
      <c r="AD1762" s="7" t="inlineStr">
        <is>
          <t>410</t>
        </is>
      </c>
      <c r="AE1762" s="7" t="inlineStr">
        <is>
          <t>5112</t>
        </is>
      </c>
      <c r="AG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13" t="inlineStr">
        <is>
          <t>P-5c &gt; Ship to Shore Connector &gt; Change Orders</t>
        </is>
      </c>
      <c r="AD1763" s="7" t="inlineStr">
        <is>
          <t>410</t>
        </is>
      </c>
      <c r="AE1763" s="7" t="inlineStr">
        <is>
          <t>5112</t>
        </is>
      </c>
      <c r="AG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13" t="inlineStr">
        <is>
          <t>P-5c &gt; Ship to Shore Connector &gt; Electronics</t>
        </is>
      </c>
      <c r="AD1764" s="7" t="inlineStr">
        <is>
          <t>410</t>
        </is>
      </c>
      <c r="AE1764" s="7" t="inlineStr">
        <is>
          <t>5112</t>
        </is>
      </c>
      <c r="AG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13" t="inlineStr">
        <is>
          <t>P-5c &gt; Ship to Shore Connector &gt; Other Cost</t>
        </is>
      </c>
      <c r="AD1765" s="7" t="inlineStr">
        <is>
          <t>410</t>
        </is>
      </c>
      <c r="AE1765" s="7" t="inlineStr">
        <is>
          <t>5112</t>
        </is>
      </c>
      <c r="AG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13" t="inlineStr">
        <is>
          <t>P-8a &gt; Ship to Shore Connector &gt; Hull, Mechanical, and Electrical &gt; MT7 Engines, Skirt &amp; Composite Components 16</t>
        </is>
      </c>
      <c r="AD1766" s="7" t="inlineStr">
        <is>
          <t>412</t>
        </is>
      </c>
      <c r="AE1766" s="7" t="inlineStr">
        <is>
          <t>5112</t>
        </is>
      </c>
      <c r="AG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13" t="inlineStr">
        <is>
          <t>P-8a &gt; Ship to Shore Connector &gt; Hull, Mechanical, and Electrical &gt; Ship Design and Engineering Services</t>
        </is>
      </c>
      <c r="AD1767" s="7" t="inlineStr">
        <is>
          <t>412</t>
        </is>
      </c>
      <c r="AE1767" s="7" t="inlineStr">
        <is>
          <t>5112</t>
        </is>
      </c>
      <c r="AG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13" t="inlineStr">
        <is>
          <t>P-8a &gt; Ship to Shore Connector &gt; Hull, Mechanical, and Electrical &gt; SUPSHIP Material/Services</t>
        </is>
      </c>
      <c r="AD1768" s="7" t="inlineStr">
        <is>
          <t>412</t>
        </is>
      </c>
      <c r="AE1768" s="7" t="inlineStr">
        <is>
          <t>5112</t>
        </is>
      </c>
      <c r="AG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13" t="inlineStr">
        <is>
          <t>P-5c &gt; Service Craft &gt; Basic Construction</t>
        </is>
      </c>
      <c r="AD1769" s="7" t="inlineStr">
        <is>
          <t>417</t>
        </is>
      </c>
      <c r="AE1769" s="7" t="inlineStr">
        <is>
          <t>5113</t>
        </is>
      </c>
      <c r="AG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13" t="inlineStr">
        <is>
          <t>P-5c &gt; Service Craft &gt; Change Orders</t>
        </is>
      </c>
      <c r="AD1770" s="7" t="inlineStr">
        <is>
          <t>417</t>
        </is>
      </c>
      <c r="AE1770" s="7" t="inlineStr">
        <is>
          <t>5113</t>
        </is>
      </c>
      <c r="AG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13" t="inlineStr">
        <is>
          <t>P-5c &gt; Service Craft &gt; 1 YRBM: $</t>
        </is>
      </c>
      <c r="AD1771" s="7" t="inlineStr">
        <is>
          <t>418</t>
        </is>
      </c>
      <c r="AE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13" t="inlineStr">
        <is>
          <t>P-5c &gt; Service Craft &gt; 2 YON: $</t>
        </is>
      </c>
      <c r="AD1772" s="7" t="inlineStr">
        <is>
          <t>418</t>
        </is>
      </c>
      <c r="AE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13" t="inlineStr">
        <is>
          <t>P-5c &gt; Auxiliary Personnel Lighter &gt; Basic Construction</t>
        </is>
      </c>
      <c r="AD1773" s="7" t="inlineStr">
        <is>
          <t>423</t>
        </is>
      </c>
      <c r="AE1773" s="7" t="inlineStr">
        <is>
          <t>5114</t>
        </is>
      </c>
      <c r="AG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13" t="inlineStr">
        <is>
          <t>P-5c &gt; Auxiliary Personnel Lighter &gt; Change Orders</t>
        </is>
      </c>
      <c r="AD1774" s="7" t="inlineStr">
        <is>
          <t>423</t>
        </is>
      </c>
      <c r="AE1774" s="7" t="inlineStr">
        <is>
          <t>5114</t>
        </is>
      </c>
      <c r="AG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13" t="inlineStr">
        <is>
          <t>P-5c &gt; Auxiliary Personnel Lighter &gt; Hull, Mechanical, and Electrical</t>
        </is>
      </c>
      <c r="AD1775" s="7" t="inlineStr">
        <is>
          <t>423</t>
        </is>
      </c>
      <c r="AE1775" s="7" t="inlineStr">
        <is>
          <t>5114</t>
        </is>
      </c>
      <c r="AG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13" t="inlineStr">
        <is>
          <t>P-5c &gt; LCAC SLEP &gt; Basic Construction</t>
        </is>
      </c>
      <c r="AD1776" s="7" t="inlineStr">
        <is>
          <t>427</t>
        </is>
      </c>
      <c r="AE1776" s="7" t="inlineStr">
        <is>
          <t>5139</t>
        </is>
      </c>
      <c r="AG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13" t="inlineStr">
        <is>
          <t>P-5c &gt; LCAC SLEP &gt; Electronics</t>
        </is>
      </c>
      <c r="AD1777" s="7" t="inlineStr">
        <is>
          <t>427</t>
        </is>
      </c>
      <c r="AE1777" s="7" t="inlineStr">
        <is>
          <t>5139</t>
        </is>
      </c>
      <c r="AG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13" t="inlineStr">
        <is>
          <t>P-5c &gt; LCAC SLEP &gt; Hull, Mechanical, and Electrical</t>
        </is>
      </c>
      <c r="AD1778" s="7" t="inlineStr">
        <is>
          <t>427</t>
        </is>
      </c>
      <c r="AE1778" s="7" t="inlineStr">
        <is>
          <t>5139</t>
        </is>
      </c>
      <c r="AG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13" t="inlineStr">
        <is>
          <t>P-5c &gt; LCAC SLEP &gt; Other Cost</t>
        </is>
      </c>
      <c r="AD1779" s="7" t="inlineStr">
        <is>
          <t>427</t>
        </is>
      </c>
      <c r="AE1779" s="7" t="inlineStr">
        <is>
          <t>5139</t>
        </is>
      </c>
      <c r="AG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13" t="inlineStr">
        <is>
          <t>P-5c &gt; Auxiliary Vessels (Used Sealift) &gt; Basic Construction</t>
        </is>
      </c>
      <c r="AD1780" s="7" t="inlineStr">
        <is>
          <t>431</t>
        </is>
      </c>
      <c r="AE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13" t="inlineStr">
        <is>
          <t>Transportation &gt; Exhibit Fund-11 &gt; Line 1. New Orders</t>
        </is>
      </c>
      <c r="AD1781" s="7" t="inlineStr">
        <is>
          <t>228</t>
        </is>
      </c>
      <c r="AE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13" t="inlineStr">
        <is>
          <t>Transportation &gt; Exhibit Fund-14 &gt; Total Income</t>
        </is>
      </c>
      <c r="AD1782" s="7" t="inlineStr">
        <is>
          <t>230</t>
        </is>
      </c>
      <c r="AE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13" t="inlineStr">
        <is>
          <t>Transportation &gt; Exhibit Fund-14 &gt; Total Expenses</t>
        </is>
      </c>
      <c r="AD1783" s="7" t="inlineStr">
        <is>
          <t>230</t>
        </is>
      </c>
      <c r="AE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13" t="inlineStr">
        <is>
          <t>Transportation &gt; Narrative &gt; Significant Changes &gt; CLF</t>
        </is>
      </c>
      <c r="AD1784" s="7" t="inlineStr">
        <is>
          <t>214</t>
        </is>
      </c>
      <c r="AE1784" s="7" t="inlineStr">
        <is>
          <t>NWCF-Transportation</t>
        </is>
      </c>
      <c r="AF1784" s="7" t="inlineStr">
        <is>
          <t>CLF</t>
        </is>
      </c>
      <c r="AG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13" t="inlineStr">
        <is>
          <t>Transportation &gt; Narrative &gt; Significant Changes &gt; SMS</t>
        </is>
      </c>
      <c r="AD1785" s="7" t="inlineStr">
        <is>
          <t>214</t>
        </is>
      </c>
      <c r="AE1785" s="7" t="inlineStr">
        <is>
          <t>NWCF-Transportation</t>
        </is>
      </c>
      <c r="AF1785" s="7" t="inlineStr">
        <is>
          <t>SMS</t>
        </is>
      </c>
      <c r="AG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13" t="inlineStr">
        <is>
          <t>Transportation &gt; Narrative &gt; Significant Changes &gt; APF-N</t>
        </is>
      </c>
      <c r="AD1786" s="7" t="inlineStr">
        <is>
          <t>216</t>
        </is>
      </c>
      <c r="AE1786" s="7" t="inlineStr">
        <is>
          <t>NWCF-Transportation</t>
        </is>
      </c>
      <c r="AF1786" s="7" t="inlineStr">
        <is>
          <t>APF-N</t>
        </is>
      </c>
      <c r="AG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13" t="inlineStr">
        <is>
          <t>Transportation &gt; Narrative &gt; Significant Changes &gt; SSS</t>
        </is>
      </c>
      <c r="AD1787" s="7" t="inlineStr">
        <is>
          <t>215</t>
        </is>
      </c>
      <c r="AE1787" s="7" t="inlineStr">
        <is>
          <t>NWCF-Transportation</t>
        </is>
      </c>
      <c r="AF1787" s="7" t="inlineStr">
        <is>
          <t>SSS</t>
        </is>
      </c>
      <c r="AG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13" t="inlineStr">
        <is>
          <t>Transportation &gt; Exhibit Fund-2 &gt; Program Changes</t>
        </is>
      </c>
      <c r="AD1788" s="7" t="inlineStr">
        <is>
          <t>220</t>
        </is>
      </c>
      <c r="AE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13" t="inlineStr">
        <is>
          <t>Transportation &gt; Narrative &gt; Unit Cost Ratio</t>
        </is>
      </c>
      <c r="AD1789" s="7" t="inlineStr">
        <is>
          <t>217</t>
        </is>
      </c>
      <c r="AE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13" t="inlineStr">
        <is>
          <t>Transportation &gt; Narrative &gt; Unit Cost Ratio</t>
        </is>
      </c>
      <c r="AD1790" s="7" t="inlineStr">
        <is>
          <t>217</t>
        </is>
      </c>
      <c r="AE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13" t="inlineStr">
        <is>
          <t>Transportation &gt; Narrative &gt; Unit Cost Ratio</t>
        </is>
      </c>
      <c r="AD1791" s="7" t="inlineStr">
        <is>
          <t>217</t>
        </is>
      </c>
      <c r="AE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13" t="inlineStr">
        <is>
          <t>Transportation &gt; Narrative &gt; Unit Cost Ratio</t>
        </is>
      </c>
      <c r="AD1792" s="7" t="inlineStr">
        <is>
          <t>217</t>
        </is>
      </c>
      <c r="AE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13" t="inlineStr">
        <is>
          <t>Transportation &gt; Narrative &gt; Workload</t>
        </is>
      </c>
      <c r="AD1793" s="7" t="inlineStr">
        <is>
          <t>218</t>
        </is>
      </c>
      <c r="AE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13" t="inlineStr">
        <is>
          <t>Transportation &gt; Narrative &gt; Workload</t>
        </is>
      </c>
      <c r="AD1794" s="7" t="inlineStr">
        <is>
          <t>218</t>
        </is>
      </c>
      <c r="AE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13" t="inlineStr">
        <is>
          <t>Transportation &gt; Narrative &gt; Workload</t>
        </is>
      </c>
      <c r="AD1795" s="7" t="inlineStr">
        <is>
          <t>218</t>
        </is>
      </c>
      <c r="AE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13" t="inlineStr">
        <is>
          <t>Transportation &gt; Narrative &gt; Workload</t>
        </is>
      </c>
      <c r="AD1796" s="7" t="inlineStr">
        <is>
          <t>218</t>
        </is>
      </c>
      <c r="AE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13" t="inlineStr">
        <is>
          <t>Transportation &gt; Exhibit Fund-11 &gt; O &amp; M Navy</t>
        </is>
      </c>
      <c r="AD1797" s="7" t="inlineStr">
        <is>
          <t>228</t>
        </is>
      </c>
      <c r="AE1797" s="7" t="inlineStr">
        <is>
          <t>NWCF-Transportation</t>
        </is>
      </c>
      <c r="AF1797" s="7" t="inlineStr">
        <is>
          <t>O &amp; M Navy</t>
        </is>
      </c>
      <c r="AG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13" t="inlineStr">
        <is>
          <t>Transportation &gt; Exhibit Fund-11 &gt; O &amp; M Marine Corps</t>
        </is>
      </c>
      <c r="AD1798" s="7" t="inlineStr">
        <is>
          <t>228</t>
        </is>
      </c>
      <c r="AE1798" s="7" t="inlineStr">
        <is>
          <t>NWCF-Transportation</t>
        </is>
      </c>
      <c r="AF1798" s="7" t="inlineStr">
        <is>
          <t>O &amp; M Marine Corps</t>
        </is>
      </c>
      <c r="AG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13" t="inlineStr">
        <is>
          <t>Transportation &gt; Exhibit Fund-11 &gt; Shipbuilding &amp; Conversion Navy</t>
        </is>
      </c>
      <c r="AD1799" s="7" t="inlineStr">
        <is>
          <t>228</t>
        </is>
      </c>
      <c r="AE1799" s="7" t="inlineStr">
        <is>
          <t>NWCF-Transportation</t>
        </is>
      </c>
      <c r="AF1799" s="7" t="inlineStr">
        <is>
          <t>Shipbuilding &amp; Conversion Navy</t>
        </is>
      </c>
      <c r="AG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13" t="inlineStr">
        <is>
          <t>Transportation &gt; Exhibit Fund-11 &gt; Other Procurement Navy</t>
        </is>
      </c>
      <c r="AD1800" s="7" t="inlineStr">
        <is>
          <t>228</t>
        </is>
      </c>
      <c r="AE1800" s="7" t="inlineStr">
        <is>
          <t>NWCF-Transportation</t>
        </is>
      </c>
      <c r="AF1800" s="7" t="inlineStr">
        <is>
          <t>Other Procurement Navy</t>
        </is>
      </c>
      <c r="AG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13" t="inlineStr">
        <is>
          <t>Transportation &gt; Exhibit Fund-11 &gt; Research Dev. Test &amp; Eval. Navy</t>
        </is>
      </c>
      <c r="AD1801" s="7" t="inlineStr">
        <is>
          <t>228</t>
        </is>
      </c>
      <c r="AE1801" s="7" t="inlineStr">
        <is>
          <t>NWCF-Transportation</t>
        </is>
      </c>
      <c r="AF1801" s="7" t="inlineStr">
        <is>
          <t>Research Dev. Test &amp; Eval. Navy</t>
        </is>
      </c>
      <c r="AG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13" t="inlineStr">
        <is>
          <t>Transportation &gt; Exhibit Fund-11 &gt; National Defense Sealift Fund</t>
        </is>
      </c>
      <c r="AD1802" s="7" t="inlineStr">
        <is>
          <t>228</t>
        </is>
      </c>
      <c r="AE1802" s="7" t="inlineStr">
        <is>
          <t>NWCF-Transportation</t>
        </is>
      </c>
      <c r="AF1802" s="7" t="inlineStr">
        <is>
          <t>National Defense Sealift Fund</t>
        </is>
      </c>
      <c r="AG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13" t="inlineStr">
        <is>
          <t>Transportation &gt; Exhibit Fund-11 &gt; Air Force Operation &amp; Maintenance</t>
        </is>
      </c>
      <c r="AD1803" s="7" t="inlineStr">
        <is>
          <t>228</t>
        </is>
      </c>
      <c r="AE1803" s="7" t="inlineStr">
        <is>
          <t>NWCF-Transportation</t>
        </is>
      </c>
      <c r="AF1803" s="7" t="inlineStr">
        <is>
          <t>Air Force Operation &amp; Maintenance</t>
        </is>
      </c>
      <c r="AG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13" t="inlineStr">
        <is>
          <t>Transportation &gt; Exhibit Fund-11 &gt; DOD O&amp;M Accounts</t>
        </is>
      </c>
      <c r="AD1804" s="7" t="inlineStr">
        <is>
          <t>229</t>
        </is>
      </c>
      <c r="AE1804" s="7" t="inlineStr">
        <is>
          <t>NWCF-Transportation</t>
        </is>
      </c>
      <c r="AF1804" s="7" t="inlineStr">
        <is>
          <t>DOD O&amp;M Accounts</t>
        </is>
      </c>
      <c r="AG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13" t="inlineStr">
        <is>
          <t>Transportation &gt; Exhibit Fund-11 &gt; DOD Res Dev Test &amp; Eval Accounts</t>
        </is>
      </c>
      <c r="AD1805" s="7" t="inlineStr">
        <is>
          <t>229</t>
        </is>
      </c>
      <c r="AE1805" s="7" t="inlineStr">
        <is>
          <t>NWCF-Transportation</t>
        </is>
      </c>
      <c r="AF1805" s="7" t="inlineStr">
        <is>
          <t>DOD Res Dev Test &amp; Eval Accounts</t>
        </is>
      </c>
      <c r="AG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13" t="inlineStr">
        <is>
          <t>Transportation &gt; Exhibit Fund-11 &gt; Carry-In Orders</t>
        </is>
      </c>
      <c r="AD1806" s="7" t="inlineStr">
        <is>
          <t>229</t>
        </is>
      </c>
      <c r="AE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13" t="inlineStr">
        <is>
          <t>Transportation &gt; Exhibit Fund-11 &gt; Total Gross Orders</t>
        </is>
      </c>
      <c r="AD1807" s="7" t="inlineStr">
        <is>
          <t>229</t>
        </is>
      </c>
      <c r="AE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13" t="inlineStr">
        <is>
          <t>Transportation &gt; Exhibit Fund-14 &gt; Military Personnel Compensation &amp; Benefits</t>
        </is>
      </c>
      <c r="AD1808" s="7" t="inlineStr">
        <is>
          <t>230</t>
        </is>
      </c>
      <c r="AE1808" s="7" t="inlineStr">
        <is>
          <t>NWCF-Transportation</t>
        </is>
      </c>
      <c r="AF1808" s="7" t="inlineStr">
        <is>
          <t>Military Personnel Compensation &amp; Benefits</t>
        </is>
      </c>
      <c r="AG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13" t="inlineStr">
        <is>
          <t>Transportation &gt; Exhibit Fund-14 &gt; Civilian Personnel Compensation &amp; Benefits</t>
        </is>
      </c>
      <c r="AD1809" s="7" t="inlineStr">
        <is>
          <t>230</t>
        </is>
      </c>
      <c r="AE1809" s="7" t="inlineStr">
        <is>
          <t>NWCF-Transportation</t>
        </is>
      </c>
      <c r="AF1809" s="7" t="inlineStr">
        <is>
          <t>Civilian Personnel Compensation &amp; Benefits</t>
        </is>
      </c>
      <c r="AG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13" t="inlineStr">
        <is>
          <t>Transportation &gt; Exhibit Fund-14 &gt; Travel and Transportation of Personnel</t>
        </is>
      </c>
      <c r="AD1810" s="7" t="inlineStr">
        <is>
          <t>230</t>
        </is>
      </c>
      <c r="AE1810" s="7" t="inlineStr">
        <is>
          <t>NWCF-Transportation</t>
        </is>
      </c>
      <c r="AF1810" s="7" t="inlineStr">
        <is>
          <t>Travel and Transportation of Personnel</t>
        </is>
      </c>
      <c r="AG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13" t="inlineStr">
        <is>
          <t>Transportation &gt; Exhibit Fund-14 &gt; Material &amp; Supplies</t>
        </is>
      </c>
      <c r="AD1811" s="7" t="inlineStr">
        <is>
          <t>230</t>
        </is>
      </c>
      <c r="AE1811" s="7" t="inlineStr">
        <is>
          <t>NWCF-Transportation</t>
        </is>
      </c>
      <c r="AF1811" s="7" t="inlineStr">
        <is>
          <t>Material &amp; Supplies</t>
        </is>
      </c>
      <c r="AG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13" t="inlineStr">
        <is>
          <t>Transportation &gt; Exhibit Fund-14 &gt; Equipment</t>
        </is>
      </c>
      <c r="AD1812" s="7" t="inlineStr">
        <is>
          <t>230</t>
        </is>
      </c>
      <c r="AE1812" s="7" t="inlineStr">
        <is>
          <t>NWCF-Transportation</t>
        </is>
      </c>
      <c r="AF1812" s="7" t="inlineStr">
        <is>
          <t>Equipment</t>
        </is>
      </c>
      <c r="AG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13" t="inlineStr">
        <is>
          <t>Transportation &gt; Exhibit Fund-14 &gt; Transportation of Things</t>
        </is>
      </c>
      <c r="AD1813" s="7" t="inlineStr">
        <is>
          <t>230</t>
        </is>
      </c>
      <c r="AE1813" s="7" t="inlineStr">
        <is>
          <t>NWCF-Transportation</t>
        </is>
      </c>
      <c r="AF1813" s="7" t="inlineStr">
        <is>
          <t>Transportation of Things</t>
        </is>
      </c>
      <c r="AG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13" t="inlineStr">
        <is>
          <t>Transportation &gt; Exhibit Fund-14 &gt; Advisory and Assistance Services</t>
        </is>
      </c>
      <c r="AD1814" s="7" t="inlineStr">
        <is>
          <t>230</t>
        </is>
      </c>
      <c r="AE1814" s="7" t="inlineStr">
        <is>
          <t>NWCF-Transportation</t>
        </is>
      </c>
      <c r="AF1814" s="7" t="inlineStr">
        <is>
          <t>Advisory and Assistance Services</t>
        </is>
      </c>
      <c r="AG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13" t="inlineStr">
        <is>
          <t>Transportation &gt; Exhibit Fund-14 &gt; Rent Communication Utilities &amp; Misc Charges</t>
        </is>
      </c>
      <c r="AD1815" s="7" t="inlineStr">
        <is>
          <t>230</t>
        </is>
      </c>
      <c r="AE1815" s="7" t="inlineStr">
        <is>
          <t>NWCF-Transportation</t>
        </is>
      </c>
      <c r="AF1815" s="7" t="inlineStr">
        <is>
          <t>Rent Communication Utilities &amp; Misc Charges</t>
        </is>
      </c>
      <c r="AG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13" t="inlineStr">
        <is>
          <t>Transportation &gt; Exhibit Fund-14 &gt; Other Purchased Services</t>
        </is>
      </c>
      <c r="AD1816" s="7" t="inlineStr">
        <is>
          <t>230</t>
        </is>
      </c>
      <c r="AE1816" s="7" t="inlineStr">
        <is>
          <t>NWCF-Transportation</t>
        </is>
      </c>
      <c r="AF1816" s="7" t="inlineStr">
        <is>
          <t>Other Purchased Services</t>
        </is>
      </c>
      <c r="AG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13" t="inlineStr">
        <is>
          <t>Transportation &gt; Exhibit Fund-14 &gt; Net Operating Result</t>
        </is>
      </c>
      <c r="AD1817" s="7" t="inlineStr">
        <is>
          <t>230</t>
        </is>
      </c>
      <c r="AE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13" t="inlineStr">
        <is>
          <t>Transportation &gt; Exhibit Fund-15 &gt; Bunker Marine</t>
        </is>
      </c>
      <c r="AD1818" s="7" t="inlineStr">
        <is>
          <t>231</t>
        </is>
      </c>
      <c r="AE1818" s="7" t="inlineStr">
        <is>
          <t>NWCF-Transportation</t>
        </is>
      </c>
      <c r="AF1818" s="7" t="inlineStr">
        <is>
          <t>Bunker Marine</t>
        </is>
      </c>
      <c r="AG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13" t="inlineStr">
        <is>
          <t>Transportation &gt; Exhibit Fund-15 &gt; Distillate (Diesel F76)</t>
        </is>
      </c>
      <c r="AD1819" s="7" t="inlineStr">
        <is>
          <t>231</t>
        </is>
      </c>
      <c r="AE1819" s="7" t="inlineStr">
        <is>
          <t>NWCF-Transportation</t>
        </is>
      </c>
      <c r="AF1819" s="7" t="inlineStr">
        <is>
          <t>Distillate (Diesel F76)</t>
        </is>
      </c>
      <c r="AG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13" t="inlineStr">
        <is>
          <t>Transportation &gt; Exhibit Fund-15 &gt; Total</t>
        </is>
      </c>
      <c r="AD1820" s="7" t="inlineStr">
        <is>
          <t>231</t>
        </is>
      </c>
      <c r="AE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13" t="inlineStr">
        <is>
          <t>Transportation &gt; Exhibit Fund-2 &gt; Pricing Adjustments</t>
        </is>
      </c>
      <c r="AD1821" s="7" t="inlineStr">
        <is>
          <t>220</t>
        </is>
      </c>
      <c r="AE1821" s="7" t="inlineStr">
        <is>
          <t>NWCF-Transportation</t>
        </is>
      </c>
      <c r="AF1821" s="7" t="inlineStr">
        <is>
          <t>Pricing Adjustments</t>
        </is>
      </c>
      <c r="AG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13" t="inlineStr">
        <is>
          <t>Supply Management &gt; Exhibit SM-1 &gt; BP28 Total Obligations</t>
        </is>
      </c>
      <c r="AD1822" s="7" t="inlineStr">
        <is>
          <t>113</t>
        </is>
      </c>
      <c r="AE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13" t="inlineStr">
        <is>
          <t>Supply Management &gt; Exhibit SM-1 &gt; BP28 Variability Target</t>
        </is>
      </c>
      <c r="AD1823" s="7" t="inlineStr">
        <is>
          <t>113</t>
        </is>
      </c>
      <c r="AE1823" s="7" t="inlineStr">
        <is>
          <t>BP28</t>
        </is>
      </c>
      <c r="AF1823" s="7" t="inlineStr">
        <is>
          <t>BP28 Variability Target</t>
        </is>
      </c>
      <c r="AG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13" t="inlineStr">
        <is>
          <t>Supply Management &gt; Exhibit SM-1 &gt; BP28 Target Total</t>
        </is>
      </c>
      <c r="AD1824" s="7" t="inlineStr">
        <is>
          <t>113</t>
        </is>
      </c>
      <c r="AE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13" t="inlineStr">
        <is>
          <t>Supply Management &gt; Exhibit SM-1 &gt; BP28 Inventory</t>
        </is>
      </c>
      <c r="AD1825" s="7" t="inlineStr">
        <is>
          <t>113</t>
        </is>
      </c>
      <c r="AE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13" t="inlineStr">
        <is>
          <t>Supply Management &gt; Exhibit SM-1 &gt; BP81 Total Obligations</t>
        </is>
      </c>
      <c r="AD1826" s="7" t="inlineStr">
        <is>
          <t>113</t>
        </is>
      </c>
      <c r="AE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13" t="inlineStr">
        <is>
          <t>Supply Management &gt; Exhibit SM-1 &gt; BP81 Variability Target</t>
        </is>
      </c>
      <c r="AD1827" s="7" t="inlineStr">
        <is>
          <t>113</t>
        </is>
      </c>
      <c r="AE1827" s="7" t="inlineStr">
        <is>
          <t>BP81</t>
        </is>
      </c>
      <c r="AF1827" s="7" t="inlineStr">
        <is>
          <t>BP81 Variability Target</t>
        </is>
      </c>
      <c r="AG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13" t="inlineStr">
        <is>
          <t>Supply Management &gt; Exhibit SM-1 &gt; BP81 Target Total</t>
        </is>
      </c>
      <c r="AD1828" s="7" t="inlineStr">
        <is>
          <t>113</t>
        </is>
      </c>
      <c r="AE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13" t="inlineStr">
        <is>
          <t>Supply Management &gt; Exhibit SM-1 &gt; BP81 Inventory</t>
        </is>
      </c>
      <c r="AD1829" s="7" t="inlineStr">
        <is>
          <t>113</t>
        </is>
      </c>
      <c r="AE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13" t="inlineStr">
        <is>
          <t>Supply Management &gt; Exhibit SM-1 &gt; BP34 Total Obligations</t>
        </is>
      </c>
      <c r="AD1830" s="7" t="inlineStr">
        <is>
          <t>113</t>
        </is>
      </c>
      <c r="AE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13" t="inlineStr">
        <is>
          <t>Supply Management &gt; Exhibit SM-1 &gt; BP34 Target Total</t>
        </is>
      </c>
      <c r="AD1831" s="7" t="inlineStr">
        <is>
          <t>113</t>
        </is>
      </c>
      <c r="AE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13" t="inlineStr">
        <is>
          <t>Supply Management &gt; Exhibit SM-1 &gt; BP85 Total Obligations</t>
        </is>
      </c>
      <c r="AD1832" s="7" t="inlineStr">
        <is>
          <t>113</t>
        </is>
      </c>
      <c r="AE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13" t="inlineStr">
        <is>
          <t>Supply Management &gt; Exhibit SM-1 &gt; BP85 Variability Target</t>
        </is>
      </c>
      <c r="AD1833" s="7" t="inlineStr">
        <is>
          <t>113</t>
        </is>
      </c>
      <c r="AE1833" s="7" t="inlineStr">
        <is>
          <t>BP85</t>
        </is>
      </c>
      <c r="AF1833" s="7" t="inlineStr">
        <is>
          <t>BP85 Variability Target</t>
        </is>
      </c>
      <c r="AG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13" t="inlineStr">
        <is>
          <t>Supply Management &gt; Exhibit SM-1 &gt; BP85 Target Total</t>
        </is>
      </c>
      <c r="AD1834" s="7" t="inlineStr">
        <is>
          <t>113</t>
        </is>
      </c>
      <c r="AE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13" t="inlineStr">
        <is>
          <t>Supply Management &gt; Exhibit SM-1 &gt; BP91 Total Obligations</t>
        </is>
      </c>
      <c r="AD1835" s="7" t="inlineStr">
        <is>
          <t>113</t>
        </is>
      </c>
      <c r="AE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13" t="inlineStr">
        <is>
          <t>Supply Management &gt; Exhibit SM-1 &gt; Total</t>
        </is>
      </c>
      <c r="AD1836" s="7" t="inlineStr">
        <is>
          <t>113</t>
        </is>
      </c>
      <c r="AE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13" t="inlineStr">
        <is>
          <t>Supply Management &gt; Exhibit SM-3b &gt; BP81 &gt; FY2024 &gt; NUCLEAR</t>
        </is>
      </c>
      <c r="AD1837" s="7" t="inlineStr">
        <is>
          <t>121</t>
        </is>
      </c>
      <c r="AE1837" s="7" t="inlineStr">
        <is>
          <t>BP81</t>
        </is>
      </c>
      <c r="AF1837" s="7" t="inlineStr">
        <is>
          <t>NUCLEAR</t>
        </is>
      </c>
      <c r="AG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13" t="inlineStr">
        <is>
          <t>Supply Management &gt; Exhibit SM-3b &gt; BP81 &gt; FY2024 &gt; AMPHIBIOUS</t>
        </is>
      </c>
      <c r="AD1838" s="7" t="inlineStr">
        <is>
          <t>121</t>
        </is>
      </c>
      <c r="AE1838" s="7" t="inlineStr">
        <is>
          <t>BP81</t>
        </is>
      </c>
      <c r="AF1838" s="7" t="inlineStr">
        <is>
          <t>AMPHIBIOUS</t>
        </is>
      </c>
      <c r="AG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13" t="inlineStr">
        <is>
          <t>Supply Management &gt; Exhibit SM-3b &gt; BP81 &gt; FY2024 &gt; COMMON ELECTRONIC</t>
        </is>
      </c>
      <c r="AD1839" s="7" t="inlineStr">
        <is>
          <t>121</t>
        </is>
      </c>
      <c r="AE1839" s="7" t="inlineStr">
        <is>
          <t>BP81</t>
        </is>
      </c>
      <c r="AF1839" s="7" t="inlineStr">
        <is>
          <t>COMMON ELECTRONIC</t>
        </is>
      </c>
      <c r="AG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13" t="inlineStr">
        <is>
          <t>Supply Management &gt; Exhibit SM-3b &gt; BP81 &gt; FY2024 &gt; COMMON HM&amp;E</t>
        </is>
      </c>
      <c r="AD1840" s="7" t="inlineStr">
        <is>
          <t>121</t>
        </is>
      </c>
      <c r="AE1840" s="7" t="inlineStr">
        <is>
          <t>BP81</t>
        </is>
      </c>
      <c r="AF1840" s="7" t="inlineStr">
        <is>
          <t>COMMON HM&amp;E</t>
        </is>
      </c>
      <c r="AG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13" t="inlineStr">
        <is>
          <t>Supply Management &gt; Exhibit SM-3b &gt; BP81 &gt; FY2024 &gt; CRUDES</t>
        </is>
      </c>
      <c r="AD1841" s="7" t="inlineStr">
        <is>
          <t>121</t>
        </is>
      </c>
      <c r="AE1841" s="7" t="inlineStr">
        <is>
          <t>BP81</t>
        </is>
      </c>
      <c r="AF1841" s="7" t="inlineStr">
        <is>
          <t>CRUDES</t>
        </is>
      </c>
      <c r="AG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13" t="inlineStr">
        <is>
          <t>Supply Management &gt; Exhibit SM-3b &gt; BP81 &gt; FY2024 &gt; CVN</t>
        </is>
      </c>
      <c r="AD1842" s="7" t="inlineStr">
        <is>
          <t>121</t>
        </is>
      </c>
      <c r="AE1842" s="7" t="inlineStr">
        <is>
          <t>BP81</t>
        </is>
      </c>
      <c r="AF1842" s="7" t="inlineStr">
        <is>
          <t>CVN</t>
        </is>
      </c>
      <c r="AG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13" t="inlineStr">
        <is>
          <t>Supply Management &gt; Exhibit SM-3b &gt; BP81 &gt; FY2024 &gt; EXPEDITIONARY</t>
        </is>
      </c>
      <c r="AD1843" s="7" t="inlineStr">
        <is>
          <t>121</t>
        </is>
      </c>
      <c r="AE1843" s="7" t="inlineStr">
        <is>
          <t>BP81</t>
        </is>
      </c>
      <c r="AF1843" s="7" t="inlineStr">
        <is>
          <t>EXPEDITIONARY</t>
        </is>
      </c>
      <c r="AG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13" t="inlineStr">
        <is>
          <t>Supply Management &gt; Exhibit SM-3b &gt; BP81 &gt; FY2024 &gt; UM&amp;SC</t>
        </is>
      </c>
      <c r="AD1844" s="7" t="inlineStr">
        <is>
          <t>121</t>
        </is>
      </c>
      <c r="AE1844" s="7" t="inlineStr">
        <is>
          <t>BP81</t>
        </is>
      </c>
      <c r="AF1844" s="7" t="inlineStr">
        <is>
          <t>UM&amp;SC</t>
        </is>
      </c>
      <c r="AG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13" t="inlineStr">
        <is>
          <t>Supply Management &gt; Exhibit SM-3b &gt; BP81 &gt; FY2024 &gt; L1 ASDS DSSP</t>
        </is>
      </c>
      <c r="AD1845" s="7" t="inlineStr">
        <is>
          <t>121</t>
        </is>
      </c>
      <c r="AE1845" s="7" t="inlineStr">
        <is>
          <t>BP81</t>
        </is>
      </c>
      <c r="AF1845" s="7" t="inlineStr">
        <is>
          <t>L1 ASDS DSSP</t>
        </is>
      </c>
      <c r="AG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13" t="inlineStr">
        <is>
          <t>Supply Management &gt; Exhibit SM-3b &gt; BP81 &gt; FY2024 &gt; SUBMARINE</t>
        </is>
      </c>
      <c r="AD1846" s="7" t="inlineStr">
        <is>
          <t>121</t>
        </is>
      </c>
      <c r="AE1846" s="7" t="inlineStr">
        <is>
          <t>BP81</t>
        </is>
      </c>
      <c r="AF1846" s="7" t="inlineStr">
        <is>
          <t>SUBMARINE</t>
        </is>
      </c>
      <c r="AG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13" t="inlineStr">
        <is>
          <t>Supply Management &gt; Exhibit SM-3b &gt; BP81 &gt; FY2024 &gt; Total</t>
        </is>
      </c>
      <c r="AD1847" s="7" t="inlineStr">
        <is>
          <t>121</t>
        </is>
      </c>
      <c r="AE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13" t="inlineStr">
        <is>
          <t>Supply Management &gt; Exhibit SM-3b &gt; BP81 &gt; FY2025 &gt; NUCLEAR</t>
        </is>
      </c>
      <c r="AD1848" s="7" t="inlineStr">
        <is>
          <t>122</t>
        </is>
      </c>
      <c r="AE1848" s="7" t="inlineStr">
        <is>
          <t>BP81</t>
        </is>
      </c>
      <c r="AF1848" s="7" t="inlineStr">
        <is>
          <t>NUCLEAR</t>
        </is>
      </c>
      <c r="AG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13" t="inlineStr">
        <is>
          <t>Supply Management &gt; Exhibit SM-3b &gt; BP81 &gt; FY2025 &gt; AMPHIBIOUS</t>
        </is>
      </c>
      <c r="AD1849" s="7" t="inlineStr">
        <is>
          <t>122</t>
        </is>
      </c>
      <c r="AE1849" s="7" t="inlineStr">
        <is>
          <t>BP81</t>
        </is>
      </c>
      <c r="AF1849" s="7" t="inlineStr">
        <is>
          <t>AMPHIBIOUS</t>
        </is>
      </c>
      <c r="AG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13" t="inlineStr">
        <is>
          <t>Supply Management &gt; Exhibit SM-3b &gt; BP81 &gt; FY2025 &gt; COMMON ELECTRONIC</t>
        </is>
      </c>
      <c r="AD1850" s="7" t="inlineStr">
        <is>
          <t>122</t>
        </is>
      </c>
      <c r="AE1850" s="7" t="inlineStr">
        <is>
          <t>BP81</t>
        </is>
      </c>
      <c r="AF1850" s="7" t="inlineStr">
        <is>
          <t>COMMON ELECTRONIC</t>
        </is>
      </c>
      <c r="AG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13" t="inlineStr">
        <is>
          <t>Supply Management &gt; Exhibit SM-3b &gt; BP81 &gt; FY2025 &gt; COMMON HM&amp;E</t>
        </is>
      </c>
      <c r="AD1851" s="7" t="inlineStr">
        <is>
          <t>122</t>
        </is>
      </c>
      <c r="AE1851" s="7" t="inlineStr">
        <is>
          <t>BP81</t>
        </is>
      </c>
      <c r="AF1851" s="7" t="inlineStr">
        <is>
          <t>COMMON HM&amp;E</t>
        </is>
      </c>
      <c r="AG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13" t="inlineStr">
        <is>
          <t>Supply Management &gt; Exhibit SM-3b &gt; BP81 &gt; FY2025 &gt; CRUDES</t>
        </is>
      </c>
      <c r="AD1852" s="7" t="inlineStr">
        <is>
          <t>122</t>
        </is>
      </c>
      <c r="AE1852" s="7" t="inlineStr">
        <is>
          <t>BP81</t>
        </is>
      </c>
      <c r="AF1852" s="7" t="inlineStr">
        <is>
          <t>CRUDES</t>
        </is>
      </c>
      <c r="AG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13" t="inlineStr">
        <is>
          <t>Supply Management &gt; Exhibit SM-3b &gt; BP81 &gt; FY2025 &gt; CVN</t>
        </is>
      </c>
      <c r="AD1853" s="7" t="inlineStr">
        <is>
          <t>122</t>
        </is>
      </c>
      <c r="AE1853" s="7" t="inlineStr">
        <is>
          <t>BP81</t>
        </is>
      </c>
      <c r="AF1853" s="7" t="inlineStr">
        <is>
          <t>CVN</t>
        </is>
      </c>
      <c r="AG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13" t="inlineStr">
        <is>
          <t>Supply Management &gt; Exhibit SM-3b &gt; BP81 &gt; FY2025 &gt; EXPEDITIONARY</t>
        </is>
      </c>
      <c r="AD1854" s="7" t="inlineStr">
        <is>
          <t>122</t>
        </is>
      </c>
      <c r="AE1854" s="7" t="inlineStr">
        <is>
          <t>BP81</t>
        </is>
      </c>
      <c r="AF1854" s="7" t="inlineStr">
        <is>
          <t>EXPEDITIONARY</t>
        </is>
      </c>
      <c r="AG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13" t="inlineStr">
        <is>
          <t>Supply Management &gt; Exhibit SM-3b &gt; BP81 &gt; FY2025 &gt; UM&amp;SC</t>
        </is>
      </c>
      <c r="AD1855" s="7" t="inlineStr">
        <is>
          <t>122</t>
        </is>
      </c>
      <c r="AE1855" s="7" t="inlineStr">
        <is>
          <t>BP81</t>
        </is>
      </c>
      <c r="AF1855" s="7" t="inlineStr">
        <is>
          <t>UM&amp;SC</t>
        </is>
      </c>
      <c r="AG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13" t="inlineStr">
        <is>
          <t>Supply Management &gt; Exhibit SM-3b &gt; BP81 &gt; FY2025 &gt; L1 ASDS DSSP</t>
        </is>
      </c>
      <c r="AD1856" s="7" t="inlineStr">
        <is>
          <t>122</t>
        </is>
      </c>
      <c r="AE1856" s="7" t="inlineStr">
        <is>
          <t>BP81</t>
        </is>
      </c>
      <c r="AF1856" s="7" t="inlineStr">
        <is>
          <t>L1 ASDS DSSP</t>
        </is>
      </c>
      <c r="AG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13" t="inlineStr">
        <is>
          <t>Supply Management &gt; Exhibit SM-3b &gt; BP81 &gt; FY2025 &gt; SUBMARINE</t>
        </is>
      </c>
      <c r="AD1857" s="7" t="inlineStr">
        <is>
          <t>122</t>
        </is>
      </c>
      <c r="AE1857" s="7" t="inlineStr">
        <is>
          <t>BP81</t>
        </is>
      </c>
      <c r="AF1857" s="7" t="inlineStr">
        <is>
          <t>SUBMARINE</t>
        </is>
      </c>
      <c r="AG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13" t="inlineStr">
        <is>
          <t>Supply Management &gt; Exhibit SM-3b &gt; BP81 &gt; FY2025 &gt; CLSSA</t>
        </is>
      </c>
      <c r="AD1858" s="7" t="inlineStr">
        <is>
          <t>122</t>
        </is>
      </c>
      <c r="AE1858" s="7" t="inlineStr">
        <is>
          <t>BP81</t>
        </is>
      </c>
      <c r="AF1858" s="7" t="inlineStr">
        <is>
          <t>CLSSA</t>
        </is>
      </c>
      <c r="AG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13" t="inlineStr">
        <is>
          <t>Supply Management &gt; Exhibit SM-3b &gt; BP81 &gt; FY2025 &gt; Gross Requirement</t>
        </is>
      </c>
      <c r="AD1859" s="7" t="inlineStr">
        <is>
          <t>122</t>
        </is>
      </c>
      <c r="AE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13" t="inlineStr">
        <is>
          <t>Supply Management &gt; Exhibit SM-3b &gt; BP81 &gt; FY2026 &gt; NUCLEAR</t>
        </is>
      </c>
      <c r="AD1860" s="7" t="inlineStr">
        <is>
          <t>123</t>
        </is>
      </c>
      <c r="AE1860" s="7" t="inlineStr">
        <is>
          <t>BP81</t>
        </is>
      </c>
      <c r="AF1860" s="7" t="inlineStr">
        <is>
          <t>NUCLEAR</t>
        </is>
      </c>
      <c r="AG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13" t="inlineStr">
        <is>
          <t>Supply Management &gt; Exhibit SM-3b &gt; BP81 &gt; FY2026 &gt; AMPHIBIOUS</t>
        </is>
      </c>
      <c r="AD1861" s="7" t="inlineStr">
        <is>
          <t>123</t>
        </is>
      </c>
      <c r="AE1861" s="7" t="inlineStr">
        <is>
          <t>BP81</t>
        </is>
      </c>
      <c r="AF1861" s="7" t="inlineStr">
        <is>
          <t>AMPHIBIOUS</t>
        </is>
      </c>
      <c r="AG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13" t="inlineStr">
        <is>
          <t>Supply Management &gt; Exhibit SM-3b &gt; BP81 &gt; FY2026 &gt; COMMON ELECTRONIC</t>
        </is>
      </c>
      <c r="AD1862" s="7" t="inlineStr">
        <is>
          <t>123</t>
        </is>
      </c>
      <c r="AE1862" s="7" t="inlineStr">
        <is>
          <t>BP81</t>
        </is>
      </c>
      <c r="AF1862" s="7" t="inlineStr">
        <is>
          <t>COMMON ELECTRONIC</t>
        </is>
      </c>
      <c r="AG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13" t="inlineStr">
        <is>
          <t>Supply Management &gt; Exhibit SM-3b &gt; BP81 &gt; FY2026 &gt; COMMON HM&amp;E</t>
        </is>
      </c>
      <c r="AD1863" s="7" t="inlineStr">
        <is>
          <t>123</t>
        </is>
      </c>
      <c r="AE1863" s="7" t="inlineStr">
        <is>
          <t>BP81</t>
        </is>
      </c>
      <c r="AF1863" s="7" t="inlineStr">
        <is>
          <t>COMMON HM&amp;E</t>
        </is>
      </c>
      <c r="AG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13" t="inlineStr">
        <is>
          <t>Supply Management &gt; Exhibit SM-3b &gt; BP81 &gt; FY2026 &gt; CRUDES</t>
        </is>
      </c>
      <c r="AD1864" s="7" t="inlineStr">
        <is>
          <t>123</t>
        </is>
      </c>
      <c r="AE1864" s="7" t="inlineStr">
        <is>
          <t>BP81</t>
        </is>
      </c>
      <c r="AF1864" s="7" t="inlineStr">
        <is>
          <t>CRUDES</t>
        </is>
      </c>
      <c r="AG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13" t="inlineStr">
        <is>
          <t>Supply Management &gt; Exhibit SM-3b &gt; BP81 &gt; FY2026 &gt; CVN</t>
        </is>
      </c>
      <c r="AD1865" s="7" t="inlineStr">
        <is>
          <t>123</t>
        </is>
      </c>
      <c r="AE1865" s="7" t="inlineStr">
        <is>
          <t>BP81</t>
        </is>
      </c>
      <c r="AF1865" s="7" t="inlineStr">
        <is>
          <t>CVN</t>
        </is>
      </c>
      <c r="AG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13" t="inlineStr">
        <is>
          <t>Supply Management &gt; Exhibit SM-3b &gt; BP81 &gt; FY2026 &gt; EXPEDITIONARY</t>
        </is>
      </c>
      <c r="AD1866" s="7" t="inlineStr">
        <is>
          <t>123</t>
        </is>
      </c>
      <c r="AE1866" s="7" t="inlineStr">
        <is>
          <t>BP81</t>
        </is>
      </c>
      <c r="AF1866" s="7" t="inlineStr">
        <is>
          <t>EXPEDITIONARY</t>
        </is>
      </c>
      <c r="AG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13" t="inlineStr">
        <is>
          <t>Supply Management &gt; Exhibit SM-3b &gt; BP81 &gt; FY2026 &gt; UM&amp;SC</t>
        </is>
      </c>
      <c r="AD1867" s="7" t="inlineStr">
        <is>
          <t>123</t>
        </is>
      </c>
      <c r="AE1867" s="7" t="inlineStr">
        <is>
          <t>BP81</t>
        </is>
      </c>
      <c r="AF1867" s="7" t="inlineStr">
        <is>
          <t>UM&amp;SC</t>
        </is>
      </c>
      <c r="AG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13" t="inlineStr">
        <is>
          <t>Supply Management &gt; Exhibit SM-3b &gt; BP81 &gt; FY2026 &gt; L1 ASDS DSSP</t>
        </is>
      </c>
      <c r="AD1868" s="7" t="inlineStr">
        <is>
          <t>123</t>
        </is>
      </c>
      <c r="AE1868" s="7" t="inlineStr">
        <is>
          <t>BP81</t>
        </is>
      </c>
      <c r="AF1868" s="7" t="inlineStr">
        <is>
          <t>L1 ASDS DSSP</t>
        </is>
      </c>
      <c r="AG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13" t="inlineStr">
        <is>
          <t>Supply Management &gt; Exhibit SM-3b &gt; BP81 &gt; FY2026 &gt; SUBMARINE</t>
        </is>
      </c>
      <c r="AD1869" s="7" t="inlineStr">
        <is>
          <t>123</t>
        </is>
      </c>
      <c r="AE1869" s="7" t="inlineStr">
        <is>
          <t>BP81</t>
        </is>
      </c>
      <c r="AF1869" s="7" t="inlineStr">
        <is>
          <t>SUBMARINE</t>
        </is>
      </c>
      <c r="AG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13" t="inlineStr">
        <is>
          <t>Supply Management &gt; Exhibit SM-3b &gt; BP81 &gt; FY2026 &gt; CLSSA</t>
        </is>
      </c>
      <c r="AD1870" s="7" t="inlineStr">
        <is>
          <t>123</t>
        </is>
      </c>
      <c r="AE1870" s="7" t="inlineStr">
        <is>
          <t>BP81</t>
        </is>
      </c>
      <c r="AF1870" s="7" t="inlineStr">
        <is>
          <t>CLSSA</t>
        </is>
      </c>
      <c r="AG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13" t="inlineStr">
        <is>
          <t>Supply Management &gt; Exhibit SM-3b &gt; BP81 &gt; FY2026 &gt; Gross Requirement</t>
        </is>
      </c>
      <c r="AD1871" s="7" t="inlineStr">
        <is>
          <t>123</t>
        </is>
      </c>
      <c r="AE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13" t="inlineStr">
        <is>
          <t>Supply Management &gt; Exhibit Fund-11 &gt; O &amp; M Navy</t>
        </is>
      </c>
      <c r="AD1872" s="7" t="inlineStr">
        <is>
          <t>134</t>
        </is>
      </c>
      <c r="AE1872" s="7" t="inlineStr">
        <is>
          <t>NWCF-Supply</t>
        </is>
      </c>
      <c r="AF1872" s="7" t="inlineStr">
        <is>
          <t>O &amp; M Navy</t>
        </is>
      </c>
      <c r="AG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13" t="inlineStr">
        <is>
          <t>Supply Management &gt; Exhibit Fund-11 &gt; Shipbuilding &amp; Conversion Navy</t>
        </is>
      </c>
      <c r="AD1873" s="7" t="inlineStr">
        <is>
          <t>134</t>
        </is>
      </c>
      <c r="AE1873" s="7" t="inlineStr">
        <is>
          <t>NWCF-Supply</t>
        </is>
      </c>
      <c r="AF1873" s="7" t="inlineStr">
        <is>
          <t>Shipbuilding &amp; Conversion Navy</t>
        </is>
      </c>
      <c r="AG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13" t="inlineStr">
        <is>
          <t>Supply Management &gt; Exhibit Fund-11 &gt; Aircraft Procurement Navy</t>
        </is>
      </c>
      <c r="AD1874" s="7" t="inlineStr">
        <is>
          <t>134</t>
        </is>
      </c>
      <c r="AE1874" s="7" t="inlineStr">
        <is>
          <t>NWCF-Supply</t>
        </is>
      </c>
      <c r="AF1874" s="7" t="inlineStr">
        <is>
          <t>Aircraft Procurement Navy</t>
        </is>
      </c>
      <c r="AG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13" t="inlineStr">
        <is>
          <t>Supply Management &gt; Exhibit Fund-11 &gt; Other Procurement Navy</t>
        </is>
      </c>
      <c r="AD1875" s="7" t="inlineStr">
        <is>
          <t>134</t>
        </is>
      </c>
      <c r="AE1875" s="7" t="inlineStr">
        <is>
          <t>NWCF-Supply</t>
        </is>
      </c>
      <c r="AF1875" s="7" t="inlineStr">
        <is>
          <t>Other Procurement Navy</t>
        </is>
      </c>
      <c r="AG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13" t="inlineStr">
        <is>
          <t>Supply Management &gt; Exhibit Fund-11 &gt; Foreign Military Sales</t>
        </is>
      </c>
      <c r="AD1876" s="7" t="inlineStr">
        <is>
          <t>134</t>
        </is>
      </c>
      <c r="AE1876" s="7" t="inlineStr">
        <is>
          <t>NWCF-Supply</t>
        </is>
      </c>
      <c r="AF1876" s="7" t="inlineStr">
        <is>
          <t>Foreign Military Sales</t>
        </is>
      </c>
      <c r="AG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13" t="inlineStr">
        <is>
          <t>Supply Management &gt; Exhibit Fund-11 &gt; Navy Working Capital Fund</t>
        </is>
      </c>
      <c r="AD1877" s="7" t="inlineStr">
        <is>
          <t>134</t>
        </is>
      </c>
      <c r="AE1877" s="7" t="inlineStr">
        <is>
          <t>NWCF-Supply</t>
        </is>
      </c>
      <c r="AF1877" s="7" t="inlineStr">
        <is>
          <t>Navy Working Capital Fund</t>
        </is>
      </c>
      <c r="AG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13" t="inlineStr">
        <is>
          <t>Supply Management &gt; Exhibit Fund-11 &gt; Total New Orders</t>
        </is>
      </c>
      <c r="AD1878" s="7" t="inlineStr">
        <is>
          <t>134</t>
        </is>
      </c>
      <c r="AE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13" t="inlineStr">
        <is>
          <t>Supply Management &gt; Exhibit Fund-11 &gt; Carry-In Orders</t>
        </is>
      </c>
      <c r="AD1879" s="7" t="inlineStr">
        <is>
          <t>134</t>
        </is>
      </c>
      <c r="AE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13" t="inlineStr">
        <is>
          <t>Supply Management &gt; Exhibit Fund-11 &gt; Net Sales</t>
        </is>
      </c>
      <c r="AD1880" s="7" t="inlineStr">
        <is>
          <t>134</t>
        </is>
      </c>
      <c r="AE1880" s="7" t="inlineStr">
        <is>
          <t>NWCF-Supply</t>
        </is>
      </c>
      <c r="AF1880" s="7" t="inlineStr">
        <is>
          <t>Net Sales</t>
        </is>
      </c>
      <c r="AG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13" t="inlineStr">
        <is>
          <t>Supply Management &gt; Exhibit Fund-14 &gt; Total Income</t>
        </is>
      </c>
      <c r="AD1881" s="7" t="inlineStr">
        <is>
          <t>135</t>
        </is>
      </c>
      <c r="AE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13" t="inlineStr">
        <is>
          <t>Supply Management &gt; Exhibit Fund-14 &gt; Navy Managed (920)</t>
        </is>
      </c>
      <c r="AD1882" s="7" t="inlineStr">
        <is>
          <t>135</t>
        </is>
      </c>
      <c r="AE1882" s="7" t="inlineStr">
        <is>
          <t>NWCF-Supply</t>
        </is>
      </c>
      <c r="AF1882" s="7" t="inlineStr">
        <is>
          <t>Navy Managed (920)</t>
        </is>
      </c>
      <c r="AG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13" t="inlineStr">
        <is>
          <t>Supply Management &gt; Exhibit Fund-14 &gt; DLA Managed (424)</t>
        </is>
      </c>
      <c r="AD1883" s="7" t="inlineStr">
        <is>
          <t>135</t>
        </is>
      </c>
      <c r="AE1883" s="7" t="inlineStr">
        <is>
          <t>NWCF-Supply</t>
        </is>
      </c>
      <c r="AF1883" s="7" t="inlineStr">
        <is>
          <t>DLA Managed (424)</t>
        </is>
      </c>
      <c r="AG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13" t="inlineStr">
        <is>
          <t>Supply Management &gt; Exhibit Fund-14 &gt; Total Expenses</t>
        </is>
      </c>
      <c r="AD1884" s="7" t="inlineStr">
        <is>
          <t>135</t>
        </is>
      </c>
      <c r="AE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13" t="inlineStr">
        <is>
          <t>Supply Management &gt; Exhibit Fund-14 &gt; Net Operating Result</t>
        </is>
      </c>
      <c r="AD1885" s="7" t="inlineStr">
        <is>
          <t>135</t>
        </is>
      </c>
      <c r="AE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13" t="inlineStr">
        <is>
          <t>Supply Management &gt; Narrative &gt; Significant Changes &gt; VACL Material Strategy</t>
        </is>
      </c>
      <c r="AD1886" s="7" t="inlineStr">
        <is>
          <t>102</t>
        </is>
      </c>
      <c r="AE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13" t="inlineStr">
        <is>
          <t>Supply Management &gt; Narrative &gt; Contract Authority &gt; Retail</t>
        </is>
      </c>
      <c r="AD1887" s="7" t="inlineStr">
        <is>
          <t>104</t>
        </is>
      </c>
      <c r="AE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13" t="inlineStr">
        <is>
          <t>Supply Management &gt; Narrative &gt; Significant Changes</t>
        </is>
      </c>
      <c r="AD1888" s="7" t="inlineStr">
        <is>
          <t>102</t>
        </is>
      </c>
      <c r="AE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13" t="inlineStr">
        <is>
          <t>Supply Management &gt; Narrative &gt; Unit Cost Ratio &gt; Shipboard Consumables</t>
        </is>
      </c>
      <c r="AD1889" s="7" t="inlineStr">
        <is>
          <t>109</t>
        </is>
      </c>
      <c r="AE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13" t="inlineStr">
        <is>
          <t>Supply Management &gt; Narrative &gt; Unit Cost Ratio &gt; Shipboard Repairables Standard</t>
        </is>
      </c>
      <c r="AD1890" s="7" t="inlineStr">
        <is>
          <t>109</t>
        </is>
      </c>
      <c r="AE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13" t="inlineStr">
        <is>
          <t>Supply Management &gt; Narrative &gt; Unit Cost Ratio &gt; Shipboard Repairables Net</t>
        </is>
      </c>
      <c r="AD1891" s="7" t="inlineStr">
        <is>
          <t>109</t>
        </is>
      </c>
      <c r="AE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13" t="inlineStr">
        <is>
          <t>Depot Maintenance FRC &gt; Exhibit Fund-11 &gt; Shipbuilding &amp; Conversion Navy</t>
        </is>
      </c>
      <c r="AD1892" s="7" t="inlineStr">
        <is>
          <t>72</t>
        </is>
      </c>
      <c r="AE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13" t="inlineStr">
        <is>
          <t>Depot Maintenance FRC &gt; Exhibit Fund-11 &gt; Line 1. New Orders</t>
        </is>
      </c>
      <c r="AD1893" s="7" t="inlineStr">
        <is>
          <t>72</t>
        </is>
      </c>
      <c r="AE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13" t="inlineStr">
        <is>
          <t>Depot Maintenance FRC &gt; Exhibit Fund-14 &gt; Total Income</t>
        </is>
      </c>
      <c r="AD1894" s="7" t="inlineStr">
        <is>
          <t>74</t>
        </is>
      </c>
      <c r="AE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13" t="inlineStr">
        <is>
          <t>Depot Maintenance FRC &gt; Exhibit Fund-14 &gt; Cost of Goods Sold</t>
        </is>
      </c>
      <c r="AD1895" s="7" t="inlineStr">
        <is>
          <t>74</t>
        </is>
      </c>
      <c r="AE1895" s="7" t="inlineStr">
        <is>
          <t>NWCF-FRC</t>
        </is>
      </c>
      <c r="AF1895" s="7" t="inlineStr">
        <is>
          <t>Cost of Goods Sold</t>
        </is>
      </c>
      <c r="AG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13" t="inlineStr">
        <is>
          <t>Depot Maintenance FRC &gt; Exhibit Fund-11 &gt; O &amp; M Navy</t>
        </is>
      </c>
      <c r="AD1896" s="7" t="inlineStr">
        <is>
          <t>72</t>
        </is>
      </c>
      <c r="AE1896" s="7" t="inlineStr">
        <is>
          <t>NWCF-FRC</t>
        </is>
      </c>
      <c r="AF1896" s="7" t="inlineStr">
        <is>
          <t>O &amp; M Navy</t>
        </is>
      </c>
      <c r="AG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13" t="inlineStr">
        <is>
          <t>Depot Maintenance FRC &gt; Exhibit Fund-11 &gt; Aircraft Procurement Navy</t>
        </is>
      </c>
      <c r="AD1897" s="7" t="inlineStr">
        <is>
          <t>72</t>
        </is>
      </c>
      <c r="AE1897" s="7" t="inlineStr">
        <is>
          <t>NWCF-FRC</t>
        </is>
      </c>
      <c r="AF1897" s="7" t="inlineStr">
        <is>
          <t>Aircraft Procurement Navy</t>
        </is>
      </c>
      <c r="AG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13" t="inlineStr">
        <is>
          <t>Depot Maintenance FRC &gt; Exhibit Fund-11 &gt; Research Dev. Test &amp; Eval. Navy</t>
        </is>
      </c>
      <c r="AD1898" s="7" t="inlineStr">
        <is>
          <t>72</t>
        </is>
      </c>
      <c r="AE1898" s="7" t="inlineStr">
        <is>
          <t>NWCF-FRC</t>
        </is>
      </c>
      <c r="AF1898" s="7" t="inlineStr">
        <is>
          <t>Research Dev. Test &amp; Eval. Navy</t>
        </is>
      </c>
      <c r="AG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13" t="inlineStr">
        <is>
          <t>Depot Maintenance FRC &gt; Exhibit Fund-11 &gt; Foreign Military Sales</t>
        </is>
      </c>
      <c r="AD1899" s="7" t="inlineStr">
        <is>
          <t>72</t>
        </is>
      </c>
      <c r="AE1899" s="7" t="inlineStr">
        <is>
          <t>NWCF-FRC</t>
        </is>
      </c>
      <c r="AF1899" s="7" t="inlineStr">
        <is>
          <t>Foreign Military Sales</t>
        </is>
      </c>
      <c r="AG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13" t="inlineStr">
        <is>
          <t>Depot Maintenance FRC &gt; Exhibit Fund-11 &gt; Other Fund Activity Groups</t>
        </is>
      </c>
      <c r="AD1900" s="7" t="inlineStr">
        <is>
          <t>72</t>
        </is>
      </c>
      <c r="AE1900" s="7" t="inlineStr">
        <is>
          <t>NWCF-FRC</t>
        </is>
      </c>
      <c r="AF1900" s="7" t="inlineStr">
        <is>
          <t>Other Fund Activity Groups</t>
        </is>
      </c>
      <c r="AG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13" t="inlineStr">
        <is>
          <t>R&amp;D &gt; Exhibit Fund-11 &gt; Shipbuilding &amp; Conversion Navy</t>
        </is>
      </c>
      <c r="AD1901" s="7" t="inlineStr">
        <is>
          <t>206</t>
        </is>
      </c>
      <c r="AE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13" t="inlineStr">
        <is>
          <t>R&amp;D &gt; Exhibit Fund-11 &gt; National Sea Base Deterrence Fund</t>
        </is>
      </c>
      <c r="AD1902" s="7" t="inlineStr">
        <is>
          <t>206</t>
        </is>
      </c>
      <c r="AE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13" t="inlineStr">
        <is>
          <t>R&amp;D &gt; Exhibit Fund-11 &gt; O &amp; M Navy</t>
        </is>
      </c>
      <c r="AD1903" s="7" t="inlineStr">
        <is>
          <t>206</t>
        </is>
      </c>
      <c r="AE1903" s="7" t="inlineStr">
        <is>
          <t>NWCF-R&amp;D</t>
        </is>
      </c>
      <c r="AF1903" s="7" t="inlineStr">
        <is>
          <t>O &amp; M Navy</t>
        </is>
      </c>
      <c r="AG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13" t="inlineStr">
        <is>
          <t>R&amp;D &gt; Exhibit Fund-11 &gt; Other Procurement Navy</t>
        </is>
      </c>
      <c r="AD1904" s="7" t="inlineStr">
        <is>
          <t>206</t>
        </is>
      </c>
      <c r="AE1904" s="7" t="inlineStr">
        <is>
          <t>NWCF-R&amp;D</t>
        </is>
      </c>
      <c r="AF1904" s="7" t="inlineStr">
        <is>
          <t>Other Procurement Navy</t>
        </is>
      </c>
      <c r="AG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13" t="inlineStr">
        <is>
          <t>R&amp;D &gt; Exhibit Fund-11 &gt; Weapons Procurement Navy</t>
        </is>
      </c>
      <c r="AD1905" s="7" t="inlineStr">
        <is>
          <t>206</t>
        </is>
      </c>
      <c r="AE1905" s="7" t="inlineStr">
        <is>
          <t>NWCF-R&amp;D</t>
        </is>
      </c>
      <c r="AF1905" s="7" t="inlineStr">
        <is>
          <t>Weapons Procurement Navy</t>
        </is>
      </c>
      <c r="AG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13" t="inlineStr">
        <is>
          <t>R&amp;D &gt; Exhibit Fund-11 &gt; Research Dev. Test &amp; Eval. Navy</t>
        </is>
      </c>
      <c r="AD1906" s="7" t="inlineStr">
        <is>
          <t>206</t>
        </is>
      </c>
      <c r="AE1906" s="7" t="inlineStr">
        <is>
          <t>NWCF-R&amp;D</t>
        </is>
      </c>
      <c r="AF1906" s="7" t="inlineStr">
        <is>
          <t>Research Dev. Test &amp; Eval. Navy</t>
        </is>
      </c>
      <c r="AG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13" t="inlineStr">
        <is>
          <t>R&amp;D &gt; Exhibit Fund-11 &gt; National Defense Sealift Fund</t>
        </is>
      </c>
      <c r="AD1907" s="7" t="inlineStr">
        <is>
          <t>206</t>
        </is>
      </c>
      <c r="AE1907" s="7" t="inlineStr">
        <is>
          <t>NWCF-R&amp;D</t>
        </is>
      </c>
      <c r="AF1907" s="7" t="inlineStr">
        <is>
          <t>National Defense Sealift Fund</t>
        </is>
      </c>
      <c r="AG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13" t="inlineStr">
        <is>
          <t>R&amp;D &gt; Exhibit Fund-11 &gt; Foreign Military Sales</t>
        </is>
      </c>
      <c r="AD1908" s="7" t="inlineStr">
        <is>
          <t>206</t>
        </is>
      </c>
      <c r="AE1908" s="7" t="inlineStr">
        <is>
          <t>NWCF-R&amp;D</t>
        </is>
      </c>
      <c r="AF1908" s="7" t="inlineStr">
        <is>
          <t>Foreign Military Sales</t>
        </is>
      </c>
      <c r="AG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13" t="inlineStr">
        <is>
          <t>R&amp;D &gt; Exhibit Fund-11 &gt; Total New Orders</t>
        </is>
      </c>
      <c r="AD1909" s="7" t="inlineStr">
        <is>
          <t>206</t>
        </is>
      </c>
      <c r="AE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13" t="inlineStr">
        <is>
          <t>R&amp;D &gt; Exhibit Fund-14 &gt; Total Income</t>
        </is>
      </c>
      <c r="AD1910" s="7" t="inlineStr">
        <is>
          <t>207</t>
        </is>
      </c>
      <c r="AE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13" t="inlineStr">
        <is>
          <t>R&amp;D &gt; Exhibit RF-1 &gt; Working Capital Fund Navy &gt; Naval Surface Warfare Centers</t>
        </is>
      </c>
      <c r="AD1911" s="7" t="inlineStr">
        <is>
          <t>Supp Book p.4</t>
        </is>
      </c>
      <c r="AE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13" t="inlineStr">
        <is>
          <t>R&amp;D &gt; Exhibit Fund-9B &gt; NAWC-38 Vessel Replacement</t>
        </is>
      </c>
      <c r="AD1912" s="7" t="inlineStr">
        <is>
          <t>151</t>
        </is>
      </c>
      <c r="AE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13" t="inlineStr">
        <is>
          <t>R&amp;D &gt; Exhibit Fund-9B &gt; FY24 &gt; NSWC Crane</t>
        </is>
      </c>
      <c r="AD1913" s="7" t="inlineStr">
        <is>
          <t>156</t>
        </is>
      </c>
      <c r="AE1913" s="7" t="inlineStr">
        <is>
          <t>NWCF-R&amp;D</t>
        </is>
      </c>
      <c r="AF1913" s="7" t="inlineStr">
        <is>
          <t>NSWC Crane</t>
        </is>
      </c>
      <c r="AG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13" t="inlineStr">
        <is>
          <t>R&amp;D &gt; Exhibit Fund-9B &gt; FY25 &gt; NSWC Carderock</t>
        </is>
      </c>
      <c r="AD1914" s="7" t="inlineStr">
        <is>
          <t>153</t>
        </is>
      </c>
      <c r="AE1914" s="7" t="inlineStr">
        <is>
          <t>NWCF-R&amp;D</t>
        </is>
      </c>
      <c r="AF1914" s="7" t="inlineStr">
        <is>
          <t>NSWC Carderock</t>
        </is>
      </c>
      <c r="AG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13" t="inlineStr">
        <is>
          <t>R&amp;D &gt; Exhibit Fund-9B &gt; FY25 &gt; NSWC Carderock</t>
        </is>
      </c>
      <c r="AD1915" s="7" t="inlineStr">
        <is>
          <t>154</t>
        </is>
      </c>
      <c r="AE1915" s="7" t="inlineStr">
        <is>
          <t>NWCF-R&amp;D</t>
        </is>
      </c>
      <c r="AF1915" s="7" t="inlineStr">
        <is>
          <t>NSWC Carderock</t>
        </is>
      </c>
      <c r="AG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13" t="inlineStr">
        <is>
          <t>R&amp;D &gt; Exhibit Fund-9B &gt; FY26 &gt; NSWC Carderock</t>
        </is>
      </c>
      <c r="AD1916" s="7" t="inlineStr">
        <is>
          <t>160</t>
        </is>
      </c>
      <c r="AE1916" s="7" t="inlineStr">
        <is>
          <t>NWCF-R&amp;D</t>
        </is>
      </c>
      <c r="AF1916" s="7" t="inlineStr">
        <is>
          <t>NSWC Carderock</t>
        </is>
      </c>
      <c r="AG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13" t="inlineStr">
        <is>
          <t>R&amp;D &gt; Exhibit Fund-9B &gt; FY24 &gt; NUWC Newport</t>
        </is>
      </c>
      <c r="AD1917" s="7" t="inlineStr">
        <is>
          <t>162</t>
        </is>
      </c>
      <c r="AE1917" s="7" t="inlineStr">
        <is>
          <t>NWCF-R&amp;D</t>
        </is>
      </c>
      <c r="AF1917" s="7" t="inlineStr">
        <is>
          <t>NUWC Newport</t>
        </is>
      </c>
      <c r="AG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13" t="inlineStr">
        <is>
          <t>R&amp;D &gt; Exhibit Fund-9B &gt; FY26 &gt; NUWC Newport</t>
        </is>
      </c>
      <c r="AD1918" s="7" t="inlineStr">
        <is>
          <t>164</t>
        </is>
      </c>
      <c r="AE1918" s="7" t="inlineStr">
        <is>
          <t>NWCF-R&amp;D</t>
        </is>
      </c>
      <c r="AF1918" s="7" t="inlineStr">
        <is>
          <t>NUWC Newport</t>
        </is>
      </c>
      <c r="AG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13" t="inlineStr">
        <is>
          <t>R&amp;D &gt; Exhibit Fund-9B &gt; FY24 &gt; NUWC Newport Minor Construction</t>
        </is>
      </c>
      <c r="AD1919" s="7" t="inlineStr">
        <is>
          <t>195</t>
        </is>
      </c>
      <c r="AE1919" s="7" t="inlineStr">
        <is>
          <t>NWCF-R&amp;D</t>
        </is>
      </c>
      <c r="AF1919" s="7" t="inlineStr">
        <is>
          <t>NUWC Newport Minor Construction</t>
        </is>
      </c>
      <c r="AG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13" t="inlineStr">
        <is>
          <t>R&amp;D &gt; Exhibit Fund-9B &gt; FY25 &gt; NUWC Newport Minor Construction</t>
        </is>
      </c>
      <c r="AD1920" s="7" t="inlineStr">
        <is>
          <t>197</t>
        </is>
      </c>
      <c r="AE1920" s="7" t="inlineStr">
        <is>
          <t>NWCF-R&amp;D</t>
        </is>
      </c>
      <c r="AF1920" s="7" t="inlineStr">
        <is>
          <t>NUWC Newport Minor Construction</t>
        </is>
      </c>
      <c r="AG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13" t="inlineStr">
        <is>
          <t>R&amp;D &gt; Exhibit Fund-9B &gt; FY26 &gt; NUWC Newport Minor Construction</t>
        </is>
      </c>
      <c r="AD1921" s="7" t="inlineStr">
        <is>
          <t>197</t>
        </is>
      </c>
      <c r="AE1921" s="7" t="inlineStr">
        <is>
          <t>NWCF-R&amp;D</t>
        </is>
      </c>
      <c r="AF1921" s="7" t="inlineStr">
        <is>
          <t>NUWC Newport Minor Construction</t>
        </is>
      </c>
      <c r="AG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13" t="inlineStr">
        <is>
          <t>R&amp;D &gt; Exhibit Fund-9B &gt; FY26 &gt; NUWC Newport Minor Construction</t>
        </is>
      </c>
      <c r="AD1922" s="7" t="inlineStr">
        <is>
          <t>196</t>
        </is>
      </c>
      <c r="AE1922" s="7" t="inlineStr">
        <is>
          <t>NWCF-R&amp;D</t>
        </is>
      </c>
      <c r="AF1922" s="7" t="inlineStr">
        <is>
          <t>NUWC Newport Minor Construction</t>
        </is>
      </c>
      <c r="AG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13" t="inlineStr">
        <is>
          <t>R&amp;D &gt; Exhibit Fund-9B &gt; FY25 &gt; NUWC Newport Minor Construction</t>
        </is>
      </c>
      <c r="AD1923" s="7" t="inlineStr">
        <is>
          <t>196</t>
        </is>
      </c>
      <c r="AE1923" s="7" t="inlineStr">
        <is>
          <t>NWCF-R&amp;D</t>
        </is>
      </c>
      <c r="AF1923" s="7" t="inlineStr">
        <is>
          <t>NUWC Newport Minor Construction</t>
        </is>
      </c>
      <c r="AG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13" t="inlineStr">
        <is>
          <t>R&amp;D &gt; Exhibit Fund-9B &gt; FY25 &gt; NUWC Newport Minor Construction</t>
        </is>
      </c>
      <c r="AD1924" s="7" t="inlineStr">
        <is>
          <t>197</t>
        </is>
      </c>
      <c r="AE1924" s="7" t="inlineStr">
        <is>
          <t>NWCF-R&amp;D</t>
        </is>
      </c>
      <c r="AF1924" s="7" t="inlineStr">
        <is>
          <t>NUWC Newport Minor Construction</t>
        </is>
      </c>
      <c r="AG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13" t="inlineStr">
        <is>
          <t>R&amp;D &gt; Exhibit Fund-9B &gt; FY25 &gt; NUWC Keyport</t>
        </is>
      </c>
      <c r="AD1925" s="7" t="inlineStr">
        <is>
          <t>162</t>
        </is>
      </c>
      <c r="AE1925" s="7" t="inlineStr">
        <is>
          <t>NWCF-R&amp;D</t>
        </is>
      </c>
      <c r="AF1925" s="7" t="inlineStr">
        <is>
          <t>NUWC Keyport</t>
        </is>
      </c>
      <c r="AG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13" t="inlineStr">
        <is>
          <t>R&amp;D &gt; Exhibit Fund-9B &gt; FY26 &gt; NSWC Port Hueneme Minor Construction</t>
        </is>
      </c>
      <c r="AD1926" s="7" t="inlineStr">
        <is>
          <t>194</t>
        </is>
      </c>
      <c r="AE1926" s="7" t="inlineStr">
        <is>
          <t>NWCF-R&amp;D</t>
        </is>
      </c>
      <c r="AF1926" s="7" t="inlineStr">
        <is>
          <t>NSWC Port Hueneme Minor Construction</t>
        </is>
      </c>
      <c r="AG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13" t="inlineStr">
        <is>
          <t>R&amp;D &gt; Exhibit Fund-9B &gt; FY26 &gt; NSWC Port Hueneme Minor Construction</t>
        </is>
      </c>
      <c r="AD1927" s="7" t="inlineStr">
        <is>
          <t>194</t>
        </is>
      </c>
      <c r="AE1927" s="7" t="inlineStr">
        <is>
          <t>NWCF-R&amp;D</t>
        </is>
      </c>
      <c r="AF1927" s="7" t="inlineStr">
        <is>
          <t>NSWC Port Hueneme Minor Construction</t>
        </is>
      </c>
      <c r="AG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13" t="inlineStr">
        <is>
          <t>R&amp;D &gt; Exhibit Fund-9B &gt; FY26 &gt; NSWC Panama City Minor Construction</t>
        </is>
      </c>
      <c r="AD1928" s="7" t="inlineStr">
        <is>
          <t>193</t>
        </is>
      </c>
      <c r="AE1928" s="7" t="inlineStr">
        <is>
          <t>NWCF-R&amp;D</t>
        </is>
      </c>
      <c r="AF1928" s="7" t="inlineStr">
        <is>
          <t>NSWC Panama City Minor Construction</t>
        </is>
      </c>
      <c r="AG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13" t="inlineStr">
        <is>
          <t>R&amp;D &gt; Exhibit Fund-9B &gt; FY26 &gt; NSWC Crane Minor Construction</t>
        </is>
      </c>
      <c r="AD1929" s="7" t="inlineStr">
        <is>
          <t>192</t>
        </is>
      </c>
      <c r="AE1929" s="7" t="inlineStr">
        <is>
          <t>NWCF-R&amp;D</t>
        </is>
      </c>
      <c r="AF1929" s="7" t="inlineStr">
        <is>
          <t>NSWC Crane Minor Construction</t>
        </is>
      </c>
      <c r="AG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13" t="inlineStr">
        <is>
          <t>R&amp;D &gt; Exhibit Fund-9B &gt; FY26 &gt; NSWC Carderock Minor Construction</t>
        </is>
      </c>
      <c r="AD1930" s="7" t="inlineStr">
        <is>
          <t>185</t>
        </is>
      </c>
      <c r="AE1930" s="7" t="inlineStr">
        <is>
          <t>NWCF-R&amp;D</t>
        </is>
      </c>
      <c r="AF1930" s="7" t="inlineStr">
        <is>
          <t>NSWC Carderock Minor Construction</t>
        </is>
      </c>
      <c r="AG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13" t="inlineStr">
        <is>
          <t>R&amp;D &gt; Exhibit Fund-9B &gt; FY26 &gt; NSWC Carderock Minor Construction</t>
        </is>
      </c>
      <c r="AD1931" s="7" t="inlineStr">
        <is>
          <t>191</t>
        </is>
      </c>
      <c r="AE1931" s="7" t="inlineStr">
        <is>
          <t>NWCF-R&amp;D</t>
        </is>
      </c>
      <c r="AF1931" s="7" t="inlineStr">
        <is>
          <t>NSWC Carderock Minor Construction</t>
        </is>
      </c>
      <c r="AG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13" t="inlineStr">
        <is>
          <t>Supp Book &gt; Exhibit RF-1 &gt; NDSF &gt; BA01 &gt; LMSR</t>
        </is>
      </c>
      <c r="AD1932" s="7" t="inlineStr">
        <is>
          <t>Supp Book p.2</t>
        </is>
      </c>
      <c r="AE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13" t="inlineStr">
        <is>
          <t>Supp Book &gt; Exhibit RF-1 &gt; NDSF &gt; BA01 &gt; MPF MLP</t>
        </is>
      </c>
      <c r="AD1933" s="7" t="inlineStr">
        <is>
          <t>Supp Book p.2</t>
        </is>
      </c>
      <c r="AE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13" t="inlineStr">
        <is>
          <t>Supp Book &gt; Exhibit RF-1 &gt; NDSF &gt; BA02 &gt; LG Med Spd Ro/Ro Maintenance</t>
        </is>
      </c>
      <c r="AD1934" s="7" t="inlineStr">
        <is>
          <t>Supp Book p.2</t>
        </is>
      </c>
      <c r="AE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13" t="inlineStr">
        <is>
          <t>Supp Book &gt; Exhibit RF-1 &gt; NDSF &gt; BA02 &gt; DoD Mobilization Alterations</t>
        </is>
      </c>
      <c r="AD1935" s="7" t="inlineStr">
        <is>
          <t>Supp Book p.2</t>
        </is>
      </c>
      <c r="AE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13" t="inlineStr">
        <is>
          <t>Supp Book &gt; Exhibit RF-1 &gt; NDSF &gt; BA04 &gt; Research And Development</t>
        </is>
      </c>
      <c r="AD1936" s="7" t="inlineStr">
        <is>
          <t>Supp Book p.3</t>
        </is>
      </c>
      <c r="AE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13" t="inlineStr">
        <is>
          <t>Supp Book &gt; Exhibit RF-1 &gt; Total National Defense Sealift Fund</t>
        </is>
      </c>
      <c r="AD1937" s="7" t="inlineStr">
        <is>
          <t>Supp Book p.2</t>
        </is>
      </c>
      <c r="AE1937" s="7" t="inlineStr">
        <is>
          <t>NDSF</t>
        </is>
      </c>
    </row>
    <row r="1938" ht="10" customHeight="1">
      <c r="A1938" s="7" t="inlineStr">
        <is>
          <t>OMN</t>
        </is>
      </c>
      <c r="B1938" s="7" t="inlineStr">
        <is>
          <t>O&amp;M</t>
        </is>
      </c>
      <c r="D1938" s="7" t="inlineStr">
        <is>
          <t>Ship Maintenance</t>
        </is>
      </c>
      <c r="E1938" s="13" t="inlineStr">
        <is>
          <t>[PARENT]</t>
        </is>
      </c>
      <c r="I1938" s="14" t="inlineStr">
        <is>
          <t>2|3</t>
        </is>
      </c>
      <c r="K1938" s="15" t="n"/>
      <c r="O1938" s="15" t="n"/>
      <c r="P1938" s="16" t="n">
        <v>11502495</v>
      </c>
      <c r="Q1938" s="16" t="n">
        <v>11763594</v>
      </c>
      <c r="S1938" s="16" t="n">
        <v>13803188</v>
      </c>
      <c r="U1938" s="16" t="n">
        <v>13803188</v>
      </c>
      <c r="W1938" s="16" t="n">
        <v>61600</v>
      </c>
      <c r="X1938" s="16" t="n">
        <v>13813188</v>
      </c>
      <c r="Y1938" s="16" t="n">
        <v>13874788</v>
      </c>
      <c r="AC1938" s="13" t="inlineStr">
        <is>
          <t>BA1 &gt; Ship Operations &gt; 1B4B Ship Maintenance &gt; Financial Summary</t>
        </is>
      </c>
      <c r="AD1938" s="7" t="inlineStr">
        <is>
          <t>153</t>
        </is>
      </c>
      <c r="AE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13" t="inlineStr">
        <is>
          <t>BA1 &gt; 1B4B &gt; Performance Criteria &gt; Availability Type (Total Program)</t>
        </is>
      </c>
      <c r="AD1939" s="7" t="inlineStr">
        <is>
          <t>157</t>
        </is>
      </c>
      <c r="AE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13" t="inlineStr">
        <is>
          <t>BA1 &gt; 1B4B &gt; Performance Criteria &gt; Availability Type (Total Program)</t>
        </is>
      </c>
      <c r="AD1940" s="7" t="inlineStr">
        <is>
          <t>157</t>
        </is>
      </c>
      <c r="AE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13" t="inlineStr">
        <is>
          <t>BA1 &gt; 1B4B &gt; Performance Criteria &gt; Availability Type (Total Program)</t>
        </is>
      </c>
      <c r="AD1941" s="7" t="inlineStr">
        <is>
          <t>157</t>
        </is>
      </c>
      <c r="AE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13" t="inlineStr">
        <is>
          <t>BA1 &gt; 1B4B &gt; Performance Criteria &gt; Availability Type (Total Program)</t>
        </is>
      </c>
      <c r="AD1942" s="7" t="inlineStr">
        <is>
          <t>157</t>
        </is>
      </c>
      <c r="AE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13" t="inlineStr">
        <is>
          <t>BA1 &gt; 1B4B &gt; Performance Criteria &gt; Availability Type (Total Program)</t>
        </is>
      </c>
      <c r="AD1943" s="7" t="inlineStr">
        <is>
          <t>157</t>
        </is>
      </c>
      <c r="AE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13" t="inlineStr">
        <is>
          <t>BA1 &gt; 1B4B &gt; Performance Criteria &gt; Availability Type (Total Program)</t>
        </is>
      </c>
      <c r="AD1944" s="7" t="inlineStr">
        <is>
          <t>157</t>
        </is>
      </c>
      <c r="AE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13" t="inlineStr">
        <is>
          <t>BA1 &gt; 1B4B &gt; Performance Criteria &gt; Availability Type (Total Program)</t>
        </is>
      </c>
      <c r="AD1945" s="7" t="inlineStr">
        <is>
          <t>157</t>
        </is>
      </c>
      <c r="AE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13" t="inlineStr">
        <is>
          <t>BA1 &gt; 1B4B &gt; Performance Criteria &gt; Availability Type (Total Program)</t>
        </is>
      </c>
      <c r="AD1946" s="7" t="inlineStr">
        <is>
          <t>157</t>
        </is>
      </c>
      <c r="AE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13" t="inlineStr">
        <is>
          <t>BA1 &gt; 1B4B &gt; Performance Criteria &gt; Availability Type (Total Program)</t>
        </is>
      </c>
      <c r="AD1947" s="7" t="inlineStr">
        <is>
          <t>157</t>
        </is>
      </c>
      <c r="AE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13" t="inlineStr">
        <is>
          <t>BA1 &gt; 1B4B &gt; Performance Criteria &gt; Availability Type (Total Program)</t>
        </is>
      </c>
      <c r="AD1948" s="7" t="inlineStr">
        <is>
          <t>157</t>
        </is>
      </c>
      <c r="AE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13" t="inlineStr">
        <is>
          <t>BA1 &gt; 1B4B &gt; Performance Criteria &gt; By Shipyard</t>
        </is>
      </c>
      <c r="AD1949" s="7" t="inlineStr">
        <is>
          <t>157</t>
        </is>
      </c>
      <c r="AE1949" s="7" t="inlineStr">
        <is>
          <t>1B4B</t>
        </is>
      </c>
      <c r="AF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13" t="inlineStr">
        <is>
          <t>BA1 &gt; 1B4B &gt; Performance Criteria &gt; By Shipyard</t>
        </is>
      </c>
      <c r="AD1950" s="7" t="inlineStr">
        <is>
          <t>157</t>
        </is>
      </c>
      <c r="AE1950" s="7" t="inlineStr">
        <is>
          <t>1B4B</t>
        </is>
      </c>
      <c r="AF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13" t="inlineStr">
        <is>
          <t>BA1 &gt; 1B4B &gt; Performance Criteria &gt; By Shipyard</t>
        </is>
      </c>
      <c r="AD1951" s="7" t="inlineStr">
        <is>
          <t>157</t>
        </is>
      </c>
      <c r="AE1951" s="7" t="inlineStr">
        <is>
          <t>1B4B</t>
        </is>
      </c>
      <c r="AF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13" t="inlineStr">
        <is>
          <t>BA1 &gt; 1B4B &gt; Performance Criteria &gt; By Shipyard</t>
        </is>
      </c>
      <c r="AD1952" s="7" t="inlineStr">
        <is>
          <t>157</t>
        </is>
      </c>
      <c r="AE1952" s="7" t="inlineStr">
        <is>
          <t>1B4B</t>
        </is>
      </c>
      <c r="AF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13" t="inlineStr">
        <is>
          <t>BA1 &gt; 1B4B &gt; Performance Criteria &gt; Table II I-Level</t>
        </is>
      </c>
      <c r="AD1953" s="7" t="inlineStr">
        <is>
          <t>159</t>
        </is>
      </c>
      <c r="AE1953" s="7" t="inlineStr">
        <is>
          <t>1B4B</t>
        </is>
      </c>
      <c r="AF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13" t="inlineStr">
        <is>
          <t>BA1 &gt; 1B4B &gt; Performance Criteria &gt; Table II I-Level</t>
        </is>
      </c>
      <c r="AD1954" s="7" t="inlineStr">
        <is>
          <t>159</t>
        </is>
      </c>
      <c r="AE1954" s="7" t="inlineStr">
        <is>
          <t>1B4B</t>
        </is>
      </c>
      <c r="AF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13" t="inlineStr">
        <is>
          <t>BA1 &gt; 1B4B &gt; MSC Availability Type</t>
        </is>
      </c>
      <c r="AD1955" s="7" t="inlineStr">
        <is>
          <t>158</t>
        </is>
      </c>
      <c r="AE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13" t="inlineStr">
        <is>
          <t>BA1 &gt; 1B4B &gt; MSC Availability Type</t>
        </is>
      </c>
      <c r="AD1956" s="7" t="inlineStr">
        <is>
          <t>158</t>
        </is>
      </c>
      <c r="AE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inlineStr">
        <is>
          <t>2|3</t>
        </is>
      </c>
      <c r="K1957" s="15" t="n"/>
      <c r="O1957" s="15" t="n"/>
      <c r="S1957" s="16" t="n">
        <v>575746</v>
      </c>
      <c r="U1957" s="16" t="n">
        <v>575746</v>
      </c>
      <c r="AC1957" s="13" t="inlineStr">
        <is>
          <t>BA1 &gt; 1B4B &gt; MSC Availability Type</t>
        </is>
      </c>
      <c r="AD1957" s="7" t="inlineStr">
        <is>
          <t>158</t>
        </is>
      </c>
      <c r="AE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13" t="inlineStr">
        <is>
          <t>BA1 &gt; 1B4B &gt; Reconciliation &gt; Program Increases &gt; i</t>
        </is>
      </c>
      <c r="AD1958" s="7" t="inlineStr">
        <is>
          <t>154</t>
        </is>
      </c>
      <c r="AE1958" s="7" t="inlineStr">
        <is>
          <t>1B4B</t>
        </is>
      </c>
      <c r="AF1958" s="7" t="inlineStr">
        <is>
          <t>Program Increases</t>
        </is>
      </c>
      <c r="AG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13" t="inlineStr">
        <is>
          <t>BA1 &gt; 1B4B &gt; Reconciliation &gt; Program Increases &gt; ii</t>
        </is>
      </c>
      <c r="AD1959" s="7" t="inlineStr">
        <is>
          <t>155</t>
        </is>
      </c>
      <c r="AE1959" s="7" t="inlineStr">
        <is>
          <t>1B4B</t>
        </is>
      </c>
      <c r="AF1959" s="7" t="inlineStr">
        <is>
          <t>Program Increases</t>
        </is>
      </c>
      <c r="AG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 / SSGN</t>
        </is>
      </c>
      <c r="O1960" s="15" t="n"/>
      <c r="S1960" s="16" t="n">
        <v>77927</v>
      </c>
      <c r="U1960" s="16" t="n">
        <v>77927</v>
      </c>
      <c r="AC1960" s="13" t="inlineStr">
        <is>
          <t>BA1 &gt; 1B4B &gt; Reconciliation &gt; Program Increases &gt; iii</t>
        </is>
      </c>
      <c r="AD1960" s="7" t="inlineStr">
        <is>
          <t>155</t>
        </is>
      </c>
      <c r="AE1960" s="7" t="inlineStr">
        <is>
          <t>1B4B</t>
        </is>
      </c>
      <c r="AF1960" s="7" t="inlineStr">
        <is>
          <t>Program Increases</t>
        </is>
      </c>
      <c r="AG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13" t="inlineStr">
        <is>
          <t>BA1 &gt; 1B4B &gt; Reconciliation &gt; Program Increases &gt; iv</t>
        </is>
      </c>
      <c r="AD1961" s="7" t="inlineStr">
        <is>
          <t>155</t>
        </is>
      </c>
      <c r="AE1961" s="7" t="inlineStr">
        <is>
          <t>1B4B</t>
        </is>
      </c>
      <c r="AF1961" s="7" t="inlineStr">
        <is>
          <t>Program Increases</t>
        </is>
      </c>
      <c r="AG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13" t="inlineStr">
        <is>
          <t>BA1 &gt; 1B4B &gt; Reconciliation &gt; Program Increases &gt; v</t>
        </is>
      </c>
      <c r="AD1962" s="7" t="inlineStr">
        <is>
          <t>155</t>
        </is>
      </c>
      <c r="AE1962" s="7" t="inlineStr">
        <is>
          <t>1B4B</t>
        </is>
      </c>
      <c r="AF1962" s="7" t="inlineStr">
        <is>
          <t>Program Increases</t>
        </is>
      </c>
      <c r="AG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13" t="inlineStr">
        <is>
          <t>BA1 &gt; 1B4B &gt; Reconciliation &gt; Program Increases &gt; vi</t>
        </is>
      </c>
      <c r="AD1963" s="7" t="inlineStr">
        <is>
          <t>155</t>
        </is>
      </c>
      <c r="AE1963" s="7" t="inlineStr">
        <is>
          <t>1B4B</t>
        </is>
      </c>
      <c r="AF1963" s="7" t="inlineStr">
        <is>
          <t>Program Increases</t>
        </is>
      </c>
      <c r="AG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13" t="inlineStr">
        <is>
          <t>BA1 &gt; 1B4B &gt; Reconciliation &gt; Program Increases &gt; vii</t>
        </is>
      </c>
      <c r="AD1964" s="7" t="inlineStr">
        <is>
          <t>155</t>
        </is>
      </c>
      <c r="AE1964" s="7" t="inlineStr">
        <is>
          <t>1B4B</t>
        </is>
      </c>
      <c r="AF1964" s="7" t="inlineStr">
        <is>
          <t>Program Increases</t>
        </is>
      </c>
      <c r="AG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13" t="inlineStr">
        <is>
          <t>BA1 &gt; 1B4B &gt; Reconciliation &gt; Program Increases &gt; viii</t>
        </is>
      </c>
      <c r="AD1965" s="7" t="inlineStr">
        <is>
          <t>148</t>
        </is>
      </c>
      <c r="AE1965" s="7" t="inlineStr">
        <is>
          <t>1B4B</t>
        </is>
      </c>
      <c r="AF1965" s="7" t="inlineStr">
        <is>
          <t>Program Increases</t>
        </is>
      </c>
      <c r="AG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 / SSGN</t>
        </is>
      </c>
      <c r="O1966" s="15" t="n"/>
      <c r="S1966" s="16" t="n">
        <v>32154</v>
      </c>
      <c r="U1966" s="16" t="n">
        <v>32154</v>
      </c>
      <c r="AC1966" s="13" t="inlineStr">
        <is>
          <t>BA1 &gt; 1B4B &gt; Reconciliation &gt; Program Increases &gt; ix</t>
        </is>
      </c>
      <c r="AD1966" s="7" t="inlineStr">
        <is>
          <t>155</t>
        </is>
      </c>
      <c r="AE1966" s="7" t="inlineStr">
        <is>
          <t>1B4B</t>
        </is>
      </c>
      <c r="AF1966" s="7" t="inlineStr">
        <is>
          <t>Program Increases</t>
        </is>
      </c>
      <c r="AG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13" t="inlineStr">
        <is>
          <t>BA1 &gt; 1B4B &gt; Reconciliation &gt; Program Increases &gt; x</t>
        </is>
      </c>
      <c r="AD1967" s="7" t="inlineStr">
        <is>
          <t>155</t>
        </is>
      </c>
      <c r="AE1967" s="7" t="inlineStr">
        <is>
          <t>1B4B</t>
        </is>
      </c>
      <c r="AF1967" s="7" t="inlineStr">
        <is>
          <t>Program Increases</t>
        </is>
      </c>
      <c r="AG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13" t="inlineStr">
        <is>
          <t>BA1 &gt; 1B4B &gt; Reconciliation &gt; Program Increases &gt; xi</t>
        </is>
      </c>
      <c r="AD1968" s="7" t="inlineStr">
        <is>
          <t>155</t>
        </is>
      </c>
      <c r="AE1968" s="7" t="inlineStr">
        <is>
          <t>1B4B</t>
        </is>
      </c>
      <c r="AF1968" s="7" t="inlineStr">
        <is>
          <t>Program Increases</t>
        </is>
      </c>
      <c r="AG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13" t="inlineStr">
        <is>
          <t>BA1 &gt; 1B4B &gt; Reconciliation &gt; Program Increases &gt; xii</t>
        </is>
      </c>
      <c r="AD1969" s="7" t="inlineStr">
        <is>
          <t>43</t>
        </is>
      </c>
      <c r="AE1969" s="7" t="inlineStr">
        <is>
          <t>1B4B</t>
        </is>
      </c>
      <c r="AF1969" s="7" t="inlineStr">
        <is>
          <t>Program Increases</t>
        </is>
      </c>
      <c r="AG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13" t="inlineStr">
        <is>
          <t>BA1 &gt; 1B4B &gt; Reconciliation &gt; Program Increases &gt; xiv</t>
        </is>
      </c>
      <c r="AD1970" s="7" t="inlineStr">
        <is>
          <t>33</t>
        </is>
      </c>
      <c r="AE1970" s="7" t="inlineStr">
        <is>
          <t>1B4B</t>
        </is>
      </c>
      <c r="AF1970" s="7" t="inlineStr">
        <is>
          <t>Program Increases</t>
        </is>
      </c>
      <c r="AG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13" t="inlineStr">
        <is>
          <t>BA1 &gt; 1B4B &gt; Reconciliation &gt; Program Increases &gt; xv</t>
        </is>
      </c>
      <c r="AD1971" s="7" t="inlineStr">
        <is>
          <t>156</t>
        </is>
      </c>
      <c r="AE1971" s="7" t="inlineStr">
        <is>
          <t>1B4B</t>
        </is>
      </c>
      <c r="AF1971" s="7" t="inlineStr">
        <is>
          <t>Program Increases</t>
        </is>
      </c>
      <c r="AG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13" t="inlineStr">
        <is>
          <t>BA1 &gt; 1B4B &gt; Reconciliation &gt; Program Decreases &gt; ii</t>
        </is>
      </c>
      <c r="AD1972" s="7" t="inlineStr">
        <is>
          <t>156</t>
        </is>
      </c>
      <c r="AE1972" s="7" t="inlineStr">
        <is>
          <t>1B4B</t>
        </is>
      </c>
      <c r="AF1972" s="7" t="inlineStr">
        <is>
          <t>Program Decreases</t>
        </is>
      </c>
      <c r="AG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inlineStr">
        <is>
          <t>2|3</t>
        </is>
      </c>
      <c r="K1973" s="15" t="n"/>
      <c r="O1973" s="15" t="n"/>
      <c r="S1973" s="16" t="n">
        <v>-76395</v>
      </c>
      <c r="U1973" s="16" t="n">
        <v>-76395</v>
      </c>
      <c r="AC1973" s="13" t="inlineStr">
        <is>
          <t>BA1 &gt; 1B4B &gt; Reconciliation &gt; Program Decreases &gt; iv</t>
        </is>
      </c>
      <c r="AD1973" s="7" t="inlineStr">
        <is>
          <t>156</t>
        </is>
      </c>
      <c r="AE1973" s="7" t="inlineStr">
        <is>
          <t>1B4B</t>
        </is>
      </c>
      <c r="AF1973" s="7" t="inlineStr">
        <is>
          <t>Program Decreases</t>
        </is>
      </c>
      <c r="AG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inlineStr">
        <is>
          <t>2|3</t>
        </is>
      </c>
      <c r="K1974" s="15" t="n"/>
      <c r="O1974" s="15" t="n"/>
      <c r="S1974" s="16" t="n">
        <v>-207734</v>
      </c>
      <c r="U1974" s="16" t="n">
        <v>-207734</v>
      </c>
      <c r="AC1974" s="13" t="inlineStr">
        <is>
          <t>BA1 &gt; 1B4B &gt; Reconciliation &gt; Program Decreases &gt; v</t>
        </is>
      </c>
      <c r="AD1974" s="7" t="inlineStr">
        <is>
          <t>156</t>
        </is>
      </c>
      <c r="AE1974" s="7" t="inlineStr">
        <is>
          <t>1B4B</t>
        </is>
      </c>
      <c r="AF1974" s="7" t="inlineStr">
        <is>
          <t>Program Decreases</t>
        </is>
      </c>
      <c r="AG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13" t="inlineStr">
        <is>
          <t>BA1 &gt; 1B4B &gt; OP-32 Line Items &gt; 928</t>
        </is>
      </c>
      <c r="AD1975" s="7" t="inlineStr">
        <is>
          <t>178</t>
        </is>
      </c>
      <c r="AE1975" s="7" t="inlineStr">
        <is>
          <t>1B4B</t>
        </is>
      </c>
      <c r="AF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inlineStr">
        <is>
          <t>2|3</t>
        </is>
      </c>
      <c r="K1976" s="15" t="n"/>
      <c r="O1976" s="15" t="n"/>
      <c r="P1976" s="16" t="n">
        <v>369293</v>
      </c>
      <c r="Q1976" s="16" t="n">
        <v>311029</v>
      </c>
      <c r="S1976" s="16" t="n">
        <v>502290</v>
      </c>
      <c r="U1976" s="16" t="n">
        <v>502290</v>
      </c>
      <c r="AC1976" s="13" t="inlineStr">
        <is>
          <t>BA1 &gt; 1B4B &gt; OP-32 Line Items &gt; 922</t>
        </is>
      </c>
      <c r="AD1976" s="7" t="inlineStr">
        <is>
          <t>178</t>
        </is>
      </c>
      <c r="AE1976" s="7" t="inlineStr">
        <is>
          <t>1B4B</t>
        </is>
      </c>
      <c r="AF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inlineStr">
        <is>
          <t>2|3</t>
        </is>
      </c>
      <c r="K1977" s="15" t="n"/>
      <c r="O1977" s="15" t="n"/>
      <c r="P1977" s="16" t="n">
        <v>2865677</v>
      </c>
      <c r="Q1977" s="16" t="n">
        <v>3255145</v>
      </c>
      <c r="S1977" s="16" t="n">
        <v>3057102</v>
      </c>
      <c r="U1977" s="16" t="n">
        <v>3057102</v>
      </c>
      <c r="AC1977" s="13" t="inlineStr">
        <is>
          <t>BA1 &gt; 1B4B &gt; OP-32 Line Items &gt; 101</t>
        </is>
      </c>
      <c r="AD1977" s="7" t="inlineStr">
        <is>
          <t>177</t>
        </is>
      </c>
      <c r="AE1977" s="7" t="inlineStr">
        <is>
          <t>1B4B</t>
        </is>
      </c>
      <c r="AF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inlineStr">
        <is>
          <t>2|3</t>
        </is>
      </c>
      <c r="K1978" s="15" t="n"/>
      <c r="O1978" s="15" t="n"/>
      <c r="P1978" s="16" t="n">
        <v>2686257</v>
      </c>
      <c r="Q1978" s="16" t="n">
        <v>2743576</v>
      </c>
      <c r="S1978" s="16" t="n">
        <v>2713903</v>
      </c>
      <c r="U1978" s="16" t="n">
        <v>2713903</v>
      </c>
      <c r="AC1978" s="13" t="inlineStr">
        <is>
          <t>BA1 &gt; 1B4B &gt; OP-32 Line Items &gt; 103</t>
        </is>
      </c>
      <c r="AD1978" s="7" t="inlineStr">
        <is>
          <t>177</t>
        </is>
      </c>
      <c r="AE1978" s="7" t="inlineStr">
        <is>
          <t>1B4B</t>
        </is>
      </c>
      <c r="AF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inlineStr">
        <is>
          <t>2|3</t>
        </is>
      </c>
      <c r="K1979" s="15" t="n"/>
      <c r="O1979" s="15" t="n"/>
      <c r="P1979" s="16" t="n">
        <v>90272</v>
      </c>
      <c r="Q1979" s="16" t="n">
        <v>307237</v>
      </c>
      <c r="S1979" s="16" t="n">
        <v>814422</v>
      </c>
      <c r="U1979" s="16" t="n">
        <v>814422</v>
      </c>
      <c r="AC1979" s="13" t="inlineStr">
        <is>
          <t>BA1 &gt; 1B4B &gt; OP-32 Line Items &gt; 412</t>
        </is>
      </c>
      <c r="AD1979" s="7" t="inlineStr">
        <is>
          <t>177</t>
        </is>
      </c>
      <c r="AE1979" s="7" t="inlineStr">
        <is>
          <t>1B4B</t>
        </is>
      </c>
      <c r="AF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inlineStr">
        <is>
          <t>2|3</t>
        </is>
      </c>
      <c r="K1980" s="15" t="n"/>
      <c r="O1980" s="15" t="n"/>
      <c r="P1980" s="16" t="n">
        <v>660585</v>
      </c>
      <c r="Q1980" s="16" t="n">
        <v>715100</v>
      </c>
      <c r="S1980" s="16" t="n">
        <v>696056</v>
      </c>
      <c r="U1980" s="16" t="n">
        <v>696056</v>
      </c>
      <c r="AC1980" s="13" t="inlineStr">
        <is>
          <t>BA1 &gt; 1B4B &gt; OP-32 Line Items &gt; 424</t>
        </is>
      </c>
      <c r="AD1980" s="7" t="inlineStr">
        <is>
          <t>177</t>
        </is>
      </c>
      <c r="AE1980" s="7" t="inlineStr">
        <is>
          <t>1B4B</t>
        </is>
      </c>
      <c r="AF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13" t="inlineStr">
        <is>
          <t>BA1 &gt; 1B4B &gt; OP-32 Line Items &gt; 611</t>
        </is>
      </c>
      <c r="AD1981" s="7" t="inlineStr">
        <is>
          <t>177</t>
        </is>
      </c>
      <c r="AE1981" s="7" t="inlineStr">
        <is>
          <t>1B4B</t>
        </is>
      </c>
      <c r="AF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13" t="inlineStr">
        <is>
          <t>BA1 &gt; 1B4B &gt; OP-32 Line Items &gt; 930</t>
        </is>
      </c>
      <c r="AD1982" s="7" t="inlineStr">
        <is>
          <t>178</t>
        </is>
      </c>
      <c r="AE1982" s="7" t="inlineStr">
        <is>
          <t>1B4B</t>
        </is>
      </c>
      <c r="AF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inlineStr">
        <is>
          <t>2|3</t>
        </is>
      </c>
      <c r="K1983" s="15" t="n"/>
      <c r="O1983" s="15" t="n"/>
      <c r="P1983" s="16" t="n">
        <v>322352</v>
      </c>
      <c r="Q1983" s="16" t="n">
        <v>227588</v>
      </c>
      <c r="S1983" s="16" t="n">
        <v>236115</v>
      </c>
      <c r="U1983" s="16" t="n">
        <v>236115</v>
      </c>
      <c r="AC1983" s="13" t="inlineStr">
        <is>
          <t>BA1 &gt; 1B4B &gt; OP-32 Line Items &gt; 987</t>
        </is>
      </c>
      <c r="AD1983" s="7" t="inlineStr">
        <is>
          <t>178</t>
        </is>
      </c>
      <c r="AE1983" s="7" t="inlineStr">
        <is>
          <t>1B4B</t>
        </is>
      </c>
      <c r="AF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13" t="inlineStr">
        <is>
          <t>BA1 &gt; 1B4B &gt; Table III CNO Availabilities</t>
        </is>
      </c>
      <c r="AD1984" s="7" t="inlineStr">
        <is>
          <t>159</t>
        </is>
      </c>
      <c r="AE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13" t="inlineStr">
        <is>
          <t>BA1 &gt; 1B4B &gt; Table III CNO Availabilities</t>
        </is>
      </c>
      <c r="AD1985" s="7" t="inlineStr">
        <is>
          <t>159</t>
        </is>
      </c>
      <c r="AE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13" t="inlineStr">
        <is>
          <t>BA1 &gt; 1B4B &gt; Table III CNO Availabilities</t>
        </is>
      </c>
      <c r="AD1986" s="7" t="inlineStr">
        <is>
          <t>159</t>
        </is>
      </c>
      <c r="AE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13" t="inlineStr">
        <is>
          <t>BA1 &gt; 1B4B &gt; Table III CNO Availabilities</t>
        </is>
      </c>
      <c r="AD1987" s="7" t="inlineStr">
        <is>
          <t>159</t>
        </is>
      </c>
      <c r="AE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13" t="inlineStr">
        <is>
          <t>BA1 &gt; 1B4B &gt; Table III CNO Availabilities</t>
        </is>
      </c>
      <c r="AD1988" s="7" t="inlineStr">
        <is>
          <t>159</t>
        </is>
      </c>
      <c r="AE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13" t="inlineStr">
        <is>
          <t>BA1 &gt; 1B4B &gt; Table III CNO Availabilities</t>
        </is>
      </c>
      <c r="AD1989" s="7" t="inlineStr">
        <is>
          <t>159</t>
        </is>
      </c>
      <c r="AE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13" t="inlineStr">
        <is>
          <t>BA1 &gt; 1B4B &gt; Table III CNO Availabilities</t>
        </is>
      </c>
      <c r="AD1990" s="7" t="inlineStr">
        <is>
          <t>159</t>
        </is>
      </c>
      <c r="AE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13" t="inlineStr">
        <is>
          <t>BA1 &gt; 1B4B &gt; Table III CNO Availabilities</t>
        </is>
      </c>
      <c r="AD1991" s="7" t="inlineStr">
        <is>
          <t>160</t>
        </is>
      </c>
      <c r="AE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13" t="inlineStr">
        <is>
          <t>BA1 &gt; 1B4B &gt; Table III CNO Availabilities</t>
        </is>
      </c>
      <c r="AD1992" s="7" t="inlineStr">
        <is>
          <t>160</t>
        </is>
      </c>
      <c r="AE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13" t="inlineStr">
        <is>
          <t>BA1 &gt; 1B4B &gt; Table III CNO Availabilities</t>
        </is>
      </c>
      <c r="AD1993" s="7" t="inlineStr">
        <is>
          <t>160</t>
        </is>
      </c>
      <c r="AE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13" t="inlineStr">
        <is>
          <t>BA1 &gt; 1B4B &gt; Table III CNO Availabilities</t>
        </is>
      </c>
      <c r="AD1994" s="7" t="inlineStr">
        <is>
          <t>160</t>
        </is>
      </c>
      <c r="AE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 / SSGN</t>
        </is>
      </c>
      <c r="O1995" s="15" t="n"/>
      <c r="S1995" s="16" t="n">
        <v>91063</v>
      </c>
      <c r="U1995" s="16" t="n">
        <v>91063</v>
      </c>
      <c r="AC1995" s="13" t="inlineStr">
        <is>
          <t>BA1 &gt; 1B4B &gt; Table III CNO Availabilities</t>
        </is>
      </c>
      <c r="AD1995" s="7" t="inlineStr">
        <is>
          <t>160</t>
        </is>
      </c>
      <c r="AE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13" t="inlineStr">
        <is>
          <t>BA1 &gt; 1B4B &gt; Table III CNO Availabilities</t>
        </is>
      </c>
      <c r="AD1996" s="7" t="inlineStr">
        <is>
          <t>160</t>
        </is>
      </c>
      <c r="AE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13" t="inlineStr">
        <is>
          <t>BA1 &gt; 1B4B &gt; Table III CNO Availabilities</t>
        </is>
      </c>
      <c r="AD1997" s="7" t="inlineStr">
        <is>
          <t>160</t>
        </is>
      </c>
      <c r="AE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13" t="inlineStr">
        <is>
          <t>BA1 &gt; 1B4B &gt; Table III CNO Availabilities</t>
        </is>
      </c>
      <c r="AD1998" s="7" t="inlineStr">
        <is>
          <t>160</t>
        </is>
      </c>
      <c r="AE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13" t="inlineStr">
        <is>
          <t>BA1 &gt; 1B4B &gt; Table III CNO Availabilities</t>
        </is>
      </c>
      <c r="AD1999" s="7" t="inlineStr">
        <is>
          <t>160</t>
        </is>
      </c>
      <c r="AE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13" t="inlineStr">
        <is>
          <t>BA1 &gt; 1B4B &gt; Table III CNO Availabilities</t>
        </is>
      </c>
      <c r="AD2000" s="7" t="inlineStr">
        <is>
          <t>160</t>
        </is>
      </c>
      <c r="AE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13" t="inlineStr">
        <is>
          <t>BA1 &gt; 1B4B &gt; Table III CNO Availabilities</t>
        </is>
      </c>
      <c r="AD2001" s="7" t="inlineStr">
        <is>
          <t>160</t>
        </is>
      </c>
      <c r="AE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13" t="inlineStr">
        <is>
          <t>BA1 &gt; 1B4B &gt; Table III CNO Availabilities</t>
        </is>
      </c>
      <c r="AD2002" s="7" t="inlineStr">
        <is>
          <t>160</t>
        </is>
      </c>
      <c r="AE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13" t="inlineStr">
        <is>
          <t>BA1 &gt; 1B4B &gt; Table III CNO Availabilities</t>
        </is>
      </c>
      <c r="AD2003" s="7" t="inlineStr">
        <is>
          <t>160</t>
        </is>
      </c>
      <c r="AE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13" t="inlineStr">
        <is>
          <t>BA1 &gt; 1B4B &gt; Table III CNO Availabilities</t>
        </is>
      </c>
      <c r="AD2004" s="7" t="inlineStr">
        <is>
          <t>160</t>
        </is>
      </c>
      <c r="AE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13" t="inlineStr">
        <is>
          <t>BA1 &gt; 1B4B &gt; Table III CNO Availabilities</t>
        </is>
      </c>
      <c r="AD2005" s="7" t="inlineStr">
        <is>
          <t>160</t>
        </is>
      </c>
      <c r="AE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13" t="inlineStr">
        <is>
          <t>BA1 &gt; 1B4B &gt; Table III CNO Availabilities</t>
        </is>
      </c>
      <c r="AD2006" s="7" t="inlineStr">
        <is>
          <t>160</t>
        </is>
      </c>
      <c r="AE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13" t="inlineStr">
        <is>
          <t>BA1 &gt; 1B4B &gt; Table III CNO Availabilities</t>
        </is>
      </c>
      <c r="AD2007" s="7" t="inlineStr">
        <is>
          <t>160</t>
        </is>
      </c>
      <c r="AE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13" t="inlineStr">
        <is>
          <t>BA1 &gt; 1B4B &gt; Table III CNO Availabilities</t>
        </is>
      </c>
      <c r="AD2008" s="7" t="inlineStr">
        <is>
          <t>160</t>
        </is>
      </c>
      <c r="AE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13" t="inlineStr">
        <is>
          <t>BA1 &gt; 1B4B &gt; Table III CNO Availabilities</t>
        </is>
      </c>
      <c r="AD2009" s="7" t="inlineStr">
        <is>
          <t>161</t>
        </is>
      </c>
      <c r="AE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13" t="inlineStr">
        <is>
          <t>BA1 &gt; 1B4B &gt; Table III CNO Availabilities</t>
        </is>
      </c>
      <c r="AD2010" s="7" t="inlineStr">
        <is>
          <t>161</t>
        </is>
      </c>
      <c r="AE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13" t="inlineStr">
        <is>
          <t>BA1 &gt; 1B4B &gt; Table III CNO Availabilities</t>
        </is>
      </c>
      <c r="AD2011" s="7" t="inlineStr">
        <is>
          <t>161</t>
        </is>
      </c>
      <c r="AE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13" t="inlineStr">
        <is>
          <t>BA1 &gt; 1B4B &gt; Table III CNO Availabilities</t>
        </is>
      </c>
      <c r="AD2012" s="7" t="inlineStr">
        <is>
          <t>160</t>
        </is>
      </c>
      <c r="AE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13" t="inlineStr">
        <is>
          <t>BA1 &gt; 1B4B &gt; Table III CNO Availabilities</t>
        </is>
      </c>
      <c r="AD2013" s="7" t="inlineStr">
        <is>
          <t>161</t>
        </is>
      </c>
      <c r="AE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13" t="inlineStr">
        <is>
          <t>BA1 &gt; 1B4B &gt; Table III CNO Availabilities</t>
        </is>
      </c>
      <c r="AD2014" s="7" t="inlineStr">
        <is>
          <t>161</t>
        </is>
      </c>
      <c r="AE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13" t="inlineStr">
        <is>
          <t>BA1 &gt; 1B4B &gt; Table III CNO Availabilities</t>
        </is>
      </c>
      <c r="AD2015" s="7" t="inlineStr">
        <is>
          <t>160</t>
        </is>
      </c>
      <c r="AE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13" t="inlineStr">
        <is>
          <t>BA1 &gt; 1B4B &gt; Table III CNO Availabilities</t>
        </is>
      </c>
      <c r="AD2016" s="7" t="inlineStr">
        <is>
          <t>161</t>
        </is>
      </c>
      <c r="AE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13" t="inlineStr">
        <is>
          <t>BA1 &gt; 1B4B &gt; Table III CNO Availabilities</t>
        </is>
      </c>
      <c r="AD2017" s="7" t="inlineStr">
        <is>
          <t>161</t>
        </is>
      </c>
      <c r="AE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13" t="inlineStr">
        <is>
          <t>BA1 &gt; 1B4B &gt; Table III CNO Availabilities</t>
        </is>
      </c>
      <c r="AD2018" s="7" t="inlineStr">
        <is>
          <t>161</t>
        </is>
      </c>
      <c r="AE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13" t="inlineStr">
        <is>
          <t>BA1 &gt; 1B4B &gt; Table III CNO Availabilities</t>
        </is>
      </c>
      <c r="AD2019" s="7" t="inlineStr">
        <is>
          <t>161</t>
        </is>
      </c>
      <c r="AE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13" t="inlineStr">
        <is>
          <t>BA1 &gt; 1B4B &gt; Table III CNO Availabilities (OPN)</t>
        </is>
      </c>
      <c r="AD2020" s="7" t="inlineStr">
        <is>
          <t>161</t>
        </is>
      </c>
      <c r="AE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13" t="inlineStr">
        <is>
          <t>BA1 &gt; 1B4B &gt; Table III CNO Availabilities (OPN)</t>
        </is>
      </c>
      <c r="AD2021" s="7" t="inlineStr">
        <is>
          <t>162</t>
        </is>
      </c>
      <c r="AE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13" t="inlineStr">
        <is>
          <t>BA1 &gt; 1B4B &gt; Table III CNO Availabilities (OPN)</t>
        </is>
      </c>
      <c r="AD2022" s="7" t="inlineStr">
        <is>
          <t>162</t>
        </is>
      </c>
      <c r="AE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13" t="inlineStr">
        <is>
          <t>BA1 &gt; 1B4B &gt; Table III CNO Availabilities (OPN)</t>
        </is>
      </c>
      <c r="AD2023" s="7" t="inlineStr">
        <is>
          <t>162</t>
        </is>
      </c>
      <c r="AE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13" t="inlineStr">
        <is>
          <t>BA1 &gt; 1B4B &gt; Table III CNO Availabilities (OPN)</t>
        </is>
      </c>
      <c r="AD2024" s="7" t="inlineStr">
        <is>
          <t>162</t>
        </is>
      </c>
      <c r="AE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13" t="inlineStr">
        <is>
          <t>BA1 &gt; 1B4B &gt; Table III CNO Availabilities (OPN)</t>
        </is>
      </c>
      <c r="AD2025" s="7" t="inlineStr">
        <is>
          <t>162</t>
        </is>
      </c>
      <c r="AE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13" t="inlineStr">
        <is>
          <t>BA1 &gt; 1B4B &gt; Table III CNO Availabilities (OPN)</t>
        </is>
      </c>
      <c r="AD2026" s="7" t="inlineStr">
        <is>
          <t>162</t>
        </is>
      </c>
      <c r="AE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13" t="inlineStr">
        <is>
          <t>BA1 &gt; 1B4B &gt; Table III CNO Availabilities (OPN)</t>
        </is>
      </c>
      <c r="AD2027" s="7" t="inlineStr">
        <is>
          <t>162</t>
        </is>
      </c>
      <c r="AE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13" t="inlineStr">
        <is>
          <t>BA1 &gt; 1B4B &gt; Table III CNO Availabilities (OPN)</t>
        </is>
      </c>
      <c r="AD2028" s="7" t="inlineStr">
        <is>
          <t>162</t>
        </is>
      </c>
      <c r="AE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13" t="inlineStr">
        <is>
          <t>BA1 &gt; 1B4B &gt; Table III CNO Availabilities (OPN)</t>
        </is>
      </c>
      <c r="AD2029" s="7" t="inlineStr">
        <is>
          <t>162</t>
        </is>
      </c>
      <c r="AE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13" t="inlineStr">
        <is>
          <t>BA1 &gt; 1B4B &gt; Table III CNO Availabilities (OPN)</t>
        </is>
      </c>
      <c r="AD2030" s="7" t="inlineStr">
        <is>
          <t>162</t>
        </is>
      </c>
      <c r="AE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13" t="inlineStr">
        <is>
          <t>BA1 &gt; 1B4B &gt; Table III CNO Availabilities (OPN)</t>
        </is>
      </c>
      <c r="AD2031" s="7" t="inlineStr">
        <is>
          <t>163</t>
        </is>
      </c>
      <c r="AE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13" t="inlineStr">
        <is>
          <t>BA1 &gt; 1B4B &gt; Table III CNO Availabilities (OPN)</t>
        </is>
      </c>
      <c r="AD2032" s="7" t="inlineStr">
        <is>
          <t>163</t>
        </is>
      </c>
      <c r="AE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13" t="inlineStr">
        <is>
          <t>BA1 &gt; 1B4B &gt; Table III CNO Availabilities (OPN)</t>
        </is>
      </c>
      <c r="AD2033" s="7" t="inlineStr">
        <is>
          <t>163</t>
        </is>
      </c>
      <c r="AE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13" t="inlineStr">
        <is>
          <t>BA1 &gt; 1B4B &gt; Table III CNO Availabilities (OPN)</t>
        </is>
      </c>
      <c r="AD2034" s="7" t="inlineStr">
        <is>
          <t>163</t>
        </is>
      </c>
      <c r="AE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13" t="inlineStr">
        <is>
          <t>BA1 &gt; 1B4B &gt; Table III CNO Availabilities (OPN)</t>
        </is>
      </c>
      <c r="AD2035" s="7" t="inlineStr">
        <is>
          <t>163</t>
        </is>
      </c>
      <c r="AE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13" t="inlineStr">
        <is>
          <t>BA1 &gt; 1B4B &gt; Table III CNO Availabilities (OPN)</t>
        </is>
      </c>
      <c r="AD2036" s="7" t="inlineStr">
        <is>
          <t>163</t>
        </is>
      </c>
      <c r="AE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13" t="inlineStr">
        <is>
          <t>BA1 &gt; 1B4B &gt; Table III CNO Availabilities (OPN)</t>
        </is>
      </c>
      <c r="AD2037" s="7" t="inlineStr">
        <is>
          <t>163</t>
        </is>
      </c>
      <c r="AE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13" t="inlineStr">
        <is>
          <t>BA1 &gt; 1B4B &gt; Table III CNO Availabilities (OPN)</t>
        </is>
      </c>
      <c r="AD2038" s="7" t="inlineStr">
        <is>
          <t>163</t>
        </is>
      </c>
      <c r="AE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13" t="inlineStr">
        <is>
          <t>BA1 &gt; 1B4B &gt; Table III CNO Availabilities (OPN)</t>
        </is>
      </c>
      <c r="AD2039" s="7" t="inlineStr">
        <is>
          <t>163</t>
        </is>
      </c>
      <c r="AE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13" t="inlineStr">
        <is>
          <t>BA1 &gt; 1B4B &gt; Table III CNO Availabilities (OPN)</t>
        </is>
      </c>
      <c r="AD2040" s="7" t="inlineStr">
        <is>
          <t>163</t>
        </is>
      </c>
      <c r="AE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13" t="inlineStr">
        <is>
          <t>BA1 &gt; 1B4B &gt; Table III CNO Availabilities (OPN)</t>
        </is>
      </c>
      <c r="AD2041" s="7" t="inlineStr">
        <is>
          <t>163</t>
        </is>
      </c>
      <c r="AE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13" t="inlineStr">
        <is>
          <t>BA1 &gt; 1B4B &gt; Table III CNO Availabilities (OPN)</t>
        </is>
      </c>
      <c r="AD2042" s="7" t="inlineStr">
        <is>
          <t>163</t>
        </is>
      </c>
      <c r="AE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13" t="inlineStr">
        <is>
          <t>BA1 &gt; 1B4B &gt; Table III CNO Availabilities (OPN)</t>
        </is>
      </c>
      <c r="AD2043" s="7" t="inlineStr">
        <is>
          <t>163</t>
        </is>
      </c>
      <c r="AE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13" t="inlineStr">
        <is>
          <t>BA1 &gt; 1B4B &gt; Table III CNO Availabilities (OPN)</t>
        </is>
      </c>
      <c r="AD2044" s="7" t="inlineStr">
        <is>
          <t>164</t>
        </is>
      </c>
      <c r="AE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13" t="inlineStr">
        <is>
          <t>BA1 &gt; 1B4B &gt; Table III CNO Availabilities (OPN)</t>
        </is>
      </c>
      <c r="AD2045" s="7" t="inlineStr">
        <is>
          <t>164</t>
        </is>
      </c>
      <c r="AE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13" t="inlineStr">
        <is>
          <t>BA1 &gt; 1B4B &gt; Table III CNO Availabilities (OPN)</t>
        </is>
      </c>
      <c r="AD2046" s="7" t="inlineStr">
        <is>
          <t>164</t>
        </is>
      </c>
      <c r="AE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13" t="inlineStr">
        <is>
          <t>BA1 &gt; 1B4B &gt; Table IV MSC M&amp;R</t>
        </is>
      </c>
      <c r="AD2047" s="7" t="inlineStr">
        <is>
          <t>166</t>
        </is>
      </c>
      <c r="AE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13" t="inlineStr">
        <is>
          <t>BA1 &gt; 1B4B &gt; Table IV MSC M&amp;R</t>
        </is>
      </c>
      <c r="AD2048" s="7" t="inlineStr">
        <is>
          <t>166</t>
        </is>
      </c>
      <c r="AE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13" t="inlineStr">
        <is>
          <t>BA1 &gt; 1B4B &gt; Table IV MSC M&amp;R</t>
        </is>
      </c>
      <c r="AD2049" s="7" t="inlineStr">
        <is>
          <t>166</t>
        </is>
      </c>
      <c r="AE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13" t="inlineStr">
        <is>
          <t>BA1 &gt; 1B4B &gt; Table IV MSC M&amp;R</t>
        </is>
      </c>
      <c r="AD2050" s="7" t="inlineStr">
        <is>
          <t>166</t>
        </is>
      </c>
      <c r="AE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13" t="inlineStr">
        <is>
          <t>BA1 &gt; 1B4B &gt; Table IV MSC M&amp;R</t>
        </is>
      </c>
      <c r="AD2051" s="7" t="inlineStr">
        <is>
          <t>167</t>
        </is>
      </c>
      <c r="AE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13" t="inlineStr">
        <is>
          <t>BA1 &gt; 1B4B &gt; Table IV MSC M&amp;R</t>
        </is>
      </c>
      <c r="AD2052" s="7" t="inlineStr">
        <is>
          <t>167</t>
        </is>
      </c>
      <c r="AE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13" t="inlineStr">
        <is>
          <t>BA1 &gt; 1B4B &gt; Table IV MSC M&amp;R</t>
        </is>
      </c>
      <c r="AD2053" s="7" t="inlineStr">
        <is>
          <t>167</t>
        </is>
      </c>
      <c r="AE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13" t="inlineStr">
        <is>
          <t>BA1 &gt; 1B4B &gt; Table IV MSC M&amp;R</t>
        </is>
      </c>
      <c r="AD2054" s="7" t="inlineStr">
        <is>
          <t>167</t>
        </is>
      </c>
      <c r="AE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13" t="inlineStr">
        <is>
          <t>BA1 &gt; 1B4B &gt; Table IV MSC M&amp;R</t>
        </is>
      </c>
      <c r="AD2055" s="7" t="inlineStr">
        <is>
          <t>167</t>
        </is>
      </c>
      <c r="AE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13" t="inlineStr">
        <is>
          <t>BA1 &gt; 1B4B &gt; Table IV MSC M&amp;R</t>
        </is>
      </c>
      <c r="AD2056" s="7" t="inlineStr">
        <is>
          <t>167</t>
        </is>
      </c>
      <c r="AE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13" t="inlineStr">
        <is>
          <t>BA1 &gt; 1B4B &gt; Table IV MSC M&amp;R</t>
        </is>
      </c>
      <c r="AD2057" s="7" t="inlineStr">
        <is>
          <t>167</t>
        </is>
      </c>
      <c r="AE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13" t="inlineStr">
        <is>
          <t>BA1 &gt; 1B4B &gt; Table IV MSC M&amp;R</t>
        </is>
      </c>
      <c r="AD2058" s="7" t="inlineStr">
        <is>
          <t>167</t>
        </is>
      </c>
      <c r="AE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13" t="inlineStr">
        <is>
          <t>BA1 &gt; 1B4B &gt; Table IV MSC M&amp;R</t>
        </is>
      </c>
      <c r="AD2059" s="7" t="inlineStr">
        <is>
          <t>167</t>
        </is>
      </c>
      <c r="AE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13" t="inlineStr">
        <is>
          <t>BA1 &gt; 1B4B &gt; Table IV MSC M&amp;R</t>
        </is>
      </c>
      <c r="AD2060" s="7" t="inlineStr">
        <is>
          <t>167</t>
        </is>
      </c>
      <c r="AE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13" t="inlineStr">
        <is>
          <t>BA1 &gt; 1B4B &gt; Table IV MSC M&amp;R</t>
        </is>
      </c>
      <c r="AD2061" s="7" t="inlineStr">
        <is>
          <t>167</t>
        </is>
      </c>
      <c r="AE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13" t="inlineStr">
        <is>
          <t>BA1 &gt; 1B4B &gt; Table IV MSC M&amp;R</t>
        </is>
      </c>
      <c r="AD2062" s="7" t="inlineStr">
        <is>
          <t>167</t>
        </is>
      </c>
      <c r="AE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13" t="inlineStr">
        <is>
          <t>BA1 &gt; 1B4B &gt; Table IV MSC M&amp;R</t>
        </is>
      </c>
      <c r="AD2063" s="7" t="inlineStr">
        <is>
          <t>167</t>
        </is>
      </c>
      <c r="AE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13" t="inlineStr">
        <is>
          <t>BA1 &gt; 1B4B &gt; Table IV MSC M&amp;R</t>
        </is>
      </c>
      <c r="AD2064" s="7" t="inlineStr">
        <is>
          <t>167</t>
        </is>
      </c>
      <c r="AE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13" t="inlineStr">
        <is>
          <t>BA1 &gt; 1B4B &gt; Table IV MSC M&amp;R</t>
        </is>
      </c>
      <c r="AD2065" s="7" t="inlineStr">
        <is>
          <t>167</t>
        </is>
      </c>
      <c r="AE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13" t="inlineStr">
        <is>
          <t>BA1 &gt; 1B4B &gt; Table IV MSC M&amp;R</t>
        </is>
      </c>
      <c r="AD2066" s="7" t="inlineStr">
        <is>
          <t>167</t>
        </is>
      </c>
      <c r="AE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13" t="inlineStr">
        <is>
          <t>BA1 &gt; 1B4B &gt; Table IV MSC M&amp;R</t>
        </is>
      </c>
      <c r="AD2067" s="7" t="inlineStr">
        <is>
          <t>167</t>
        </is>
      </c>
      <c r="AE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13" t="inlineStr">
        <is>
          <t>BA1 &gt; 1B4B &gt; Table IV MSC M&amp;R</t>
        </is>
      </c>
      <c r="AD2068" s="7" t="inlineStr">
        <is>
          <t>167</t>
        </is>
      </c>
      <c r="AE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13" t="inlineStr">
        <is>
          <t>BA1 &gt; 1B4B &gt; Table IV MSC M&amp;R</t>
        </is>
      </c>
      <c r="AD2069" s="7" t="inlineStr">
        <is>
          <t>167</t>
        </is>
      </c>
      <c r="AE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13" t="inlineStr">
        <is>
          <t>BA1 &gt; 1B4B &gt; Table IV MSC M&amp;R</t>
        </is>
      </c>
      <c r="AD2070" s="7" t="inlineStr">
        <is>
          <t>168</t>
        </is>
      </c>
      <c r="AE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13" t="inlineStr">
        <is>
          <t>BA1 &gt; 1B4B &gt; Table IV MSC M&amp;R</t>
        </is>
      </c>
      <c r="AD2071" s="7" t="inlineStr">
        <is>
          <t>168</t>
        </is>
      </c>
      <c r="AE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13" t="inlineStr">
        <is>
          <t>BA1 &gt; 1B4B &gt; Table IV MSC M&amp;R</t>
        </is>
      </c>
      <c r="AD2072" s="7" t="inlineStr">
        <is>
          <t>168</t>
        </is>
      </c>
      <c r="AE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13" t="inlineStr">
        <is>
          <t>BA1 &gt; 1B4B &gt; Table IV MSC M&amp;R</t>
        </is>
      </c>
      <c r="AD2073" s="7" t="inlineStr">
        <is>
          <t>168</t>
        </is>
      </c>
      <c r="AE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13" t="inlineStr">
        <is>
          <t>BA1 &gt; 1B4B &gt; Table IV MSC M&amp;R</t>
        </is>
      </c>
      <c r="AD2074" s="7" t="inlineStr">
        <is>
          <t>168</t>
        </is>
      </c>
      <c r="AE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13" t="inlineStr">
        <is>
          <t>BA1 &gt; 1B4B &gt; Table IV MSC M&amp;R</t>
        </is>
      </c>
      <c r="AD2075" s="7" t="inlineStr">
        <is>
          <t>168</t>
        </is>
      </c>
      <c r="AE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13" t="inlineStr">
        <is>
          <t>BA1 &gt; 1B4B &gt; Table IV MSC M&amp;R</t>
        </is>
      </c>
      <c r="AD2076" s="7" t="inlineStr">
        <is>
          <t>168</t>
        </is>
      </c>
      <c r="AE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13" t="inlineStr">
        <is>
          <t>BA1 &gt; 1B4B &gt; Table IV MSC M&amp;R</t>
        </is>
      </c>
      <c r="AD2077" s="7" t="inlineStr">
        <is>
          <t>168</t>
        </is>
      </c>
      <c r="AE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13" t="inlineStr">
        <is>
          <t>BA1 &gt; 1B4B &gt; Table IV MSC M&amp;R</t>
        </is>
      </c>
      <c r="AD2078" s="7" t="inlineStr">
        <is>
          <t>168</t>
        </is>
      </c>
      <c r="AE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13" t="inlineStr">
        <is>
          <t>BA1 &gt; 1B4B &gt; Table IV MSC M&amp;R</t>
        </is>
      </c>
      <c r="AD2079" s="7" t="inlineStr">
        <is>
          <t>168</t>
        </is>
      </c>
      <c r="AE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13" t="inlineStr">
        <is>
          <t>BA1 &gt; 1B4B &gt; Table IV MSC M&amp;R</t>
        </is>
      </c>
      <c r="AD2080" s="7" t="inlineStr">
        <is>
          <t>168</t>
        </is>
      </c>
      <c r="AE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13" t="inlineStr">
        <is>
          <t>BA1 &gt; 1B4B &gt; Table IV MSC M&amp;R</t>
        </is>
      </c>
      <c r="AD2081" s="7" t="inlineStr">
        <is>
          <t>168</t>
        </is>
      </c>
      <c r="AE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13" t="inlineStr">
        <is>
          <t>BA1 &gt; 1B4B &gt; Table IV MSC M&amp;R</t>
        </is>
      </c>
      <c r="AD2082" s="7" t="inlineStr">
        <is>
          <t>168</t>
        </is>
      </c>
      <c r="AE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13" t="inlineStr">
        <is>
          <t>BA1 &gt; 1B4B &gt; Table IV MSC M&amp;R</t>
        </is>
      </c>
      <c r="AD2083" s="7" t="inlineStr">
        <is>
          <t>169</t>
        </is>
      </c>
      <c r="AE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13" t="inlineStr">
        <is>
          <t>BA1 &gt; 1B4B &gt; Table IV MSC M&amp;R</t>
        </is>
      </c>
      <c r="AD2084" s="7" t="inlineStr">
        <is>
          <t>169</t>
        </is>
      </c>
      <c r="AE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13" t="inlineStr">
        <is>
          <t>BA1 &gt; 1B4B &gt; Table IV MSC M&amp;R</t>
        </is>
      </c>
      <c r="AD2085" s="7" t="inlineStr">
        <is>
          <t>169</t>
        </is>
      </c>
      <c r="AE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13" t="inlineStr">
        <is>
          <t>BA1 &gt; 1B4B &gt; Table IV MSC M&amp;R</t>
        </is>
      </c>
      <c r="AD2086" s="7" t="inlineStr">
        <is>
          <t>169</t>
        </is>
      </c>
      <c r="AE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13" t="inlineStr">
        <is>
          <t>BA1 &gt; 1B4B &gt; Table IV MSC M&amp;R</t>
        </is>
      </c>
      <c r="AD2087" s="7" t="inlineStr">
        <is>
          <t>169</t>
        </is>
      </c>
      <c r="AE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13" t="inlineStr">
        <is>
          <t>BA1 &gt; 1B4B &gt; Table IV MSC M&amp;R</t>
        </is>
      </c>
      <c r="AD2088" s="7" t="inlineStr">
        <is>
          <t>169</t>
        </is>
      </c>
      <c r="AE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13" t="inlineStr">
        <is>
          <t>BA1 &gt; 1B4B &gt; Table IV MSC M&amp;R</t>
        </is>
      </c>
      <c r="AD2089" s="7" t="inlineStr">
        <is>
          <t>169</t>
        </is>
      </c>
      <c r="AE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13" t="inlineStr">
        <is>
          <t>BA1 &gt; 1B4B &gt; Table IV MSC M&amp;R</t>
        </is>
      </c>
      <c r="AD2090" s="7" t="inlineStr">
        <is>
          <t>169</t>
        </is>
      </c>
      <c r="AE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13" t="inlineStr">
        <is>
          <t>BA1 &gt; 1B4B &gt; Table IV MSC M&amp;R</t>
        </is>
      </c>
      <c r="AD2091" s="7" t="inlineStr">
        <is>
          <t>169</t>
        </is>
      </c>
      <c r="AE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13" t="inlineStr">
        <is>
          <t>BA1 &gt; 1B4B &gt; Table IV MSC M&amp;R</t>
        </is>
      </c>
      <c r="AD2092" s="7" t="inlineStr">
        <is>
          <t>169</t>
        </is>
      </c>
      <c r="AE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13" t="inlineStr">
        <is>
          <t>BA1 &gt; 1B4B &gt; Table IV MSC M&amp;R</t>
        </is>
      </c>
      <c r="AD2093" s="7" t="inlineStr">
        <is>
          <t>169</t>
        </is>
      </c>
      <c r="AE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13" t="inlineStr">
        <is>
          <t>BA1 &gt; 1B4B &gt; Table IV MSC M&amp;R</t>
        </is>
      </c>
      <c r="AD2094" s="7" t="inlineStr">
        <is>
          <t>169</t>
        </is>
      </c>
      <c r="AE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13" t="inlineStr">
        <is>
          <t>BA1 &gt; 1B4B &gt; Table IV MSC M&amp;R</t>
        </is>
      </c>
      <c r="AD2095" s="7" t="inlineStr">
        <is>
          <t>169</t>
        </is>
      </c>
      <c r="AE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13" t="inlineStr">
        <is>
          <t>BA1 &gt; 1B4B &gt; Table IV MSC M&amp;R</t>
        </is>
      </c>
      <c r="AD2096" s="7" t="inlineStr">
        <is>
          <t>170</t>
        </is>
      </c>
      <c r="AE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13" t="inlineStr">
        <is>
          <t>BA1 &gt; 1B4B &gt; Table IV MSC M&amp;R</t>
        </is>
      </c>
      <c r="AD2097" s="7" t="inlineStr">
        <is>
          <t>170</t>
        </is>
      </c>
      <c r="AE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13" t="inlineStr">
        <is>
          <t>BA1 &gt; 1B4B &gt; Table IV MSC M&amp;R</t>
        </is>
      </c>
      <c r="AD2098" s="7" t="inlineStr">
        <is>
          <t>170</t>
        </is>
      </c>
      <c r="AE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13" t="inlineStr">
        <is>
          <t>BA1 &gt; 1B4B &gt; Table IV MSC M&amp;R</t>
        </is>
      </c>
      <c r="AD2099" s="7" t="inlineStr">
        <is>
          <t>170</t>
        </is>
      </c>
      <c r="AE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13" t="inlineStr">
        <is>
          <t>BA1 &gt; 1B4B &gt; Table IV MSC M&amp;R</t>
        </is>
      </c>
      <c r="AD2100" s="7" t="inlineStr">
        <is>
          <t>170</t>
        </is>
      </c>
      <c r="AE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13" t="inlineStr">
        <is>
          <t>BA1 &gt; 1B4B &gt; Table IV MSC M&amp;R</t>
        </is>
      </c>
      <c r="AD2101" s="7" t="inlineStr">
        <is>
          <t>170</t>
        </is>
      </c>
      <c r="AE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13" t="inlineStr">
        <is>
          <t>BA1 &gt; 1B4B &gt; Table IV MSC M&amp;R</t>
        </is>
      </c>
      <c r="AD2102" s="7" t="inlineStr">
        <is>
          <t>170</t>
        </is>
      </c>
      <c r="AE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13" t="inlineStr">
        <is>
          <t>BA1 &gt; 1B4B &gt; Table IV MSC M&amp;R</t>
        </is>
      </c>
      <c r="AD2103" s="7" t="inlineStr">
        <is>
          <t>170</t>
        </is>
      </c>
      <c r="AE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13" t="inlineStr">
        <is>
          <t>BA1 &gt; 1B4B &gt; Table IV MSC M&amp;R</t>
        </is>
      </c>
      <c r="AD2104" s="7" t="inlineStr">
        <is>
          <t>170</t>
        </is>
      </c>
      <c r="AE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13" t="inlineStr">
        <is>
          <t>BA1 &gt; 1B4B &gt; Table IV MSC M&amp;R</t>
        </is>
      </c>
      <c r="AD2105" s="7" t="inlineStr">
        <is>
          <t>170</t>
        </is>
      </c>
      <c r="AE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13" t="inlineStr">
        <is>
          <t>BA1 &gt; 1B4B &gt; Table IV MSC M&amp;R</t>
        </is>
      </c>
      <c r="AD2106" s="7" t="inlineStr">
        <is>
          <t>170</t>
        </is>
      </c>
      <c r="AE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13" t="inlineStr">
        <is>
          <t>BA1 &gt; 1B4B &gt; Table IV MSC M&amp;R</t>
        </is>
      </c>
      <c r="AD2107" s="7" t="inlineStr">
        <is>
          <t>170</t>
        </is>
      </c>
      <c r="AE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13" t="inlineStr">
        <is>
          <t>BA1 &gt; 1B4B &gt; Table IV MSC M&amp;R</t>
        </is>
      </c>
      <c r="AD2108" s="7" t="inlineStr">
        <is>
          <t>170</t>
        </is>
      </c>
      <c r="AE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13" t="inlineStr">
        <is>
          <t>BA1 &gt; 1B4B &gt; Table IV MSC M&amp;R</t>
        </is>
      </c>
      <c r="AD2109" s="7" t="inlineStr">
        <is>
          <t>170</t>
        </is>
      </c>
      <c r="AE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13" t="inlineStr">
        <is>
          <t>BA1 &gt; 1B4B &gt; Table IV MSC M&amp;R</t>
        </is>
      </c>
      <c r="AD2110" s="7" t="inlineStr">
        <is>
          <t>170</t>
        </is>
      </c>
      <c r="AE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13" t="inlineStr">
        <is>
          <t>BA1 &gt; 1B4B &gt; Table IV MSC M&amp;R</t>
        </is>
      </c>
      <c r="AD2111" s="7" t="inlineStr">
        <is>
          <t>170</t>
        </is>
      </c>
      <c r="AE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13" t="inlineStr">
        <is>
          <t>BA1 &gt; 1B4B &gt; Table IV MSC M&amp;R</t>
        </is>
      </c>
      <c r="AD2112" s="7" t="inlineStr">
        <is>
          <t>170</t>
        </is>
      </c>
      <c r="AE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13" t="inlineStr">
        <is>
          <t>BA1 &gt; 1B4B &gt; Table IV MSC M&amp;R</t>
        </is>
      </c>
      <c r="AD2113" s="7" t="inlineStr">
        <is>
          <t>170</t>
        </is>
      </c>
      <c r="AE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13" t="inlineStr">
        <is>
          <t>BA1 &gt; 1B4B &gt; Table IV MSC M&amp;R</t>
        </is>
      </c>
      <c r="AD2114" s="7" t="inlineStr">
        <is>
          <t>170</t>
        </is>
      </c>
      <c r="AE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13" t="inlineStr">
        <is>
          <t>BA1 &gt; 1B4B &gt; Table IV MSC M&amp;R</t>
        </is>
      </c>
      <c r="AD2115" s="7" t="inlineStr">
        <is>
          <t>170</t>
        </is>
      </c>
      <c r="AE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13" t="inlineStr">
        <is>
          <t>BA1 &gt; 1B4B &gt; Table IV MSC M&amp;R</t>
        </is>
      </c>
      <c r="AD2116" s="7" t="inlineStr">
        <is>
          <t>170</t>
        </is>
      </c>
      <c r="AE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13" t="inlineStr">
        <is>
          <t>BA1 &gt; 1B4B &gt; Table IV MSC M&amp;R</t>
        </is>
      </c>
      <c r="AD2117" s="7" t="inlineStr">
        <is>
          <t>170</t>
        </is>
      </c>
      <c r="AE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13" t="inlineStr">
        <is>
          <t>BA1 &gt; 1B4B &gt; Table IV MSC M&amp;R</t>
        </is>
      </c>
      <c r="AD2118" s="7" t="inlineStr">
        <is>
          <t>170</t>
        </is>
      </c>
      <c r="AE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13" t="inlineStr">
        <is>
          <t>BA1 &gt; 1B4B &gt; Table IV MSC M&amp;R</t>
        </is>
      </c>
      <c r="AD2119" s="7" t="inlineStr">
        <is>
          <t>171</t>
        </is>
      </c>
      <c r="AE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13" t="inlineStr">
        <is>
          <t>BA1 &gt; 1B4B &gt; Table IV MSC M&amp;R</t>
        </is>
      </c>
      <c r="AD2120" s="7" t="inlineStr">
        <is>
          <t>171</t>
        </is>
      </c>
      <c r="AE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13" t="inlineStr">
        <is>
          <t>BA1 &gt; 1B4B &gt; Table IV MSC M&amp;R</t>
        </is>
      </c>
      <c r="AD2121" s="7" t="inlineStr">
        <is>
          <t>171</t>
        </is>
      </c>
      <c r="AE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13" t="inlineStr">
        <is>
          <t>BA1 &gt; 1B4B &gt; Table IV MSC M&amp;R</t>
        </is>
      </c>
      <c r="AD2122" s="7" t="inlineStr">
        <is>
          <t>171</t>
        </is>
      </c>
      <c r="AE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13" t="inlineStr">
        <is>
          <t>BA1 &gt; 1B4B &gt; Table IV MSC M&amp;R</t>
        </is>
      </c>
      <c r="AD2123" s="7" t="inlineStr">
        <is>
          <t>171</t>
        </is>
      </c>
      <c r="AE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13" t="inlineStr">
        <is>
          <t>BA1 &gt; 1B4B &gt; Table IV MSC M&amp;R</t>
        </is>
      </c>
      <c r="AD2124" s="7" t="inlineStr">
        <is>
          <t>171</t>
        </is>
      </c>
      <c r="AE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13" t="inlineStr">
        <is>
          <t>BA1 &gt; 1B4B &gt; Table IV MSC M&amp;R</t>
        </is>
      </c>
      <c r="AD2125" s="7" t="inlineStr">
        <is>
          <t>171</t>
        </is>
      </c>
      <c r="AE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13" t="inlineStr">
        <is>
          <t>BA1 &gt; 1B4B &gt; Table VI Deferred Maintenance &gt; SWE</t>
        </is>
      </c>
      <c r="AD2126" s="7" t="inlineStr">
        <is>
          <t>173</t>
        </is>
      </c>
      <c r="AE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13" t="inlineStr">
        <is>
          <t>BA1 &gt; 1B4B &gt; Table VI Deferred Maintenance &gt; SWE</t>
        </is>
      </c>
      <c r="AD2127" s="7" t="inlineStr">
        <is>
          <t>173</t>
        </is>
      </c>
      <c r="AE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13" t="inlineStr">
        <is>
          <t>BA1 &gt; 1B4B &gt; Table VI Deferred Maintenance &gt; SWE</t>
        </is>
      </c>
      <c r="AD2128" s="7" t="inlineStr">
        <is>
          <t>173</t>
        </is>
      </c>
      <c r="AE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13" t="inlineStr">
        <is>
          <t>BA1 &gt; 1B4B &gt; Table VI Deferred Maintenance &gt; SWE</t>
        </is>
      </c>
      <c r="AD2129" s="7" t="inlineStr">
        <is>
          <t>173</t>
        </is>
      </c>
      <c r="AE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13" t="inlineStr">
        <is>
          <t>BA1 &gt; 1B4B &gt; Table VI Deferred Maintenance &gt; SWE</t>
        </is>
      </c>
      <c r="AD2130" s="7" t="inlineStr">
        <is>
          <t>173</t>
        </is>
      </c>
      <c r="AE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13" t="inlineStr">
        <is>
          <t>BA1 &gt; 1B4B &gt; Table VI Deferred Maintenance &gt; SWE</t>
        </is>
      </c>
      <c r="AD2131" s="7" t="inlineStr">
        <is>
          <t>173</t>
        </is>
      </c>
      <c r="AE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13" t="inlineStr">
        <is>
          <t>BA1 &gt; 1B4B &gt; Table VI Deferred Maintenance &gt; SWE</t>
        </is>
      </c>
      <c r="AD2132" s="7" t="inlineStr">
        <is>
          <t>173</t>
        </is>
      </c>
      <c r="AE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13" t="inlineStr">
        <is>
          <t>BA1 &gt; 1B4B &gt; Table VI Deferred Maintenance &gt; SWE</t>
        </is>
      </c>
      <c r="AD2133" s="7" t="inlineStr">
        <is>
          <t>173</t>
        </is>
      </c>
      <c r="AE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13" t="inlineStr">
        <is>
          <t>BA1 &gt; 1B4B &gt; Table VI Deferred Maintenance &gt; SWE</t>
        </is>
      </c>
      <c r="AD2134" s="7" t="inlineStr">
        <is>
          <t>173</t>
        </is>
      </c>
      <c r="AE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13" t="inlineStr">
        <is>
          <t>BA1 &gt; 1B4B &gt; Table VI Deferred Maintenance &gt; SWE</t>
        </is>
      </c>
      <c r="AD2135" s="7" t="inlineStr">
        <is>
          <t>173</t>
        </is>
      </c>
      <c r="AE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13" t="inlineStr">
        <is>
          <t>BA1 &gt; 1B4B &gt; Table VI Deferred Maintenance &gt; SWE</t>
        </is>
      </c>
      <c r="AD2136" s="7" t="inlineStr">
        <is>
          <t>173</t>
        </is>
      </c>
      <c r="AE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13" t="inlineStr">
        <is>
          <t>BA1 &gt; 1B4B &gt; Table VI Deferred Maintenance &gt; SWE</t>
        </is>
      </c>
      <c r="AD2137" s="7" t="inlineStr">
        <is>
          <t>173</t>
        </is>
      </c>
      <c r="AE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13" t="inlineStr">
        <is>
          <t>BA1 &gt; 1B4B &gt; Table VI Deferred Maintenance &gt; SWE</t>
        </is>
      </c>
      <c r="AD2138" s="7" t="inlineStr">
        <is>
          <t>173</t>
        </is>
      </c>
      <c r="AE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13" t="inlineStr">
        <is>
          <t>BA1 &gt; 1B4B &gt; Table VI Deferred Maintenance &gt; SWE</t>
        </is>
      </c>
      <c r="AD2139" s="7" t="inlineStr">
        <is>
          <t>173</t>
        </is>
      </c>
      <c r="AE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13" t="inlineStr">
        <is>
          <t>BA1 &gt; 1B4B &gt; Table VI Deferred Maintenance &gt; SWE</t>
        </is>
      </c>
      <c r="AD2140" s="7" t="inlineStr">
        <is>
          <t>173</t>
        </is>
      </c>
      <c r="AE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13" t="inlineStr">
        <is>
          <t>BA1 &gt; 1B4B &gt; Table VI Deferred Maintenance &gt; SWE</t>
        </is>
      </c>
      <c r="AD2141" s="7" t="inlineStr">
        <is>
          <t>174</t>
        </is>
      </c>
      <c r="AE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13" t="inlineStr">
        <is>
          <t>BA1 &gt; 1B4B &gt; Table VI Deferred Maintenance &gt; SWE</t>
        </is>
      </c>
      <c r="AD2142" s="7" t="inlineStr">
        <is>
          <t>174</t>
        </is>
      </c>
      <c r="AE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13" t="inlineStr">
        <is>
          <t>BA1 &gt; 1B4B &gt; Table VI Deferred Maintenance &gt; SWE</t>
        </is>
      </c>
      <c r="AD2143" s="7" t="inlineStr">
        <is>
          <t>174</t>
        </is>
      </c>
      <c r="AE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13" t="inlineStr">
        <is>
          <t>BA1 &gt; 1B4B &gt; Table VI Deferred Maintenance &gt; SWE</t>
        </is>
      </c>
      <c r="AD2144" s="7" t="inlineStr">
        <is>
          <t>174</t>
        </is>
      </c>
      <c r="AE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13" t="inlineStr">
        <is>
          <t>BA1 &gt; 1B4B &gt; Table VI Deferred Maintenance &gt; SWE</t>
        </is>
      </c>
      <c r="AD2145" s="7" t="inlineStr">
        <is>
          <t>162</t>
        </is>
      </c>
      <c r="AE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13" t="inlineStr">
        <is>
          <t>BA1 &gt; 1B4B &gt; Table VI Deferred Maintenance &gt; SWE</t>
        </is>
      </c>
      <c r="AD2146" s="7" t="inlineStr">
        <is>
          <t>164</t>
        </is>
      </c>
      <c r="AE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13" t="inlineStr">
        <is>
          <t>BA1 &gt; 1B4B &gt; Table VI Deferred Maintenance &gt; SWE</t>
        </is>
      </c>
      <c r="AD2147" s="7" t="inlineStr">
        <is>
          <t>162</t>
        </is>
      </c>
      <c r="AE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13" t="inlineStr">
        <is>
          <t>BA1 &gt; 1B4B &gt; Table VI Deferred Maintenance &gt; SWE</t>
        </is>
      </c>
      <c r="AD2148" s="7" t="inlineStr">
        <is>
          <t>30</t>
        </is>
      </c>
      <c r="AE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13" t="inlineStr">
        <is>
          <t>BA1 &gt; 1B4B &gt; Table VI Deferred Maintenance &gt; SWE</t>
        </is>
      </c>
      <c r="AD2149" s="7" t="inlineStr">
        <is>
          <t>155</t>
        </is>
      </c>
      <c r="AE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13" t="inlineStr">
        <is>
          <t>BA1 &gt; 1B4B &gt; Table VI Deferred Maintenance &gt; SWE</t>
        </is>
      </c>
      <c r="AD2150" s="7" t="inlineStr">
        <is>
          <t>30</t>
        </is>
      </c>
      <c r="AE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13" t="inlineStr">
        <is>
          <t>BA1 &gt; 1B4B &gt; Table VI Deferred Maintenance &gt; SWE</t>
        </is>
      </c>
      <c r="AD2151" s="7" t="inlineStr">
        <is>
          <t>174</t>
        </is>
      </c>
      <c r="AE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13" t="inlineStr">
        <is>
          <t>BA1 &gt; 1B4B &gt; Table VI Deferred Maintenance &gt; NAE</t>
        </is>
      </c>
      <c r="AD2152" s="7" t="inlineStr">
        <is>
          <t>174</t>
        </is>
      </c>
      <c r="AE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13" t="inlineStr">
        <is>
          <t>BA1 &gt; 1B4B &gt; Table VI Deferred Maintenance &gt; NAE</t>
        </is>
      </c>
      <c r="AD2153" s="7" t="inlineStr">
        <is>
          <t>174</t>
        </is>
      </c>
      <c r="AE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13" t="inlineStr">
        <is>
          <t>BA1 &gt; 1B4B &gt; Table VI Deferred Maintenance &gt; NAE</t>
        </is>
      </c>
      <c r="AD2154" s="7" t="inlineStr">
        <is>
          <t>174</t>
        </is>
      </c>
      <c r="AE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13" t="inlineStr">
        <is>
          <t>BA1 &gt; 1B4B &gt; Table VI Deferred Maintenance &gt; NAE</t>
        </is>
      </c>
      <c r="AD2155" s="7" t="inlineStr">
        <is>
          <t>174</t>
        </is>
      </c>
      <c r="AE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13" t="inlineStr">
        <is>
          <t>BA1 &gt; 1B4B &gt; Table VI Deferred Maintenance &gt; NAE</t>
        </is>
      </c>
      <c r="AD2156" s="7" t="inlineStr">
        <is>
          <t>174</t>
        </is>
      </c>
      <c r="AE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13" t="inlineStr">
        <is>
          <t>BA1 &gt; 1B4B &gt; Table VI Deferred Maintenance &gt; NAE</t>
        </is>
      </c>
      <c r="AD2157" s="7" t="inlineStr">
        <is>
          <t>174</t>
        </is>
      </c>
      <c r="AE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13" t="inlineStr">
        <is>
          <t>BA1 &gt; Ship Operations &gt; 1B5B Ship Depot Operations Support</t>
        </is>
      </c>
      <c r="AD2158" s="7" t="inlineStr">
        <is>
          <t>180</t>
        </is>
      </c>
      <c r="AE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13" t="inlineStr">
        <is>
          <t>BA1 &gt; 1B5B &gt; Performance Criteria</t>
        </is>
      </c>
      <c r="AD2159" s="7" t="inlineStr">
        <is>
          <t>186</t>
        </is>
      </c>
      <c r="AE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13" t="inlineStr">
        <is>
          <t>BA1 &gt; 1B5B &gt; Performance Criteria</t>
        </is>
      </c>
      <c r="AD2160" s="7" t="inlineStr">
        <is>
          <t>186</t>
        </is>
      </c>
      <c r="AE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13" t="inlineStr">
        <is>
          <t>BA1 &gt; 1B5B &gt; Performance Criteria</t>
        </is>
      </c>
      <c r="AD2161" s="7" t="inlineStr">
        <is>
          <t>186</t>
        </is>
      </c>
      <c r="AE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13" t="inlineStr">
        <is>
          <t>BA1 &gt; 1B5B &gt; Performance Criteria</t>
        </is>
      </c>
      <c r="AD2162" s="7" t="inlineStr">
        <is>
          <t>186</t>
        </is>
      </c>
      <c r="AE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13" t="inlineStr">
        <is>
          <t>BA1 &gt; 1B5B &gt; Performance Criteria</t>
        </is>
      </c>
      <c r="AD2163" s="7" t="inlineStr">
        <is>
          <t>186</t>
        </is>
      </c>
      <c r="AE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13" t="inlineStr">
        <is>
          <t>BA1 &gt; 1B5B &gt; Performance Criteria</t>
        </is>
      </c>
      <c r="AD2164" s="7" t="inlineStr">
        <is>
          <t>186</t>
        </is>
      </c>
      <c r="AE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13" t="inlineStr">
        <is>
          <t>BA1 &gt; 1B5B &gt; Performance Criteria</t>
        </is>
      </c>
      <c r="AD2165" s="7" t="inlineStr">
        <is>
          <t>186</t>
        </is>
      </c>
      <c r="AE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13" t="inlineStr">
        <is>
          <t>BA1 &gt; 1B5B &gt; Performance Criteria</t>
        </is>
      </c>
      <c r="AD2166" s="7" t="inlineStr">
        <is>
          <t>186</t>
        </is>
      </c>
      <c r="AE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13" t="inlineStr">
        <is>
          <t>BA1 &gt; 1B5B &gt; Performance Criteria &gt; NMP</t>
        </is>
      </c>
      <c r="AD2167" s="7" t="inlineStr">
        <is>
          <t>186</t>
        </is>
      </c>
      <c r="AE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13" t="inlineStr">
        <is>
          <t>BA1 &gt; 1B5B &gt; NMP &gt; Navy Data Environment</t>
        </is>
      </c>
      <c r="AD2168" s="7" t="inlineStr">
        <is>
          <t>186</t>
        </is>
      </c>
      <c r="AE2168" s="7" t="inlineStr">
        <is>
          <t>1B5B</t>
        </is>
      </c>
      <c r="AF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13" t="inlineStr">
        <is>
          <t>BA1 &gt; 1B5B &gt; NMP &gt; Submarines</t>
        </is>
      </c>
      <c r="AD2169" s="7" t="inlineStr">
        <is>
          <t>186</t>
        </is>
      </c>
      <c r="AE2169" s="7" t="inlineStr">
        <is>
          <t>1B5B</t>
        </is>
      </c>
      <c r="AF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13" t="inlineStr">
        <is>
          <t>BA1 &gt; 1B5B &gt; NMP &gt; DDG</t>
        </is>
      </c>
      <c r="AD2170" s="7" t="inlineStr">
        <is>
          <t>186</t>
        </is>
      </c>
      <c r="AE2170" s="7" t="inlineStr">
        <is>
          <t>1B5B</t>
        </is>
      </c>
      <c r="AF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13" t="inlineStr">
        <is>
          <t>BA1 &gt; 1B5B &gt; NMP &gt; Amphibious Ships</t>
        </is>
      </c>
      <c r="AD2171" s="7" t="inlineStr">
        <is>
          <t>186</t>
        </is>
      </c>
      <c r="AE2171" s="7" t="inlineStr">
        <is>
          <t>1B5B</t>
        </is>
      </c>
      <c r="AF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13" t="inlineStr">
        <is>
          <t>BA1 &gt; 1B5B &gt; NMP &gt; Surface Combatants</t>
        </is>
      </c>
      <c r="AD2172" s="7" t="inlineStr">
        <is>
          <t>186</t>
        </is>
      </c>
      <c r="AE2172" s="7" t="inlineStr">
        <is>
          <t>1B5B</t>
        </is>
      </c>
      <c r="AF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13" t="inlineStr">
        <is>
          <t>BA1 &gt; 1B5B &gt; NMP &gt; Carriers</t>
        </is>
      </c>
      <c r="AD2173" s="7" t="inlineStr">
        <is>
          <t>186</t>
        </is>
      </c>
      <c r="AE2173" s="7" t="inlineStr">
        <is>
          <t>1B5B</t>
        </is>
      </c>
      <c r="AF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13" t="inlineStr">
        <is>
          <t>BA1 &gt; 1B5B &gt; NMP &gt; Cruiser Modernization</t>
        </is>
      </c>
      <c r="AD2174" s="7" t="inlineStr">
        <is>
          <t>181</t>
        </is>
      </c>
      <c r="AE2174" s="7" t="inlineStr">
        <is>
          <t>1B5B</t>
        </is>
      </c>
      <c r="AF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13" t="inlineStr">
        <is>
          <t>BA1 &gt; 1B5B &gt; NMP &gt; LCS</t>
        </is>
      </c>
      <c r="AD2175" s="7" t="inlineStr">
        <is>
          <t>186</t>
        </is>
      </c>
      <c r="AE2175" s="7" t="inlineStr">
        <is>
          <t>1B5B</t>
        </is>
      </c>
      <c r="AF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13" t="inlineStr">
        <is>
          <t>BA1 &gt; 1B5B &gt; NMP &gt; Service Craft</t>
        </is>
      </c>
      <c r="AD2176" s="7" t="inlineStr">
        <is>
          <t>186</t>
        </is>
      </c>
      <c r="AE2176" s="7" t="inlineStr">
        <is>
          <t>1B5B</t>
        </is>
      </c>
      <c r="AF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13" t="inlineStr">
        <is>
          <t>BA1 &gt; 1B5B &gt; NMP &gt; Combat Systems</t>
        </is>
      </c>
      <c r="AD2177" s="7" t="inlineStr">
        <is>
          <t>186</t>
        </is>
      </c>
      <c r="AE2177" s="7" t="inlineStr">
        <is>
          <t>1B5B</t>
        </is>
      </c>
      <c r="AF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13" t="inlineStr">
        <is>
          <t>BA1 &gt; 1B5B &gt; Performance Criteria &gt; NMMES</t>
        </is>
      </c>
      <c r="AD2178" s="7" t="inlineStr">
        <is>
          <t>187</t>
        </is>
      </c>
      <c r="AE2178" s="7" t="inlineStr">
        <is>
          <t>1B5B</t>
        </is>
      </c>
      <c r="AF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13" t="inlineStr">
        <is>
          <t>BA1 &gt; 1B5B &gt; Performance Criteria &gt; Smart Work</t>
        </is>
      </c>
      <c r="AD2179" s="7" t="inlineStr">
        <is>
          <t>187</t>
        </is>
      </c>
      <c r="AE2179" s="7" t="inlineStr">
        <is>
          <t>1B5B</t>
        </is>
      </c>
      <c r="AF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13" t="inlineStr">
        <is>
          <t>BA1 &gt; 1B5B &gt; Performance Criteria &gt; CSOSS</t>
        </is>
      </c>
      <c r="AD2180" s="7" t="inlineStr">
        <is>
          <t>187</t>
        </is>
      </c>
      <c r="AE2180" s="7" t="inlineStr">
        <is>
          <t>1B5B</t>
        </is>
      </c>
      <c r="AF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13" t="inlineStr">
        <is>
          <t>BA1 &gt; 1B5B &gt; Berthing and Messing</t>
        </is>
      </c>
      <c r="AD2181" s="7" t="inlineStr">
        <is>
          <t>187</t>
        </is>
      </c>
      <c r="AE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13" t="inlineStr">
        <is>
          <t>BA1 &gt; 1B5B &gt; Berthing and Messing &gt; Barge Operations</t>
        </is>
      </c>
      <c r="AD2182" s="7" t="inlineStr">
        <is>
          <t>187</t>
        </is>
      </c>
      <c r="AE2182" s="7" t="inlineStr">
        <is>
          <t>1B5B</t>
        </is>
      </c>
      <c r="AF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13" t="inlineStr">
        <is>
          <t>BA1 &gt; 1B5B &gt; Berthing and Messing &gt; Off-Ship Berthing</t>
        </is>
      </c>
      <c r="AD2183" s="7" t="inlineStr">
        <is>
          <t>187</t>
        </is>
      </c>
      <c r="AE2183" s="7" t="inlineStr">
        <is>
          <t>1B5B</t>
        </is>
      </c>
      <c r="AF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13" t="inlineStr">
        <is>
          <t>BA1 &gt; 1B5B &gt; Performance Criteria &gt; RMC</t>
        </is>
      </c>
      <c r="AD2184" s="7" t="inlineStr">
        <is>
          <t>187</t>
        </is>
      </c>
      <c r="AE2184" s="7" t="inlineStr">
        <is>
          <t>1B5B</t>
        </is>
      </c>
      <c r="AF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13" t="inlineStr">
        <is>
          <t>BA1 &gt; 1B5B &gt; Performance Criteria &gt; NAVSEA HQ</t>
        </is>
      </c>
      <c r="AD2185" s="7" t="inlineStr">
        <is>
          <t>187</t>
        </is>
      </c>
      <c r="AE2185" s="7" t="inlineStr">
        <is>
          <t>1B5B</t>
        </is>
      </c>
      <c r="AF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13" t="inlineStr">
        <is>
          <t>BA2 &gt; Mobilization &gt; 2A1F Ship Prepositioning and Surge</t>
        </is>
      </c>
      <c r="AD2186" s="7" t="inlineStr">
        <is>
          <t>21</t>
        </is>
      </c>
      <c r="AE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13" t="inlineStr">
        <is>
          <t>BA2 &gt; 2A1F &gt; Program Increases</t>
        </is>
      </c>
      <c r="AD2187" s="7" t="inlineStr">
        <is>
          <t>434</t>
        </is>
      </c>
      <c r="AE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13" t="inlineStr">
        <is>
          <t>BA2 &gt; 2A1F &gt; Program Increases</t>
        </is>
      </c>
      <c r="AD2188" s="7" t="inlineStr">
        <is>
          <t>434</t>
        </is>
      </c>
      <c r="AE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13" t="inlineStr">
        <is>
          <t>BA2 &gt; 2A1F &gt; OP-32 &gt; 928</t>
        </is>
      </c>
      <c r="AD2189" s="7" t="inlineStr">
        <is>
          <t>22</t>
        </is>
      </c>
      <c r="AE2189" s="7" t="inlineStr">
        <is>
          <t>2A1F</t>
        </is>
      </c>
      <c r="AF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13" t="inlineStr">
        <is>
          <t>BA2 &gt; Mobilization &gt; 2A2F Ready Reserve Force</t>
        </is>
      </c>
      <c r="AD2190" s="7" t="inlineStr">
        <is>
          <t>21</t>
        </is>
      </c>
      <c r="AE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13" t="inlineStr">
        <is>
          <t>BA2 &gt; 2A2F &gt; Force Structure</t>
        </is>
      </c>
      <c r="AD2191" s="7" t="inlineStr">
        <is>
          <t>444</t>
        </is>
      </c>
      <c r="AE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13" t="inlineStr">
        <is>
          <t>BA2 &gt; 2A2F &gt; Force Structure &gt; LMSR</t>
        </is>
      </c>
      <c r="AD2192" s="7" t="inlineStr">
        <is>
          <t>446</t>
        </is>
      </c>
      <c r="AE2192" s="7" t="inlineStr">
        <is>
          <t>2A2F</t>
        </is>
      </c>
      <c r="AF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13" t="inlineStr">
        <is>
          <t>BA2 &gt; 2A2F &gt; Force Structure &gt; T-AVB</t>
        </is>
      </c>
      <c r="AD2193" s="7" t="inlineStr">
        <is>
          <t>446</t>
        </is>
      </c>
      <c r="AE2193" s="7" t="inlineStr">
        <is>
          <t>2A2F</t>
        </is>
      </c>
      <c r="AF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13" t="inlineStr">
        <is>
          <t>BA2 &gt; 2A2F &gt; Force Structure &gt; T-ACS</t>
        </is>
      </c>
      <c r="AD2194" s="7" t="inlineStr">
        <is>
          <t>446</t>
        </is>
      </c>
      <c r="AE2194" s="7" t="inlineStr">
        <is>
          <t>2A2F</t>
        </is>
      </c>
      <c r="AF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13" t="inlineStr">
        <is>
          <t>BA2 &gt; 2A2F &gt; Used Sealift Vessel Modernization</t>
        </is>
      </c>
      <c r="AD2195" s="7" t="inlineStr">
        <is>
          <t>446</t>
        </is>
      </c>
      <c r="AE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13" t="inlineStr">
        <is>
          <t>BA2 &gt; 2A2F &gt; Reserve Sealift Alterations</t>
        </is>
      </c>
      <c r="AD2196" s="7" t="inlineStr">
        <is>
          <t>447</t>
        </is>
      </c>
      <c r="AE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13" t="inlineStr">
        <is>
          <t>BA2 &gt; Mobilization &gt; 2B2G Activations/Inactivations</t>
        </is>
      </c>
      <c r="AD2197" s="7" t="inlineStr">
        <is>
          <t>21</t>
        </is>
      </c>
      <c r="AE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13" t="inlineStr">
        <is>
          <t>BA2 &gt; 2B2G &gt; Inactive Ship Maintenance</t>
        </is>
      </c>
      <c r="AD2198" s="7" t="inlineStr">
        <is>
          <t>459</t>
        </is>
      </c>
      <c r="AE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13" t="inlineStr">
        <is>
          <t>BA2 &gt; 2B2G &gt; Nuclear Surface Ship Inactivation</t>
        </is>
      </c>
      <c r="AD2199" s="7" t="inlineStr">
        <is>
          <t>465</t>
        </is>
      </c>
      <c r="AE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13" t="inlineStr">
        <is>
          <t>BA2 &gt; 2B2G &gt; Nuclear Surface Ship Inactivation</t>
        </is>
      </c>
      <c r="AD2200" s="7" t="inlineStr">
        <is>
          <t>456</t>
        </is>
      </c>
      <c r="AE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13" t="inlineStr">
        <is>
          <t>BA2 &gt; 2B2G &gt; Nuclear Submarine Inactivation</t>
        </is>
      </c>
      <c r="AD2201" s="7" t="inlineStr">
        <is>
          <t>461</t>
        </is>
      </c>
      <c r="AE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13" t="inlineStr">
        <is>
          <t>BA2 &gt; 2B2G &gt; Nuclear Submarine Advanced Planning</t>
        </is>
      </c>
      <c r="AD2202" s="7" t="inlineStr">
        <is>
          <t>461</t>
        </is>
      </c>
      <c r="AE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13" t="inlineStr">
        <is>
          <t>BA2 &gt; 2B2G &gt; Surface Ship Inactivation</t>
        </is>
      </c>
      <c r="AD2203" s="7" t="inlineStr">
        <is>
          <t>460</t>
        </is>
      </c>
      <c r="AE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13" t="inlineStr">
        <is>
          <t>BA2 &gt; 2B2G &gt; Nuclear Submarine Recycling</t>
        </is>
      </c>
      <c r="AD2204" s="7" t="inlineStr">
        <is>
          <t>456</t>
        </is>
      </c>
      <c r="AE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13" t="inlineStr">
        <is>
          <t>BA2 &gt; 2B2G &gt; Program Management</t>
        </is>
      </c>
      <c r="AD2205" s="7" t="inlineStr">
        <is>
          <t>462</t>
        </is>
      </c>
      <c r="AE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13" t="inlineStr">
        <is>
          <t>BA1 &gt; Ship Operations &gt; 1B2B Ship Operational Support and Training</t>
        </is>
      </c>
      <c r="AD2206" s="7" t="inlineStr">
        <is>
          <t>20</t>
        </is>
      </c>
      <c r="AE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13" t="inlineStr">
        <is>
          <t>BA1 &gt; 1B2B &gt; Program Increases &gt; Surface Support</t>
        </is>
      </c>
      <c r="AD2207" s="7" t="inlineStr">
        <is>
          <t>140</t>
        </is>
      </c>
      <c r="AE2207" s="7" t="inlineStr">
        <is>
          <t>1B2B</t>
        </is>
      </c>
      <c r="AF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13" t="inlineStr">
        <is>
          <t>BA1 &gt; 1B2B &gt; Program Increases &gt; Subsurface</t>
        </is>
      </c>
      <c r="AD2208" s="7" t="inlineStr">
        <is>
          <t>140</t>
        </is>
      </c>
      <c r="AE2208" s="7" t="inlineStr">
        <is>
          <t>1B2B</t>
        </is>
      </c>
      <c r="AF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13" t="inlineStr">
        <is>
          <t>BA1 &gt; 1B2B &gt; Program Increases &gt; Subsurface</t>
        </is>
      </c>
      <c r="AD2209" s="7" t="inlineStr">
        <is>
          <t>141</t>
        </is>
      </c>
      <c r="AE2209" s="7" t="inlineStr">
        <is>
          <t>1B2B</t>
        </is>
      </c>
      <c r="AF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13" t="inlineStr">
        <is>
          <t>BA1 &gt; 1B2B &gt; Program Increases &gt; Subsurface</t>
        </is>
      </c>
      <c r="AD2210" s="7" t="inlineStr">
        <is>
          <t>141</t>
        </is>
      </c>
      <c r="AE2210" s="7" t="inlineStr">
        <is>
          <t>1B2B</t>
        </is>
      </c>
      <c r="AF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13" t="inlineStr">
        <is>
          <t>BA1 &gt; 1B2B &gt; Program Increases &gt; Surface</t>
        </is>
      </c>
      <c r="AD2211" s="7" t="inlineStr">
        <is>
          <t>142</t>
        </is>
      </c>
      <c r="AE2211" s="7" t="inlineStr">
        <is>
          <t>1B2B</t>
        </is>
      </c>
      <c r="AF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13" t="inlineStr">
        <is>
          <t>BA1 &gt; 1B2B &gt; Program Increases &gt; Surface</t>
        </is>
      </c>
      <c r="AD2212" s="7" t="inlineStr">
        <is>
          <t>142</t>
        </is>
      </c>
      <c r="AE2212" s="7" t="inlineStr">
        <is>
          <t>1B2B</t>
        </is>
      </c>
      <c r="AF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13" t="inlineStr">
        <is>
          <t>BA1 &gt; 1B2B &gt; Program Increases &gt; Subsurface</t>
        </is>
      </c>
      <c r="AD2213" s="7" t="inlineStr">
        <is>
          <t>141</t>
        </is>
      </c>
      <c r="AE2213" s="7" t="inlineStr">
        <is>
          <t>1B2B</t>
        </is>
      </c>
      <c r="AF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13" t="inlineStr">
        <is>
          <t>BA1 &gt; 1B2B &gt; OP-32 &gt; 922</t>
        </is>
      </c>
      <c r="AD2214" s="7" t="inlineStr">
        <is>
          <t>148</t>
        </is>
      </c>
      <c r="AE2214" s="7" t="inlineStr">
        <is>
          <t>1B2B</t>
        </is>
      </c>
      <c r="AF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13" t="inlineStr">
        <is>
          <t>BA1 &gt; 1B1B &gt; Program Increases &gt; OPTAR</t>
        </is>
      </c>
      <c r="AD2215" s="7" t="inlineStr">
        <is>
          <t>129</t>
        </is>
      </c>
      <c r="AE2215" s="7" t="inlineStr">
        <is>
          <t>1B1B</t>
        </is>
      </c>
      <c r="AF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13" t="inlineStr">
        <is>
          <t>BA1 &gt; 1B1B &gt; Transfers Out</t>
        </is>
      </c>
      <c r="AD2216" s="7" t="inlineStr">
        <is>
          <t>129</t>
        </is>
      </c>
      <c r="AE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13" t="inlineStr">
        <is>
          <t>BA4 &gt; Administration &gt; 4B2N Planning, Engineering, and Program Support</t>
        </is>
      </c>
      <c r="AD2217" s="7" t="inlineStr">
        <is>
          <t>24</t>
        </is>
      </c>
      <c r="AE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13" t="inlineStr">
        <is>
          <t>BA4 &gt; 4B2N &gt; NAVSEA &gt; HM&amp;E Support</t>
        </is>
      </c>
      <c r="AD2218" s="7" t="inlineStr">
        <is>
          <t>688</t>
        </is>
      </c>
      <c r="AE2218" s="7" t="inlineStr">
        <is>
          <t>4B2N</t>
        </is>
      </c>
      <c r="AF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13" t="inlineStr">
        <is>
          <t>BA4 &gt; 4B2N &gt; NAVSEA &gt; Shipboard Env Protection</t>
        </is>
      </c>
      <c r="AD2219" s="7" t="inlineStr">
        <is>
          <t>688</t>
        </is>
      </c>
      <c r="AE2219" s="7" t="inlineStr">
        <is>
          <t>4B2N</t>
        </is>
      </c>
      <c r="AF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13" t="inlineStr">
        <is>
          <t>BA4 &gt; 4B2N &gt; NAVSEA &gt; Other Programs &gt; Magnetic Silencing</t>
        </is>
      </c>
      <c r="AD2220" s="7" t="inlineStr">
        <is>
          <t>685</t>
        </is>
      </c>
      <c r="AE2220" s="7" t="inlineStr">
        <is>
          <t>4B2N</t>
        </is>
      </c>
      <c r="AF2220" s="7" t="inlineStr">
        <is>
          <t>Other Programs</t>
        </is>
      </c>
      <c r="AG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13" t="inlineStr">
        <is>
          <t>BA4 &gt; 4B2N &gt; CNIC &gt; Weight Handling Ashore</t>
        </is>
      </c>
      <c r="AD2221" s="7" t="inlineStr">
        <is>
          <t>682</t>
        </is>
      </c>
      <c r="AE2221" s="7" t="inlineStr">
        <is>
          <t>4B2N</t>
        </is>
      </c>
      <c r="AF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13" t="inlineStr">
        <is>
          <t>BA4 &gt; 4B2N &gt; NAVAIR &gt; C-UAS</t>
        </is>
      </c>
      <c r="AD2222" s="7" t="inlineStr">
        <is>
          <t>688</t>
        </is>
      </c>
      <c r="AE2222" s="7" t="inlineStr">
        <is>
          <t>4B2N</t>
        </is>
      </c>
      <c r="AF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13" t="inlineStr">
        <is>
          <t>BA2 &gt; Mobilization &gt; 2C3H Coast Guard Support</t>
        </is>
      </c>
      <c r="AD2223" s="7" t="inlineStr">
        <is>
          <t>22</t>
        </is>
      </c>
      <c r="AE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13" t="inlineStr">
        <is>
          <t>BA2 &gt; 2C3H &gt; Weapons Radar &amp; System Maintenance</t>
        </is>
      </c>
      <c r="AD2224" s="7" t="inlineStr">
        <is>
          <t>481</t>
        </is>
      </c>
      <c r="AE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13" t="inlineStr">
        <is>
          <t>BA2 &gt; 2C3H &gt; Avionics Gun &amp; Comm Support</t>
        </is>
      </c>
      <c r="AD2225" s="7" t="inlineStr">
        <is>
          <t>481</t>
        </is>
      </c>
      <c r="AE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13" t="inlineStr">
        <is>
          <t>BA1 &gt; 1C6C &gt; Amphibious Tactical Support Units</t>
        </is>
      </c>
      <c r="AD2226" s="7" t="inlineStr">
        <is>
          <t>280</t>
        </is>
      </c>
      <c r="AE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13" t="inlineStr">
        <is>
          <t>BA1 &gt; 1C6C &gt; Program Increases &gt; LCU SLE</t>
        </is>
      </c>
      <c r="AD2227" s="7" t="inlineStr">
        <is>
          <t>274</t>
        </is>
      </c>
      <c r="AE2227" s="7" t="inlineStr">
        <is>
          <t>1C6C</t>
        </is>
      </c>
      <c r="AF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13" t="inlineStr">
        <is>
          <t>BA1 &gt; 1C6C &gt; Diving and Salvage</t>
        </is>
      </c>
      <c r="AD2228" s="7" t="inlineStr">
        <is>
          <t>280</t>
        </is>
      </c>
      <c r="AE2228" s="7" t="inlineStr">
        <is>
          <t>1C6C</t>
        </is>
      </c>
    </row>
    <row r="2229" ht="10" customHeight="1">
      <c r="A2229" s="7" t="inlineStr">
        <is>
          <t>OMN</t>
        </is>
      </c>
      <c r="B2229" s="7" t="inlineStr">
        <is>
          <t>O&amp;M</t>
        </is>
      </c>
      <c r="D2229" s="7" t="inlineStr">
        <is>
          <t>Weapons Maintenance</t>
        </is>
      </c>
      <c r="E2229" s="13" t="inlineStr">
        <is>
          <t>[PARENT]</t>
        </is>
      </c>
      <c r="I2229" s="14" t="inlineStr">
        <is>
          <t>2|3</t>
        </is>
      </c>
      <c r="K2229" s="15" t="n"/>
      <c r="O2229" s="15" t="n"/>
      <c r="P2229" s="16" t="n">
        <v>1761930</v>
      </c>
      <c r="Q2229" s="16" t="n">
        <v>1572124</v>
      </c>
      <c r="S2229" s="16" t="n">
        <v>1754627</v>
      </c>
      <c r="U2229" s="16" t="n">
        <v>1754627</v>
      </c>
      <c r="W2229" s="16" t="n">
        <v>269407</v>
      </c>
      <c r="X2229" s="16" t="n">
        <v>1626768</v>
      </c>
      <c r="Y2229" s="16" t="n">
        <v>1896175</v>
      </c>
      <c r="AC2229" s="13" t="inlineStr">
        <is>
          <t>BA1 &gt; Weapons Support &gt; 1D4D Weapons Maintenance</t>
        </is>
      </c>
      <c r="AD2229" s="7" t="inlineStr">
        <is>
          <t>21</t>
        </is>
      </c>
      <c r="AE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13" t="inlineStr">
        <is>
          <t>BA1 &gt; 1D4D &gt; Tomahawk Systems</t>
        </is>
      </c>
      <c r="AD2230" s="7" t="inlineStr">
        <is>
          <t>366</t>
        </is>
      </c>
      <c r="AE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13" t="inlineStr">
        <is>
          <t>BA1 &gt; 1D4D &gt; CIWS</t>
        </is>
      </c>
      <c r="AD2231" s="7" t="inlineStr">
        <is>
          <t>367</t>
        </is>
      </c>
      <c r="AE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13" t="inlineStr">
        <is>
          <t>BA1 &gt; 1D4D &gt; Standard Missile &gt; Depot</t>
        </is>
      </c>
      <c r="AD2232" s="7" t="inlineStr">
        <is>
          <t>367</t>
        </is>
      </c>
      <c r="AE2232" s="7" t="inlineStr">
        <is>
          <t>1D4D</t>
        </is>
      </c>
      <c r="AF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13" t="inlineStr">
        <is>
          <t>BA1 &gt; 1D4D &gt; Standard Missile &gt; Non-Depot</t>
        </is>
      </c>
      <c r="AD2233" s="7" t="inlineStr">
        <is>
          <t>367</t>
        </is>
      </c>
      <c r="AE2233" s="7" t="inlineStr">
        <is>
          <t>1D4D</t>
        </is>
      </c>
      <c r="AF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13" t="inlineStr">
        <is>
          <t>BA1 &gt; 1D4D &gt; Standard Missile &gt; VLS</t>
        </is>
      </c>
      <c r="AD2234" s="7" t="inlineStr">
        <is>
          <t>367</t>
        </is>
      </c>
      <c r="AE2234" s="7" t="inlineStr">
        <is>
          <t>1D4D</t>
        </is>
      </c>
      <c r="AF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13" t="inlineStr">
        <is>
          <t>BA1 &gt; 1D4D &gt; Submarine Acquisition &gt; Torpedo Systems</t>
        </is>
      </c>
      <c r="AD2235" s="7" t="inlineStr">
        <is>
          <t>366</t>
        </is>
      </c>
      <c r="AE2235" s="7" t="inlineStr">
        <is>
          <t>1D4D</t>
        </is>
      </c>
      <c r="AF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13" t="inlineStr">
        <is>
          <t>BA1 &gt; 1D4D &gt; Integrated Warfare &gt; Surface USW</t>
        </is>
      </c>
      <c r="AD2236" s="7" t="inlineStr">
        <is>
          <t>367</t>
        </is>
      </c>
      <c r="AE2236" s="7" t="inlineStr">
        <is>
          <t>1D4D</t>
        </is>
      </c>
      <c r="AF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13" t="inlineStr">
        <is>
          <t>BA1 &gt; 1D4D &gt; Submarine Acoustics</t>
        </is>
      </c>
      <c r="AD2237" s="7" t="inlineStr">
        <is>
          <t>366</t>
        </is>
      </c>
      <c r="AE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13" t="inlineStr">
        <is>
          <t>BA1 &gt; 1D4D &gt; NATO Seasparrow</t>
        </is>
      </c>
      <c r="AD2238" s="7" t="inlineStr">
        <is>
          <t>367</t>
        </is>
      </c>
      <c r="AE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13" t="inlineStr">
        <is>
          <t>BA1 &gt; 1D4D &gt; RAM Maintenance</t>
        </is>
      </c>
      <c r="AD2239" s="7" t="inlineStr">
        <is>
          <t>367</t>
        </is>
      </c>
      <c r="AE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13" t="inlineStr">
        <is>
          <t>BA1 &gt; 1D4D &gt; Submarine Acquisition &gt; SSTD</t>
        </is>
      </c>
      <c r="AD2240" s="7" t="inlineStr">
        <is>
          <t>367</t>
        </is>
      </c>
      <c r="AE2240" s="7" t="inlineStr">
        <is>
          <t>1D4D</t>
        </is>
      </c>
      <c r="AF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13" t="inlineStr">
        <is>
          <t>BA1 &gt; 1D4D &gt; Littoral &amp; Mine Warfare &gt; SMCM</t>
        </is>
      </c>
      <c r="AD2241" s="7" t="inlineStr">
        <is>
          <t>368</t>
        </is>
      </c>
      <c r="AE2241" s="7" t="inlineStr">
        <is>
          <t>1D4D</t>
        </is>
      </c>
      <c r="AF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13" t="inlineStr">
        <is>
          <t>BA1 &gt; 1D4D &gt; Littoral &amp; Mine Warfare &gt; MCMUSV</t>
        </is>
      </c>
      <c r="AD2242" s="7" t="inlineStr">
        <is>
          <t>368</t>
        </is>
      </c>
      <c r="AE2242" s="7" t="inlineStr">
        <is>
          <t>1D4D</t>
        </is>
      </c>
      <c r="AF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13" t="inlineStr">
        <is>
          <t>BA1 &gt; 1D4D &gt; Littoral &amp; Mine Warfare &gt; LCS MM</t>
        </is>
      </c>
      <c r="AD2243" s="7" t="inlineStr">
        <is>
          <t>368</t>
        </is>
      </c>
      <c r="AE2243" s="7" t="inlineStr">
        <is>
          <t>1D4D</t>
        </is>
      </c>
      <c r="AF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13" t="inlineStr">
        <is>
          <t>BA1 &gt; 1D4D &gt; Littoral &amp; Mine Warfare &gt; XLUUV</t>
        </is>
      </c>
      <c r="AD2244" s="7" t="inlineStr">
        <is>
          <t>359</t>
        </is>
      </c>
      <c r="AE2244" s="7" t="inlineStr">
        <is>
          <t>1D4D</t>
        </is>
      </c>
      <c r="AF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 / VSUSV</t>
        </is>
      </c>
      <c r="O2245" s="15" t="n"/>
      <c r="P2245" s="16" t="n">
        <v>0</v>
      </c>
      <c r="Q2245" s="16" t="n">
        <v>0</v>
      </c>
      <c r="S2245" s="16" t="n">
        <v>17475</v>
      </c>
      <c r="U2245" s="16" t="n">
        <v>17475</v>
      </c>
      <c r="AC2245" s="13" t="inlineStr">
        <is>
          <t>BA1 &gt; 1D4D &gt; Littoral &amp; Mine Warfare &gt; sUSV</t>
        </is>
      </c>
      <c r="AD2245" s="7" t="inlineStr">
        <is>
          <t>368</t>
        </is>
      </c>
      <c r="AE2245" s="7" t="inlineStr">
        <is>
          <t>1D4D</t>
        </is>
      </c>
      <c r="AF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13" t="inlineStr">
        <is>
          <t>BA1 &gt; 1D4D &gt; Submarine Acquisition &gt; Sonar Towed Array</t>
        </is>
      </c>
      <c r="AD2246" s="7" t="inlineStr">
        <is>
          <t>367</t>
        </is>
      </c>
      <c r="AE2246" s="7" t="inlineStr">
        <is>
          <t>1D4D</t>
        </is>
      </c>
      <c r="AF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13" t="inlineStr">
        <is>
          <t>BA1 &gt; Base Support &gt; BSM1 Sustainment, Restoration and Modernization</t>
        </is>
      </c>
      <c r="AD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13" t="inlineStr">
        <is>
          <t>BA1 &gt; BSM1 &gt; Program Increases &gt; One-Time Costs &gt; PSNS Drydock 4</t>
        </is>
      </c>
      <c r="AD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13" t="inlineStr">
        <is>
          <t>BA1 &gt; BSM1 &gt; Restoration and Modernization &gt; SIOP</t>
        </is>
      </c>
      <c r="AD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13" t="inlineStr">
        <is>
          <t>BA1 &gt; Combat Operations &gt; 1C7C Equipment Maint &amp; Depot Ops Support</t>
        </is>
      </c>
      <c r="AD2250" s="7" t="inlineStr">
        <is>
          <t>20</t>
        </is>
      </c>
      <c r="AE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13" t="inlineStr">
        <is>
          <t>BA1 &gt; 1C7C &gt; AMCM</t>
        </is>
      </c>
      <c r="AD2251" s="7" t="inlineStr">
        <is>
          <t>294</t>
        </is>
      </c>
      <c r="AE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13" t="inlineStr">
        <is>
          <t>BA1 &gt; 1C7C &gt; Calibration &gt; SISCAL</t>
        </is>
      </c>
      <c r="AD2252" s="7" t="inlineStr">
        <is>
          <t>292</t>
        </is>
      </c>
      <c r="AE2252" s="7" t="inlineStr">
        <is>
          <t>1C7C</t>
        </is>
      </c>
      <c r="AF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13" t="inlineStr">
        <is>
          <t>OMN Vol2 &gt; OP-31 &gt; Spares and Repair Parts &gt; DLRs &gt; Ships</t>
        </is>
      </c>
      <c r="AD2253" s="7" t="inlineStr">
        <is>
          <t>59</t>
        </is>
      </c>
      <c r="AE2253" s="7" t="inlineStr">
        <is>
          <t>1B5B</t>
        </is>
      </c>
      <c r="AF2253" s="7" t="inlineStr">
        <is>
          <t>Spares and Repair Parts</t>
        </is>
      </c>
      <c r="AG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13" t="inlineStr">
        <is>
          <t>OMN Vol2 &gt; OP-31 &gt; Spares and Repair Parts &gt; Consumables &gt; Ships</t>
        </is>
      </c>
      <c r="AD2254" s="7" t="inlineStr">
        <is>
          <t>59</t>
        </is>
      </c>
      <c r="AE2254" s="7" t="inlineStr">
        <is>
          <t>1B5B</t>
        </is>
      </c>
      <c r="AF2254" s="7" t="inlineStr">
        <is>
          <t>Spares and Repair Parts</t>
        </is>
      </c>
      <c r="AG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13" t="inlineStr">
        <is>
          <t>OMN Vol2 &gt; OP-5A &gt; PHNSY&amp;IMF &gt; Source of Funding &gt; Department of Navy</t>
        </is>
      </c>
      <c r="AD2255" s="7" t="inlineStr">
        <is>
          <t>67</t>
        </is>
      </c>
      <c r="AE2255" s="7" t="inlineStr">
        <is>
          <t>1B4B</t>
        </is>
      </c>
      <c r="AF2255" s="7" t="inlineStr">
        <is>
          <t>PHNSY&amp;IMF</t>
        </is>
      </c>
      <c r="AG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13" t="inlineStr">
        <is>
          <t>OMN Vol2 &gt; OP-5A &gt; PHNSY&amp;IMF &gt; Source of Funding &gt; Direct</t>
        </is>
      </c>
      <c r="AD2256" s="7" t="inlineStr">
        <is>
          <t>67</t>
        </is>
      </c>
      <c r="AE2256" s="7" t="inlineStr">
        <is>
          <t>1B4B</t>
        </is>
      </c>
      <c r="AF2256" s="7" t="inlineStr">
        <is>
          <t>PHNSY&amp;IMF</t>
        </is>
      </c>
      <c r="AG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13" t="inlineStr">
        <is>
          <t>OMN Vol2 &gt; OP-5A &gt; PHNSY&amp;IMF &gt; Source of Funding &gt; Operation &amp; Maintenance, Navy (Fleet, Base)</t>
        </is>
      </c>
      <c r="AD2257" s="7" t="inlineStr">
        <is>
          <t>67</t>
        </is>
      </c>
      <c r="AE2257" s="7" t="inlineStr">
        <is>
          <t>1B4B</t>
        </is>
      </c>
      <c r="AF2257" s="7" t="inlineStr">
        <is>
          <t>PHNSY&amp;IMF</t>
        </is>
      </c>
      <c r="AG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13" t="inlineStr">
        <is>
          <t>OMN Vol2 &gt; OP-5A &gt; PHNSY&amp;IMF &gt; Source of Funding &gt; Operation &amp; Maintenance, Navy (Fleet, OCO)</t>
        </is>
      </c>
      <c r="AD2258" s="7" t="inlineStr">
        <is>
          <t>67</t>
        </is>
      </c>
      <c r="AE2258" s="7" t="inlineStr">
        <is>
          <t>1B4B</t>
        </is>
      </c>
      <c r="AF2258" s="7" t="inlineStr">
        <is>
          <t>PHNSY&amp;IMF</t>
        </is>
      </c>
      <c r="AG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13" t="inlineStr">
        <is>
          <t>OMN Vol2 &gt; OP-5A &gt; PHNSY&amp;IMF &gt; Source of Funding &gt; Military Personnel, Navy (Fleet, MPN)</t>
        </is>
      </c>
      <c r="AD2259" s="7" t="inlineStr">
        <is>
          <t>67</t>
        </is>
      </c>
      <c r="AE2259" s="7" t="inlineStr">
        <is>
          <t>1B4B</t>
        </is>
      </c>
      <c r="AF2259" s="7" t="inlineStr">
        <is>
          <t>PHNSY&amp;IMF</t>
        </is>
      </c>
      <c r="AG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13" t="inlineStr">
        <is>
          <t>OMN Vol2 &gt; OP-5A &gt; PHNSY&amp;IMF &gt; Source of Funding &gt; Reimbursable</t>
        </is>
      </c>
      <c r="AD2260" s="7" t="inlineStr">
        <is>
          <t>67</t>
        </is>
      </c>
      <c r="AE2260" s="7" t="inlineStr">
        <is>
          <t>1B4B</t>
        </is>
      </c>
      <c r="AF2260" s="7" t="inlineStr">
        <is>
          <t>PHNSY&amp;IMF</t>
        </is>
      </c>
      <c r="AG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13" t="inlineStr">
        <is>
          <t>OMN Vol2 &gt; OP-5A &gt; PHNSY&amp;IMF &gt; Source of Funding &gt; Operation &amp; Maintenance, Navy</t>
        </is>
      </c>
      <c r="AD2261" s="7" t="inlineStr">
        <is>
          <t>67</t>
        </is>
      </c>
      <c r="AE2261" s="7" t="inlineStr">
        <is>
          <t>1B4B</t>
        </is>
      </c>
      <c r="AF2261" s="7" t="inlineStr">
        <is>
          <t>PHNSY&amp;IMF</t>
        </is>
      </c>
      <c r="AG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13" t="inlineStr">
        <is>
          <t>OMN Vol2 &gt; OP-5A &gt; PHNSY&amp;IMF &gt; Source of Funding &gt; Shipbuilding &amp; Conversion, Navy</t>
        </is>
      </c>
      <c r="AD2262" s="7" t="inlineStr">
        <is>
          <t>67</t>
        </is>
      </c>
      <c r="AE2262" s="7" t="inlineStr">
        <is>
          <t>1B4B</t>
        </is>
      </c>
      <c r="AF2262" s="7" t="inlineStr">
        <is>
          <t>PHNSY&amp;IMF</t>
        </is>
      </c>
      <c r="AG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13" t="inlineStr">
        <is>
          <t>OMN Vol2 &gt; OP-5A &gt; PHNSY&amp;IMF &gt; Source of Funding &gt; Other Procurement, Navy</t>
        </is>
      </c>
      <c r="AD2263" s="7" t="inlineStr">
        <is>
          <t>67</t>
        </is>
      </c>
      <c r="AE2263" s="7" t="inlineStr">
        <is>
          <t>1B4B</t>
        </is>
      </c>
      <c r="AF2263" s="7" t="inlineStr">
        <is>
          <t>PHNSY&amp;IMF</t>
        </is>
      </c>
      <c r="AG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13" t="inlineStr">
        <is>
          <t>OMN Vol2 &gt; OP-5A &gt; PHNSY&amp;IMF &gt; Source of Funding &gt; Procurement, Marine Corps</t>
        </is>
      </c>
      <c r="AD2264" s="7" t="inlineStr">
        <is>
          <t>67</t>
        </is>
      </c>
      <c r="AE2264" s="7" t="inlineStr">
        <is>
          <t>1B4B</t>
        </is>
      </c>
      <c r="AF2264" s="7" t="inlineStr">
        <is>
          <t>PHNSY&amp;IMF</t>
        </is>
      </c>
      <c r="AG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13" t="inlineStr">
        <is>
          <t>OMN Vol2 &gt; OP-5A &gt; PHNSY&amp;IMF &gt; Source of Funding &gt; Other Department of Navy</t>
        </is>
      </c>
      <c r="AD2265" s="7" t="inlineStr">
        <is>
          <t>67</t>
        </is>
      </c>
      <c r="AE2265" s="7" t="inlineStr">
        <is>
          <t>1B4B</t>
        </is>
      </c>
      <c r="AF2265" s="7" t="inlineStr">
        <is>
          <t>PHNSY&amp;IMF</t>
        </is>
      </c>
      <c r="AG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13" t="inlineStr">
        <is>
          <t>OMN Vol2 &gt; OP-5A &gt; PHNSY&amp;IMF &gt; Source of Funding &gt; Department of Defense</t>
        </is>
      </c>
      <c r="AD2266" s="7" t="inlineStr">
        <is>
          <t>67</t>
        </is>
      </c>
      <c r="AE2266" s="7" t="inlineStr">
        <is>
          <t>1B4B</t>
        </is>
      </c>
      <c r="AF2266" s="7" t="inlineStr">
        <is>
          <t>PHNSY&amp;IMF</t>
        </is>
      </c>
      <c r="AG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13" t="inlineStr">
        <is>
          <t>OMN Vol2 &gt; OP-5A &gt; PHNSY&amp;IMF &gt; Source of Funding &gt; Other Orders</t>
        </is>
      </c>
      <c r="AD2267" s="7" t="inlineStr">
        <is>
          <t>67</t>
        </is>
      </c>
      <c r="AE2267" s="7" t="inlineStr">
        <is>
          <t>1B4B</t>
        </is>
      </c>
      <c r="AF2267" s="7" t="inlineStr">
        <is>
          <t>PHNSY&amp;IMF</t>
        </is>
      </c>
      <c r="AG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13" t="inlineStr">
        <is>
          <t>OMN Vol2 &gt; OP-5A &gt; PHNSY&amp;IMF &gt; Source of Funding &gt; Other Federal Agencies</t>
        </is>
      </c>
      <c r="AD2268" s="7" t="inlineStr">
        <is>
          <t>67</t>
        </is>
      </c>
      <c r="AE2268" s="7" t="inlineStr">
        <is>
          <t>1B4B</t>
        </is>
      </c>
      <c r="AF2268" s="7" t="inlineStr">
        <is>
          <t>PHNSY&amp;IMF</t>
        </is>
      </c>
      <c r="AG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13" t="inlineStr">
        <is>
          <t>OMN Vol2 &gt; OP-5A &gt; PHNSY&amp;IMF &gt; Source of Funding &gt; Foreign Military Sales</t>
        </is>
      </c>
      <c r="AD2269" s="7" t="inlineStr">
        <is>
          <t>67</t>
        </is>
      </c>
      <c r="AE2269" s="7" t="inlineStr">
        <is>
          <t>1B4B</t>
        </is>
      </c>
      <c r="AF2269" s="7" t="inlineStr">
        <is>
          <t>PHNSY&amp;IMF</t>
        </is>
      </c>
      <c r="AG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13" t="inlineStr">
        <is>
          <t>OMN Vol2 &gt; OP-5A &gt; PHNSY&amp;IMF &gt; Source of Funding &gt; Other</t>
        </is>
      </c>
      <c r="AD2270" s="7" t="inlineStr">
        <is>
          <t>67</t>
        </is>
      </c>
      <c r="AE2270" s="7" t="inlineStr">
        <is>
          <t>1B4B</t>
        </is>
      </c>
      <c r="AF2270" s="7" t="inlineStr">
        <is>
          <t>PHNSY&amp;IMF</t>
        </is>
      </c>
      <c r="AG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13" t="inlineStr">
        <is>
          <t>OMN Vol2 &gt; OP-5A &gt; PHNSY&amp;IMF &gt; Source of Funding &gt; Total</t>
        </is>
      </c>
      <c r="AD2271" s="7" t="inlineStr">
        <is>
          <t>67</t>
        </is>
      </c>
      <c r="AE2271" s="7" t="inlineStr">
        <is>
          <t>1B4B</t>
        </is>
      </c>
      <c r="AF2271" s="7" t="inlineStr">
        <is>
          <t>PHNSY&amp;IMF</t>
        </is>
      </c>
      <c r="AG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13" t="inlineStr">
        <is>
          <t>OMN Vol2 &gt; OP-5A &gt; PHNSY&amp;IMF &gt; Performance Data &gt; Direct Civilian Labor</t>
        </is>
      </c>
      <c r="AD2272" s="7" t="inlineStr">
        <is>
          <t>68</t>
        </is>
      </c>
      <c r="AE2272" s="7" t="inlineStr">
        <is>
          <t>1B4B</t>
        </is>
      </c>
      <c r="AF2272" s="7" t="inlineStr">
        <is>
          <t>PHNSY&amp;IMF</t>
        </is>
      </c>
      <c r="AG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13" t="inlineStr">
        <is>
          <t>OMN Vol2 &gt; OP-5A &gt; PHNSY&amp;IMF &gt; Performance Data &gt; Direct Military Labor</t>
        </is>
      </c>
      <c r="AD2273" s="7" t="inlineStr">
        <is>
          <t>68</t>
        </is>
      </c>
      <c r="AE2273" s="7" t="inlineStr">
        <is>
          <t>1B4B</t>
        </is>
      </c>
      <c r="AF2273" s="7" t="inlineStr">
        <is>
          <t>PHNSY&amp;IMF</t>
        </is>
      </c>
      <c r="AG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13" t="inlineStr">
        <is>
          <t>OMN Vol2 &gt; OP-5A &gt; PHNSY&amp;IMF &gt; Performance Data &gt; Direct Material</t>
        </is>
      </c>
      <c r="AD2274" s="7" t="inlineStr">
        <is>
          <t>68</t>
        </is>
      </c>
      <c r="AE2274" s="7" t="inlineStr">
        <is>
          <t>1B4B</t>
        </is>
      </c>
      <c r="AF2274" s="7" t="inlineStr">
        <is>
          <t>PHNSY&amp;IMF</t>
        </is>
      </c>
      <c r="AG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13" t="inlineStr">
        <is>
          <t>OMN Vol2 &gt; OP-5A &gt; PHNSY&amp;IMF &gt; Performance Data &gt; Direct Contracts</t>
        </is>
      </c>
      <c r="AD2275" s="7" t="inlineStr">
        <is>
          <t>68</t>
        </is>
      </c>
      <c r="AE2275" s="7" t="inlineStr">
        <is>
          <t>1B4B</t>
        </is>
      </c>
      <c r="AF2275" s="7" t="inlineStr">
        <is>
          <t>PHNSY&amp;IMF</t>
        </is>
      </c>
      <c r="AG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13" t="inlineStr">
        <is>
          <t>OMN Vol2 &gt; OP-5A &gt; PHNSY&amp;IMF &gt; Performance Data &gt; Other Direct Costs</t>
        </is>
      </c>
      <c r="AD2276" s="7" t="inlineStr">
        <is>
          <t>68</t>
        </is>
      </c>
      <c r="AE2276" s="7" t="inlineStr">
        <is>
          <t>1B4B</t>
        </is>
      </c>
      <c r="AF2276" s="7" t="inlineStr">
        <is>
          <t>PHNSY&amp;IMF</t>
        </is>
      </c>
      <c r="AG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13" t="inlineStr">
        <is>
          <t>OMN Vol2 &gt; OP-5A &gt; PHNSY&amp;IMF &gt; Performance Data &gt; Overhead Civilian Labor</t>
        </is>
      </c>
      <c r="AD2277" s="7" t="inlineStr">
        <is>
          <t>68</t>
        </is>
      </c>
      <c r="AE2277" s="7" t="inlineStr">
        <is>
          <t>1B4B</t>
        </is>
      </c>
      <c r="AF2277" s="7" t="inlineStr">
        <is>
          <t>PHNSY&amp;IMF</t>
        </is>
      </c>
      <c r="AG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13" t="inlineStr">
        <is>
          <t>OMN Vol2 &gt; OP-5A &gt; PHNSY&amp;IMF &gt; Performance Data &gt; Overhead Military Labor</t>
        </is>
      </c>
      <c r="AD2278" s="7" t="inlineStr">
        <is>
          <t>68</t>
        </is>
      </c>
      <c r="AE2278" s="7" t="inlineStr">
        <is>
          <t>1B4B</t>
        </is>
      </c>
      <c r="AF2278" s="7" t="inlineStr">
        <is>
          <t>PHNSY&amp;IMF</t>
        </is>
      </c>
      <c r="AG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13" t="inlineStr">
        <is>
          <t>OMN Vol2 &gt; OP-5A &gt; PHNSY&amp;IMF &gt; Performance Data &gt; Overhead Non-Labor</t>
        </is>
      </c>
      <c r="AD2279" s="7" t="inlineStr">
        <is>
          <t>68</t>
        </is>
      </c>
      <c r="AE2279" s="7" t="inlineStr">
        <is>
          <t>1B4B</t>
        </is>
      </c>
      <c r="AF2279" s="7" t="inlineStr">
        <is>
          <t>PHNSY&amp;IMF</t>
        </is>
      </c>
      <c r="AG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13" t="inlineStr">
        <is>
          <t>OMN Vol2 &gt; OP-5A &gt; PHNSY&amp;IMF &gt; Performance Data &gt; NMCI</t>
        </is>
      </c>
      <c r="AD2280" s="7" t="inlineStr">
        <is>
          <t>68</t>
        </is>
      </c>
      <c r="AE2280" s="7" t="inlineStr">
        <is>
          <t>1B4B</t>
        </is>
      </c>
      <c r="AF2280" s="7" t="inlineStr">
        <is>
          <t>PHNSY&amp;IMF</t>
        </is>
      </c>
      <c r="AG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13" t="inlineStr">
        <is>
          <t>OMN Vol2 &gt; OP-5A &gt; PHNSY&amp;IMF &gt; Performance Data &gt; Total</t>
        </is>
      </c>
      <c r="AD2281" s="7" t="inlineStr">
        <is>
          <t>68</t>
        </is>
      </c>
      <c r="AE2281" s="7" t="inlineStr">
        <is>
          <t>1B4B</t>
        </is>
      </c>
      <c r="AF2281" s="7" t="inlineStr">
        <is>
          <t>PHNSY&amp;IMF</t>
        </is>
      </c>
      <c r="AG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13" t="inlineStr">
        <is>
          <t>OMN Vol2 &gt; OP-5A &gt; PHNSY&amp;IMF &gt; Infrastructure &gt; Base Operating Support (OM,N)</t>
        </is>
      </c>
      <c r="AD2282" s="7" t="inlineStr">
        <is>
          <t>71</t>
        </is>
      </c>
      <c r="AE2282" s="7" t="inlineStr">
        <is>
          <t>1B4B</t>
        </is>
      </c>
      <c r="AF2282" s="7" t="inlineStr">
        <is>
          <t>PHNSY&amp;IMF</t>
        </is>
      </c>
      <c r="AG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13" t="inlineStr">
        <is>
          <t>OMN Vol2 &gt; OP-5A &gt; PHNSY&amp;IMF &gt; Infrastructure &gt; Capital Equipment (OP,N)</t>
        </is>
      </c>
      <c r="AD2283" s="7" t="inlineStr">
        <is>
          <t>71</t>
        </is>
      </c>
      <c r="AE2283" s="7" t="inlineStr">
        <is>
          <t>1B4B</t>
        </is>
      </c>
      <c r="AF2283" s="7" t="inlineStr">
        <is>
          <t>PHNSY&amp;IMF</t>
        </is>
      </c>
      <c r="AG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13" t="inlineStr">
        <is>
          <t>OMN Vol2 &gt; OP-5A &gt; PHNSY&amp;IMF &gt; Infrastructure &gt; Facilities Restoration &amp; Modernization (OM,N)</t>
        </is>
      </c>
      <c r="AD2284" s="7" t="inlineStr">
        <is>
          <t>71</t>
        </is>
      </c>
      <c r="AE2284" s="7" t="inlineStr">
        <is>
          <t>1B4B</t>
        </is>
      </c>
      <c r="AF2284" s="7" t="inlineStr">
        <is>
          <t>PHNSY&amp;IMF</t>
        </is>
      </c>
      <c r="AG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13" t="inlineStr">
        <is>
          <t>OMN Vol2 &gt; OP-5A &gt; PHNSY&amp;IMF &gt; Infrastructure &gt; Facilities Restoration &amp; Modernization (NWCF)</t>
        </is>
      </c>
      <c r="AD2285" s="7" t="inlineStr">
        <is>
          <t>71</t>
        </is>
      </c>
      <c r="AE2285" s="7" t="inlineStr">
        <is>
          <t>1B4B</t>
        </is>
      </c>
      <c r="AF2285" s="7" t="inlineStr">
        <is>
          <t>PHNSY&amp;IMF</t>
        </is>
      </c>
      <c r="AG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13" t="inlineStr">
        <is>
          <t>OMN Vol2 &gt; OP-5A &gt; PHNSY&amp;IMF &gt; Infrastructure &gt; Military Construction (MILCON)</t>
        </is>
      </c>
      <c r="AD2286" s="7" t="inlineStr">
        <is>
          <t>71</t>
        </is>
      </c>
      <c r="AE2286" s="7" t="inlineStr">
        <is>
          <t>1B4B</t>
        </is>
      </c>
      <c r="AF2286" s="7" t="inlineStr">
        <is>
          <t>PHNSY&amp;IMF</t>
        </is>
      </c>
      <c r="AG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13" t="inlineStr">
        <is>
          <t>OMN Vol2 &gt; OP-5A &gt; PHNSY&amp;IMF &gt; Infrastructure &gt; Total</t>
        </is>
      </c>
      <c r="AD2287" s="7" t="inlineStr">
        <is>
          <t>71</t>
        </is>
      </c>
      <c r="AE2287" s="7" t="inlineStr">
        <is>
          <t>1B4B</t>
        </is>
      </c>
      <c r="AF2287" s="7" t="inlineStr">
        <is>
          <t>PHNSY&amp;IMF</t>
        </is>
      </c>
      <c r="AG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13" t="inlineStr">
        <is>
          <t>OMN Vol2 &gt; OP-5A &gt; PHNSY&amp;IMF &gt; Capital Equipment &gt; Shaft Lathe</t>
        </is>
      </c>
      <c r="AD2288" s="7" t="inlineStr">
        <is>
          <t>71</t>
        </is>
      </c>
      <c r="AE2288" s="7" t="inlineStr">
        <is>
          <t>1B4B</t>
        </is>
      </c>
      <c r="AF2288" s="7" t="inlineStr">
        <is>
          <t>PHNSY&amp;IMF</t>
        </is>
      </c>
      <c r="AG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13" t="inlineStr">
        <is>
          <t>OMN Vol2 &gt; OP-5A &gt; PHNSY&amp;IMF &gt; Capital Equipment &gt; 1MW Turbine Generator (7th of 8)</t>
        </is>
      </c>
      <c r="AD2289" s="7" t="inlineStr">
        <is>
          <t>71</t>
        </is>
      </c>
      <c r="AE2289" s="7" t="inlineStr">
        <is>
          <t>1B4B</t>
        </is>
      </c>
      <c r="AF2289" s="7" t="inlineStr">
        <is>
          <t>PHNSY&amp;IMF</t>
        </is>
      </c>
      <c r="AG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13" t="inlineStr">
        <is>
          <t>OMN Vol2 &gt; OP-5A &gt; PHNSY&amp;IMF &gt; Capital Equipment &gt; Water Jet</t>
        </is>
      </c>
      <c r="AD2290" s="7" t="inlineStr">
        <is>
          <t>71</t>
        </is>
      </c>
      <c r="AE2290" s="7" t="inlineStr">
        <is>
          <t>1B4B</t>
        </is>
      </c>
      <c r="AF2290" s="7" t="inlineStr">
        <is>
          <t>PHNSY&amp;IMF</t>
        </is>
      </c>
      <c r="AG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13" t="inlineStr">
        <is>
          <t>OMN Vol2 &gt; OP-5A &gt; PHNSY&amp;IMF &gt; Capital Equipment &gt; Badge Reader System</t>
        </is>
      </c>
      <c r="AD2291" s="7" t="inlineStr">
        <is>
          <t>71</t>
        </is>
      </c>
      <c r="AE2291" s="7" t="inlineStr">
        <is>
          <t>1B4B</t>
        </is>
      </c>
      <c r="AF2291" s="7" t="inlineStr">
        <is>
          <t>PHNSY&amp;IMF</t>
        </is>
      </c>
      <c r="AG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13" t="inlineStr">
        <is>
          <t>OMN Vol2 &gt; OP-5A &gt; PHNSY&amp;IMF &gt; Capital Equipment &gt; C-Frame Press</t>
        </is>
      </c>
      <c r="AD2292" s="7" t="inlineStr">
        <is>
          <t>71</t>
        </is>
      </c>
      <c r="AE2292" s="7" t="inlineStr">
        <is>
          <t>1B4B</t>
        </is>
      </c>
      <c r="AF2292" s="7" t="inlineStr">
        <is>
          <t>PHNSY&amp;IMF</t>
        </is>
      </c>
      <c r="AG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13" t="inlineStr">
        <is>
          <t>OMN Vol2 &gt; OP-5A &gt; PHNSY&amp;IMF &gt; Capital Equipment &gt; Hydrostatic Test Tank</t>
        </is>
      </c>
      <c r="AD2293" s="7" t="inlineStr">
        <is>
          <t>71</t>
        </is>
      </c>
      <c r="AE2293" s="7" t="inlineStr">
        <is>
          <t>1B4B</t>
        </is>
      </c>
      <c r="AF2293" s="7" t="inlineStr">
        <is>
          <t>PHNSY&amp;IMF</t>
        </is>
      </c>
      <c r="AG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13" t="inlineStr">
        <is>
          <t>OMN Vol2 &gt; OP-5A &gt; PHNSY&amp;IMF &gt; Capital Equipment &gt; Temporary Electrical Power Distribution Enclosure</t>
        </is>
      </c>
      <c r="AD2294" s="7" t="inlineStr">
        <is>
          <t>71</t>
        </is>
      </c>
      <c r="AE2294" s="7" t="inlineStr">
        <is>
          <t>1B4B</t>
        </is>
      </c>
      <c r="AF2294" s="7" t="inlineStr">
        <is>
          <t>PHNSY&amp;IMF</t>
        </is>
      </c>
      <c r="AG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13" t="inlineStr">
        <is>
          <t>OMN Vol2 &gt; OP-5A &gt; PHNSY&amp;IMF &gt; MILCON &gt; DRY DOCK 3 REPLACEMENT, INCREMENT 2 of 5</t>
        </is>
      </c>
      <c r="AD2295" s="7" t="inlineStr">
        <is>
          <t>72</t>
        </is>
      </c>
      <c r="AE2295" s="7" t="inlineStr">
        <is>
          <t>1B4B</t>
        </is>
      </c>
      <c r="AF2295" s="7" t="inlineStr">
        <is>
          <t>PHNSY&amp;IMF</t>
        </is>
      </c>
      <c r="AG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13" t="inlineStr">
        <is>
          <t>OMN Vol2 &gt; OP-5A &gt; PHNSY&amp;IMF &gt; MILCON &gt; DRY DOCK 3 REPLACEMENT, INCREMENT 3 of 5</t>
        </is>
      </c>
      <c r="AD2296" s="7" t="inlineStr">
        <is>
          <t>72</t>
        </is>
      </c>
      <c r="AE2296" s="7" t="inlineStr">
        <is>
          <t>1B4B</t>
        </is>
      </c>
      <c r="AF2296" s="7" t="inlineStr">
        <is>
          <t>PHNSY&amp;IMF</t>
        </is>
      </c>
      <c r="AG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13" t="inlineStr">
        <is>
          <t>OMN Vol2 &gt; OP-5A &gt; PHNSY&amp;IMF &gt; MILCON &gt; DRY DOCK 3 REPLACEMENT, INCREMENT 4 of 5</t>
        </is>
      </c>
      <c r="AD2297" s="7" t="inlineStr">
        <is>
          <t>72</t>
        </is>
      </c>
      <c r="AE2297" s="7" t="inlineStr">
        <is>
          <t>1B4B</t>
        </is>
      </c>
      <c r="AF2297" s="7" t="inlineStr">
        <is>
          <t>PHNSY&amp;IMF</t>
        </is>
      </c>
      <c r="AG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13" t="inlineStr">
        <is>
          <t>OMN Vol2 &gt; OP-5A &gt; PHNSY&amp;IMF &gt; Ship Availability &gt; SSN 701 USS LA JOLLA* - PIRA</t>
        </is>
      </c>
      <c r="AD2298" s="7" t="inlineStr">
        <is>
          <t>73</t>
        </is>
      </c>
      <c r="AE2298" s="7" t="inlineStr">
        <is>
          <t>1B4B</t>
        </is>
      </c>
      <c r="AF2298" s="7" t="inlineStr">
        <is>
          <t>PHNSY&amp;IMF</t>
        </is>
      </c>
      <c r="AG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13" t="inlineStr">
        <is>
          <t>OMN Vol2 &gt; OP-5A &gt; PHNSY&amp;IMF &gt; Ship Availability &gt; SSN 698 USS BREMERTON* - DSRA</t>
        </is>
      </c>
      <c r="AD2299" s="7" t="inlineStr">
        <is>
          <t>73</t>
        </is>
      </c>
      <c r="AE2299" s="7" t="inlineStr">
        <is>
          <t>1B4B</t>
        </is>
      </c>
      <c r="AF2299" s="7" t="inlineStr">
        <is>
          <t>PHNSY&amp;IMF</t>
        </is>
      </c>
      <c r="AG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13" t="inlineStr">
        <is>
          <t>OMN Vol2 &gt; OP-5A &gt; PHNSY&amp;IMF &gt; Ship Availability &gt; SSN 722 USS KEY WEST* - EOH</t>
        </is>
      </c>
      <c r="AD2300" s="7" t="inlineStr">
        <is>
          <t>73</t>
        </is>
      </c>
      <c r="AE2300" s="7" t="inlineStr">
        <is>
          <t>1B4B</t>
        </is>
      </c>
      <c r="AF2300" s="7" t="inlineStr">
        <is>
          <t>PHNSY&amp;IMF</t>
        </is>
      </c>
      <c r="AG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13" t="inlineStr">
        <is>
          <t>OMN Vol2 &gt; OP-5A &gt; PHNSY&amp;IMF &gt; Ship Availability &gt; SSN 713 USS HOUSTON* - PIRA</t>
        </is>
      </c>
      <c r="AD2301" s="7" t="inlineStr">
        <is>
          <t>73</t>
        </is>
      </c>
      <c r="AE2301" s="7" t="inlineStr">
        <is>
          <t>1B4B</t>
        </is>
      </c>
      <c r="AF2301" s="7" t="inlineStr">
        <is>
          <t>PHNSY&amp;IMF</t>
        </is>
      </c>
      <c r="AG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13" t="inlineStr">
        <is>
          <t>OMN Vol2 &gt; OP-5A &gt; PHNSY&amp;IMF &gt; Ship Availability &gt; SSN 775 USS TEXAS* - EDSRA</t>
        </is>
      </c>
      <c r="AD2302" s="7" t="inlineStr">
        <is>
          <t>73</t>
        </is>
      </c>
      <c r="AE2302" s="7" t="inlineStr">
        <is>
          <t>1B4B</t>
        </is>
      </c>
      <c r="AF2302" s="7" t="inlineStr">
        <is>
          <t>PHNSY&amp;IMF</t>
        </is>
      </c>
      <c r="AG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13" t="inlineStr">
        <is>
          <t>OMN Vol2 &gt; OP-5A &gt; PHNSY&amp;IMF &gt; Ship Availability &gt; SSN 771 USS COLUMBIA* - DSRA</t>
        </is>
      </c>
      <c r="AD2303" s="7" t="inlineStr">
        <is>
          <t>73</t>
        </is>
      </c>
      <c r="AE2303" s="7" t="inlineStr">
        <is>
          <t>1B4B</t>
        </is>
      </c>
      <c r="AF2303" s="7" t="inlineStr">
        <is>
          <t>PHNSY&amp;IMF</t>
        </is>
      </c>
      <c r="AG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13" t="inlineStr">
        <is>
          <t>OMN Vol2 &gt; OP-5A &gt; PHNSY&amp;IMF &gt; Ship Availability &gt; SSN 715 USS BUFFALO* - PIRA</t>
        </is>
      </c>
      <c r="AD2304" s="7" t="inlineStr">
        <is>
          <t>73</t>
        </is>
      </c>
      <c r="AE2304" s="7" t="inlineStr">
        <is>
          <t>1B4B</t>
        </is>
      </c>
      <c r="AF2304" s="7" t="inlineStr">
        <is>
          <t>PHNSY&amp;IMF</t>
        </is>
      </c>
      <c r="AG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13" t="inlineStr">
        <is>
          <t>OMN Vol2 &gt; OP-5A &gt; PHNSY&amp;IMF &gt; Ship Availability &gt; SSN 773 USS CHEYENNE* - DSRA</t>
        </is>
      </c>
      <c r="AD2305" s="7" t="inlineStr">
        <is>
          <t>73</t>
        </is>
      </c>
      <c r="AE2305" s="7" t="inlineStr">
        <is>
          <t>1B4B</t>
        </is>
      </c>
      <c r="AF2305" s="7" t="inlineStr">
        <is>
          <t>PHNSY&amp;IMF</t>
        </is>
      </c>
      <c r="AG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13" t="inlineStr">
        <is>
          <t>OMN Vol2 &gt; OP-5A &gt; PHNSY&amp;IMF &gt; Ship Availability &gt; SSN 698 USS BREMERTON* - DSRA</t>
        </is>
      </c>
      <c r="AD2306" s="7" t="inlineStr">
        <is>
          <t>73</t>
        </is>
      </c>
      <c r="AE2306" s="7" t="inlineStr">
        <is>
          <t>1B4B</t>
        </is>
      </c>
      <c r="AF2306" s="7" t="inlineStr">
        <is>
          <t>PHNSY&amp;IMF</t>
        </is>
      </c>
      <c r="AG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13" t="inlineStr">
        <is>
          <t>OMN Vol2 &gt; OP-5A &gt; PHNSY&amp;IMF &gt; Ship Availability &gt; SSN 770 USS TUCSON* - DSRA</t>
        </is>
      </c>
      <c r="AD2307" s="7" t="inlineStr">
        <is>
          <t>73</t>
        </is>
      </c>
      <c r="AE2307" s="7" t="inlineStr">
        <is>
          <t>1B4B</t>
        </is>
      </c>
      <c r="AF2307" s="7" t="inlineStr">
        <is>
          <t>PHNSY&amp;IMF</t>
        </is>
      </c>
      <c r="AG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13" t="inlineStr">
        <is>
          <t>OMN Vol2 &gt; OP-5A &gt; PHNSY&amp;IMF &gt; Ship Availability &gt; SSN 717 USS OLYMPIA* - DSRA</t>
        </is>
      </c>
      <c r="AD2308" s="7" t="inlineStr">
        <is>
          <t>73</t>
        </is>
      </c>
      <c r="AE2308" s="7" t="inlineStr">
        <is>
          <t>1B4B</t>
        </is>
      </c>
      <c r="AF2308" s="7" t="inlineStr">
        <is>
          <t>PHNSY&amp;IMF</t>
        </is>
      </c>
      <c r="AG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13" t="inlineStr">
        <is>
          <t>OMN Vol2 &gt; OP-5A &gt; PHNSY&amp;IMF &gt; Ship Availability &gt; SSN 721 USS CHICAGO* - DSRA</t>
        </is>
      </c>
      <c r="AD2309" s="7" t="inlineStr">
        <is>
          <t>73</t>
        </is>
      </c>
      <c r="AE2309" s="7" t="inlineStr">
        <is>
          <t>1B4B</t>
        </is>
      </c>
      <c r="AF2309" s="7" t="inlineStr">
        <is>
          <t>PHNSY&amp;IMF</t>
        </is>
      </c>
      <c r="AG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13" t="inlineStr">
        <is>
          <t>OMN Vol2 &gt; OP-5A &gt; PHNSY&amp;IMF &gt; Ship Availability &gt; SSN 766 USS CHARLOTTE* - EOH</t>
        </is>
      </c>
      <c r="AD2310" s="7" t="inlineStr">
        <is>
          <t>73</t>
        </is>
      </c>
      <c r="AE2310" s="7" t="inlineStr">
        <is>
          <t>1B4B</t>
        </is>
      </c>
      <c r="AF2310" s="7" t="inlineStr">
        <is>
          <t>PHNSY&amp;IMF</t>
        </is>
      </c>
      <c r="AG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13" t="inlineStr">
        <is>
          <t>OMN Vol2 &gt; OP-5A &gt; PHNSY&amp;IMF &gt; Ship Availability &gt; SSN 776 USS HAWAII - DMP</t>
        </is>
      </c>
      <c r="AD2311" s="7" t="inlineStr">
        <is>
          <t>73</t>
        </is>
      </c>
      <c r="AE2311" s="7" t="inlineStr">
        <is>
          <t>1B4B</t>
        </is>
      </c>
      <c r="AF2311" s="7" t="inlineStr">
        <is>
          <t>PHNSY&amp;IMF</t>
        </is>
      </c>
      <c r="AG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13" t="inlineStr">
        <is>
          <t>OMN Vol2 &gt; OP-5A &gt; PHNSY&amp;IMF &gt; Ship Availability &gt; SSN 783 USS MINNESOTA - EDSRA</t>
        </is>
      </c>
      <c r="AD2312" s="7" t="inlineStr">
        <is>
          <t>73</t>
        </is>
      </c>
      <c r="AE2312" s="7" t="inlineStr">
        <is>
          <t>1B4B</t>
        </is>
      </c>
      <c r="AF2312" s="7" t="inlineStr">
        <is>
          <t>PHNSY&amp;IMF</t>
        </is>
      </c>
      <c r="AG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13" t="inlineStr">
        <is>
          <t>OMN Vol2 &gt; OP-5A &gt; PHNSY&amp;IMF &gt; Ship Availability &gt; SSN 786 USS ILLINOIS - EDSRA</t>
        </is>
      </c>
      <c r="AD2313" s="7" t="inlineStr">
        <is>
          <t>73</t>
        </is>
      </c>
      <c r="AE2313" s="7" t="inlineStr">
        <is>
          <t>1B4B</t>
        </is>
      </c>
      <c r="AF2313" s="7" t="inlineStr">
        <is>
          <t>PHNSY&amp;IMF</t>
        </is>
      </c>
      <c r="AG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13" t="inlineStr">
        <is>
          <t>OMN Vol2 &gt; OP-5A &gt; PHNSY&amp;IMF &gt; Ship Availability &gt; SSN 771 USS COLUMBIA - DCMAV</t>
        </is>
      </c>
      <c r="AD2314" s="7" t="inlineStr">
        <is>
          <t>73</t>
        </is>
      </c>
      <c r="AE2314" s="7" t="inlineStr">
        <is>
          <t>1B4B</t>
        </is>
      </c>
      <c r="AF2314" s="7" t="inlineStr">
        <is>
          <t>PHNSY&amp;IMF</t>
        </is>
      </c>
      <c r="AG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13" t="inlineStr">
        <is>
          <t>OMN Vol2 &gt; OP-5A &gt; PHNSY&amp;IMF &gt; Ship Availability &gt; SSN 777 USS NORTH CAROLINA - DMP</t>
        </is>
      </c>
      <c r="AD2315" s="7" t="inlineStr">
        <is>
          <t>73</t>
        </is>
      </c>
      <c r="AE2315" s="7" t="inlineStr">
        <is>
          <t>1B4B</t>
        </is>
      </c>
      <c r="AF2315" s="7" t="inlineStr">
        <is>
          <t>PHNSY&amp;IMF</t>
        </is>
      </c>
      <c r="AG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13" t="inlineStr">
        <is>
          <t>OMN Vol2 &gt; OP-5A &gt; PHNSY&amp;IMF &gt; Ship Availability &gt; SSN 788 USS COLORADO - EDSRA</t>
        </is>
      </c>
      <c r="AD2316" s="7" t="inlineStr">
        <is>
          <t>73</t>
        </is>
      </c>
      <c r="AE2316" s="7" t="inlineStr">
        <is>
          <t>1B4B</t>
        </is>
      </c>
      <c r="AF2316" s="7" t="inlineStr">
        <is>
          <t>PHNSY&amp;IMF</t>
        </is>
      </c>
      <c r="AG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13" t="inlineStr">
        <is>
          <t>OMN Vol2 &gt; OP-5A &gt; PHNSY&amp;IMF &gt; Ship Availability &gt; DDG 70 USS HOPPER - SRA</t>
        </is>
      </c>
      <c r="AD2317" s="7" t="inlineStr">
        <is>
          <t>73</t>
        </is>
      </c>
      <c r="AE2317" s="7" t="inlineStr">
        <is>
          <t>1B4B</t>
        </is>
      </c>
      <c r="AF2317" s="7" t="inlineStr">
        <is>
          <t>PHNSY&amp;IMF</t>
        </is>
      </c>
      <c r="AG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13" t="inlineStr">
        <is>
          <t>OMN Vol2 &gt; OP-5A &gt; PHNSY&amp;IMF &gt; Ship Availability &gt; SSN 789 USS INDIANA - EDSRA</t>
        </is>
      </c>
      <c r="AD2318" s="7" t="inlineStr">
        <is>
          <t>73</t>
        </is>
      </c>
      <c r="AE2318" s="7" t="inlineStr">
        <is>
          <t>1B4B</t>
        </is>
      </c>
      <c r="AF2318" s="7" t="inlineStr">
        <is>
          <t>PHNSY&amp;IMF</t>
        </is>
      </c>
      <c r="AG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13" t="inlineStr">
        <is>
          <t>OMN Vol2 &gt; OP-5A &gt; PHNSY&amp;IMF &gt; Ship Availability &gt; SSN 776 USS HAWAII - CMAV</t>
        </is>
      </c>
      <c r="AD2319" s="7" t="inlineStr">
        <is>
          <t>73</t>
        </is>
      </c>
      <c r="AE2319" s="7" t="inlineStr">
        <is>
          <t>1B4B</t>
        </is>
      </c>
      <c r="AF2319" s="7" t="inlineStr">
        <is>
          <t>PHNSY&amp;IMF</t>
        </is>
      </c>
      <c r="AG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13" t="inlineStr">
        <is>
          <t>OMN Vol2 &gt; OP-5A &gt; PHNSY&amp;IMF &gt; Ship Availability &gt; SSN 780 USS MISSOURI - DMP</t>
        </is>
      </c>
      <c r="AD2320" s="7" t="inlineStr">
        <is>
          <t>73</t>
        </is>
      </c>
      <c r="AE2320" s="7" t="inlineStr">
        <is>
          <t>1B4B</t>
        </is>
      </c>
      <c r="AF2320" s="7" t="inlineStr">
        <is>
          <t>PHNSY&amp;IMF</t>
        </is>
      </c>
      <c r="AG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13" t="inlineStr">
        <is>
          <t>OMN Vol2 &gt; OP-5A &gt; PHNSY&amp;IMF &gt; Ship Availability &gt; SSN 761 USS SPRINGFIELD - DSRA</t>
        </is>
      </c>
      <c r="AD2321" s="7" t="inlineStr">
        <is>
          <t>73</t>
        </is>
      </c>
      <c r="AE2321" s="7" t="inlineStr">
        <is>
          <t>1B4B</t>
        </is>
      </c>
      <c r="AF2321" s="7" t="inlineStr">
        <is>
          <t>PHNSY&amp;IMF</t>
        </is>
      </c>
      <c r="AG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13" t="inlineStr">
        <is>
          <t>OMN Vol2 &gt; OP-5A &gt; PSNS&amp;IMF &gt; Source of Funding &gt; Department of Navy</t>
        </is>
      </c>
      <c r="AD2322" s="7" t="inlineStr">
        <is>
          <t>74</t>
        </is>
      </c>
      <c r="AE2322" s="7" t="inlineStr">
        <is>
          <t>1B4B</t>
        </is>
      </c>
      <c r="AF2322" s="7" t="inlineStr">
        <is>
          <t>PSNS&amp;IMF</t>
        </is>
      </c>
      <c r="AG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13" t="inlineStr">
        <is>
          <t>OMN Vol2 &gt; OP-5A &gt; PSNS&amp;IMF &gt; Source of Funding &gt; Direct</t>
        </is>
      </c>
      <c r="AD2323" s="7" t="inlineStr">
        <is>
          <t>74</t>
        </is>
      </c>
      <c r="AE2323" s="7" t="inlineStr">
        <is>
          <t>1B4B</t>
        </is>
      </c>
      <c r="AF2323" s="7" t="inlineStr">
        <is>
          <t>PSNS&amp;IMF</t>
        </is>
      </c>
      <c r="AG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13" t="inlineStr">
        <is>
          <t>OMN Vol2 &gt; OP-5A &gt; PSNS&amp;IMF &gt; Source of Funding &gt; Operation &amp; Maintenance, Navy (Fleet, Base)</t>
        </is>
      </c>
      <c r="AD2324" s="7" t="inlineStr">
        <is>
          <t>74</t>
        </is>
      </c>
      <c r="AE2324" s="7" t="inlineStr">
        <is>
          <t>1B4B</t>
        </is>
      </c>
      <c r="AF2324" s="7" t="inlineStr">
        <is>
          <t>PSNS&amp;IMF</t>
        </is>
      </c>
      <c r="AG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13" t="inlineStr">
        <is>
          <t>OMN Vol2 &gt; OP-5A &gt; PSNS&amp;IMF &gt; Source of Funding &gt; Operation &amp; Maintenance, Navy (Fleet, OCO)</t>
        </is>
      </c>
      <c r="AD2325" s="7" t="inlineStr">
        <is>
          <t>74</t>
        </is>
      </c>
      <c r="AE2325" s="7" t="inlineStr">
        <is>
          <t>1B4B</t>
        </is>
      </c>
      <c r="AF2325" s="7" t="inlineStr">
        <is>
          <t>PSNS&amp;IMF</t>
        </is>
      </c>
      <c r="AG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13" t="inlineStr">
        <is>
          <t>OMN Vol2 &gt; OP-5A &gt; PSNS&amp;IMF &gt; Source of Funding &gt; Military Personnel, Navy (Fleet, MPN)</t>
        </is>
      </c>
      <c r="AD2326" s="7" t="inlineStr">
        <is>
          <t>74</t>
        </is>
      </c>
      <c r="AE2326" s="7" t="inlineStr">
        <is>
          <t>1B4B</t>
        </is>
      </c>
      <c r="AF2326" s="7" t="inlineStr">
        <is>
          <t>PSNS&amp;IMF</t>
        </is>
      </c>
      <c r="AG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13" t="inlineStr">
        <is>
          <t>OMN Vol2 &gt; OP-5A &gt; PSNS&amp;IMF &gt; Source of Funding &gt; Reimbursable</t>
        </is>
      </c>
      <c r="AD2327" s="7" t="inlineStr">
        <is>
          <t>74</t>
        </is>
      </c>
      <c r="AE2327" s="7" t="inlineStr">
        <is>
          <t>1B4B</t>
        </is>
      </c>
      <c r="AF2327" s="7" t="inlineStr">
        <is>
          <t>PSNS&amp;IMF</t>
        </is>
      </c>
      <c r="AG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13" t="inlineStr">
        <is>
          <t>OMN Vol2 &gt; OP-5A &gt; PSNS&amp;IMF &gt; Source of Funding &gt; Operation &amp; Maintenance, Navy</t>
        </is>
      </c>
      <c r="AD2328" s="7" t="inlineStr">
        <is>
          <t>74</t>
        </is>
      </c>
      <c r="AE2328" s="7" t="inlineStr">
        <is>
          <t>1B4B</t>
        </is>
      </c>
      <c r="AF2328" s="7" t="inlineStr">
        <is>
          <t>PSNS&amp;IMF</t>
        </is>
      </c>
      <c r="AG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13" t="inlineStr">
        <is>
          <t>OMN Vol2 &gt; OP-5A &gt; PSNS&amp;IMF &gt; Source of Funding &gt; Shipbuilding &amp; Conversion, Navy</t>
        </is>
      </c>
      <c r="AD2329" s="7" t="inlineStr">
        <is>
          <t>74</t>
        </is>
      </c>
      <c r="AE2329" s="7" t="inlineStr">
        <is>
          <t>1B4B</t>
        </is>
      </c>
      <c r="AF2329" s="7" t="inlineStr">
        <is>
          <t>PSNS&amp;IMF</t>
        </is>
      </c>
      <c r="AG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13" t="inlineStr">
        <is>
          <t>OMN Vol2 &gt; OP-5A &gt; PSNS&amp;IMF &gt; Source of Funding &gt; Other Procurement, Navy</t>
        </is>
      </c>
      <c r="AD2330" s="7" t="inlineStr">
        <is>
          <t>74</t>
        </is>
      </c>
      <c r="AE2330" s="7" t="inlineStr">
        <is>
          <t>1B4B</t>
        </is>
      </c>
      <c r="AF2330" s="7" t="inlineStr">
        <is>
          <t>PSNS&amp;IMF</t>
        </is>
      </c>
      <c r="AG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13" t="inlineStr">
        <is>
          <t>OMN Vol2 &gt; OP-5A &gt; PSNS&amp;IMF &gt; Source of Funding &gt; Procurement, Marine Corps</t>
        </is>
      </c>
      <c r="AD2331" s="7" t="inlineStr">
        <is>
          <t>74</t>
        </is>
      </c>
      <c r="AE2331" s="7" t="inlineStr">
        <is>
          <t>1B4B</t>
        </is>
      </c>
      <c r="AF2331" s="7" t="inlineStr">
        <is>
          <t>PSNS&amp;IMF</t>
        </is>
      </c>
      <c r="AG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13" t="inlineStr">
        <is>
          <t>OMN Vol2 &gt; OP-5A &gt; PSNS&amp;IMF &gt; Source of Funding &gt; Other Department of Navy</t>
        </is>
      </c>
      <c r="AD2332" s="7" t="inlineStr">
        <is>
          <t>74</t>
        </is>
      </c>
      <c r="AE2332" s="7" t="inlineStr">
        <is>
          <t>1B4B</t>
        </is>
      </c>
      <c r="AF2332" s="7" t="inlineStr">
        <is>
          <t>PSNS&amp;IMF</t>
        </is>
      </c>
      <c r="AG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13" t="inlineStr">
        <is>
          <t>OMN Vol2 &gt; OP-5A &gt; PSNS&amp;IMF &gt; Source of Funding &gt; Department of Defense</t>
        </is>
      </c>
      <c r="AD2333" s="7" t="inlineStr">
        <is>
          <t>74</t>
        </is>
      </c>
      <c r="AE2333" s="7" t="inlineStr">
        <is>
          <t>1B4B</t>
        </is>
      </c>
      <c r="AF2333" s="7" t="inlineStr">
        <is>
          <t>PSNS&amp;IMF</t>
        </is>
      </c>
      <c r="AG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13" t="inlineStr">
        <is>
          <t>OMN Vol2 &gt; OP-5A &gt; PSNS&amp;IMF &gt; Source of Funding &gt; Other Orders</t>
        </is>
      </c>
      <c r="AD2334" s="7" t="inlineStr">
        <is>
          <t>74</t>
        </is>
      </c>
      <c r="AE2334" s="7" t="inlineStr">
        <is>
          <t>1B4B</t>
        </is>
      </c>
      <c r="AF2334" s="7" t="inlineStr">
        <is>
          <t>PSNS&amp;IMF</t>
        </is>
      </c>
      <c r="AG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13" t="inlineStr">
        <is>
          <t>OMN Vol2 &gt; OP-5A &gt; PSNS&amp;IMF &gt; Source of Funding &gt; Other Federal Agencies</t>
        </is>
      </c>
      <c r="AD2335" s="7" t="inlineStr">
        <is>
          <t>74</t>
        </is>
      </c>
      <c r="AE2335" s="7" t="inlineStr">
        <is>
          <t>1B4B</t>
        </is>
      </c>
      <c r="AF2335" s="7" t="inlineStr">
        <is>
          <t>PSNS&amp;IMF</t>
        </is>
      </c>
      <c r="AG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13" t="inlineStr">
        <is>
          <t>OMN Vol2 &gt; OP-5A &gt; PSNS&amp;IMF &gt; Source of Funding &gt; Foreign Military Sales</t>
        </is>
      </c>
      <c r="AD2336" s="7" t="inlineStr">
        <is>
          <t>74</t>
        </is>
      </c>
      <c r="AE2336" s="7" t="inlineStr">
        <is>
          <t>1B4B</t>
        </is>
      </c>
      <c r="AF2336" s="7" t="inlineStr">
        <is>
          <t>PSNS&amp;IMF</t>
        </is>
      </c>
      <c r="AG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13" t="inlineStr">
        <is>
          <t>OMN Vol2 &gt; OP-5A &gt; PSNS&amp;IMF &gt; Source of Funding &gt; Other</t>
        </is>
      </c>
      <c r="AD2337" s="7" t="inlineStr">
        <is>
          <t>74</t>
        </is>
      </c>
      <c r="AE2337" s="7" t="inlineStr">
        <is>
          <t>1B4B</t>
        </is>
      </c>
      <c r="AF2337" s="7" t="inlineStr">
        <is>
          <t>PSNS&amp;IMF</t>
        </is>
      </c>
      <c r="AG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13" t="inlineStr">
        <is>
          <t>OMN Vol2 &gt; OP-5A &gt; PSNS&amp;IMF &gt; Source of Funding &gt; Total</t>
        </is>
      </c>
      <c r="AD2338" s="7" t="inlineStr">
        <is>
          <t>74</t>
        </is>
      </c>
      <c r="AE2338" s="7" t="inlineStr">
        <is>
          <t>1B4B</t>
        </is>
      </c>
      <c r="AF2338" s="7" t="inlineStr">
        <is>
          <t>PSNS&amp;IMF</t>
        </is>
      </c>
      <c r="AG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13" t="inlineStr">
        <is>
          <t>OMN Vol2 &gt; OP-5A &gt; PSNS&amp;IMF &gt; Performance Data &gt; Direct Civilian Labor</t>
        </is>
      </c>
      <c r="AD2339" s="7" t="inlineStr">
        <is>
          <t>75</t>
        </is>
      </c>
      <c r="AE2339" s="7" t="inlineStr">
        <is>
          <t>1B4B</t>
        </is>
      </c>
      <c r="AF2339" s="7" t="inlineStr">
        <is>
          <t>PSNS&amp;IMF</t>
        </is>
      </c>
      <c r="AG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13" t="inlineStr">
        <is>
          <t>OMN Vol2 &gt; OP-5A &gt; PSNS&amp;IMF &gt; Performance Data &gt; Direct Military Labor</t>
        </is>
      </c>
      <c r="AD2340" s="7" t="inlineStr">
        <is>
          <t>75</t>
        </is>
      </c>
      <c r="AE2340" s="7" t="inlineStr">
        <is>
          <t>1B4B</t>
        </is>
      </c>
      <c r="AF2340" s="7" t="inlineStr">
        <is>
          <t>PSNS&amp;IMF</t>
        </is>
      </c>
      <c r="AG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13" t="inlineStr">
        <is>
          <t>OMN Vol2 &gt; OP-5A &gt; PSNS&amp;IMF &gt; Performance Data &gt; Direct Material</t>
        </is>
      </c>
      <c r="AD2341" s="7" t="inlineStr">
        <is>
          <t>75</t>
        </is>
      </c>
      <c r="AE2341" s="7" t="inlineStr">
        <is>
          <t>1B4B</t>
        </is>
      </c>
      <c r="AF2341" s="7" t="inlineStr">
        <is>
          <t>PSNS&amp;IMF</t>
        </is>
      </c>
      <c r="AG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13" t="inlineStr">
        <is>
          <t>OMN Vol2 &gt; OP-5A &gt; PSNS&amp;IMF &gt; Performance Data &gt; Direct Contracts</t>
        </is>
      </c>
      <c r="AD2342" s="7" t="inlineStr">
        <is>
          <t>75</t>
        </is>
      </c>
      <c r="AE2342" s="7" t="inlineStr">
        <is>
          <t>1B4B</t>
        </is>
      </c>
      <c r="AF2342" s="7" t="inlineStr">
        <is>
          <t>PSNS&amp;IMF</t>
        </is>
      </c>
      <c r="AG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13" t="inlineStr">
        <is>
          <t>OMN Vol2 &gt; OP-5A &gt; PSNS&amp;IMF &gt; Performance Data &gt; Other Direct Costs</t>
        </is>
      </c>
      <c r="AD2343" s="7" t="inlineStr">
        <is>
          <t>75</t>
        </is>
      </c>
      <c r="AE2343" s="7" t="inlineStr">
        <is>
          <t>1B4B</t>
        </is>
      </c>
      <c r="AF2343" s="7" t="inlineStr">
        <is>
          <t>PSNS&amp;IMF</t>
        </is>
      </c>
      <c r="AG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13" t="inlineStr">
        <is>
          <t>OMN Vol2 &gt; OP-5A &gt; PSNS&amp;IMF &gt; Performance Data &gt; Overhead Civilian Labor</t>
        </is>
      </c>
      <c r="AD2344" s="7" t="inlineStr">
        <is>
          <t>75</t>
        </is>
      </c>
      <c r="AE2344" s="7" t="inlineStr">
        <is>
          <t>1B4B</t>
        </is>
      </c>
      <c r="AF2344" s="7" t="inlineStr">
        <is>
          <t>PSNS&amp;IMF</t>
        </is>
      </c>
      <c r="AG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13" t="inlineStr">
        <is>
          <t>OMN Vol2 &gt; OP-5A &gt; PSNS&amp;IMF &gt; Performance Data &gt; Overhead Military Labor</t>
        </is>
      </c>
      <c r="AD2345" s="7" t="inlineStr">
        <is>
          <t>75</t>
        </is>
      </c>
      <c r="AE2345" s="7" t="inlineStr">
        <is>
          <t>1B4B</t>
        </is>
      </c>
      <c r="AF2345" s="7" t="inlineStr">
        <is>
          <t>PSNS&amp;IMF</t>
        </is>
      </c>
      <c r="AG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13" t="inlineStr">
        <is>
          <t>OMN Vol2 &gt; OP-5A &gt; PSNS&amp;IMF &gt; Performance Data &gt; Overhead Non-Labor</t>
        </is>
      </c>
      <c r="AD2346" s="7" t="inlineStr">
        <is>
          <t>75</t>
        </is>
      </c>
      <c r="AE2346" s="7" t="inlineStr">
        <is>
          <t>1B4B</t>
        </is>
      </c>
      <c r="AF2346" s="7" t="inlineStr">
        <is>
          <t>PSNS&amp;IMF</t>
        </is>
      </c>
      <c r="AG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13" t="inlineStr">
        <is>
          <t>OMN Vol2 &gt; OP-5A &gt; PSNS&amp;IMF &gt; Performance Data &gt; NMCI</t>
        </is>
      </c>
      <c r="AD2347" s="7" t="inlineStr">
        <is>
          <t>75</t>
        </is>
      </c>
      <c r="AE2347" s="7" t="inlineStr">
        <is>
          <t>1B4B</t>
        </is>
      </c>
      <c r="AF2347" s="7" t="inlineStr">
        <is>
          <t>PSNS&amp;IMF</t>
        </is>
      </c>
      <c r="AG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13" t="inlineStr">
        <is>
          <t>OMN Vol2 &gt; OP-5A &gt; PSNS&amp;IMF &gt; Performance Data &gt; Total</t>
        </is>
      </c>
      <c r="AD2348" s="7" t="inlineStr">
        <is>
          <t>75</t>
        </is>
      </c>
      <c r="AE2348" s="7" t="inlineStr">
        <is>
          <t>1B4B</t>
        </is>
      </c>
      <c r="AF2348" s="7" t="inlineStr">
        <is>
          <t>PSNS&amp;IMF</t>
        </is>
      </c>
      <c r="AG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13" t="inlineStr">
        <is>
          <t>OMN Vol2 &gt; OP-5A &gt; PSNS&amp;IMF &gt; Infrastructure &gt; Base Operating Support (OM,N)</t>
        </is>
      </c>
      <c r="AD2349" s="7" t="inlineStr">
        <is>
          <t>78</t>
        </is>
      </c>
      <c r="AE2349" s="7" t="inlineStr">
        <is>
          <t>1B4B</t>
        </is>
      </c>
      <c r="AF2349" s="7" t="inlineStr">
        <is>
          <t>PSNS&amp;IMF</t>
        </is>
      </c>
      <c r="AG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13" t="inlineStr">
        <is>
          <t>OMN Vol2 &gt; OP-5A &gt; PSNS&amp;IMF &gt; Infrastructure &gt; Capital Equipment (OP,N)</t>
        </is>
      </c>
      <c r="AD2350" s="7" t="inlineStr">
        <is>
          <t>78</t>
        </is>
      </c>
      <c r="AE2350" s="7" t="inlineStr">
        <is>
          <t>1B4B</t>
        </is>
      </c>
      <c r="AF2350" s="7" t="inlineStr">
        <is>
          <t>PSNS&amp;IMF</t>
        </is>
      </c>
      <c r="AG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13" t="inlineStr">
        <is>
          <t>OMN Vol2 &gt; OP-5A &gt; PSNS&amp;IMF &gt; Infrastructure &gt; Facilities Restoration &amp; Modernization (OM,N)</t>
        </is>
      </c>
      <c r="AD2351" s="7" t="inlineStr">
        <is>
          <t>78</t>
        </is>
      </c>
      <c r="AE2351" s="7" t="inlineStr">
        <is>
          <t>1B4B</t>
        </is>
      </c>
      <c r="AF2351" s="7" t="inlineStr">
        <is>
          <t>PSNS&amp;IMF</t>
        </is>
      </c>
      <c r="AG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13" t="inlineStr">
        <is>
          <t>OMN Vol2 &gt; OP-5A &gt; PSNS&amp;IMF &gt; Infrastructure &gt; Facilities Restoration &amp; Modernization (NWCF)</t>
        </is>
      </c>
      <c r="AD2352" s="7" t="inlineStr">
        <is>
          <t>78</t>
        </is>
      </c>
      <c r="AE2352" s="7" t="inlineStr">
        <is>
          <t>1B4B</t>
        </is>
      </c>
      <c r="AF2352" s="7" t="inlineStr">
        <is>
          <t>PSNS&amp;IMF</t>
        </is>
      </c>
      <c r="AG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13" t="inlineStr">
        <is>
          <t>OMN Vol2 &gt; OP-5A &gt; PSNS&amp;IMF &gt; Infrastructure &gt; Military Construction (MILCON)</t>
        </is>
      </c>
      <c r="AD2353" s="7" t="inlineStr">
        <is>
          <t>78</t>
        </is>
      </c>
      <c r="AE2353" s="7" t="inlineStr">
        <is>
          <t>1B4B</t>
        </is>
      </c>
      <c r="AF2353" s="7" t="inlineStr">
        <is>
          <t>PSNS&amp;IMF</t>
        </is>
      </c>
      <c r="AG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13" t="inlineStr">
        <is>
          <t>OMN Vol2 &gt; OP-5A &gt; PSNS&amp;IMF &gt; Infrastructure &gt; Total</t>
        </is>
      </c>
      <c r="AD2354" s="7" t="inlineStr">
        <is>
          <t>78</t>
        </is>
      </c>
      <c r="AE2354" s="7" t="inlineStr">
        <is>
          <t>1B4B</t>
        </is>
      </c>
      <c r="AF2354" s="7" t="inlineStr">
        <is>
          <t>PSNS&amp;IMF</t>
        </is>
      </c>
      <c r="AG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13" t="inlineStr">
        <is>
          <t>OMN Vol2 &gt; OP-5A &gt; PSNS&amp;IMF &gt; Capital Equipment &gt; Seismic Cradles Fabrication</t>
        </is>
      </c>
      <c r="AD2355" s="7" t="inlineStr">
        <is>
          <t>78</t>
        </is>
      </c>
      <c r="AE2355" s="7" t="inlineStr">
        <is>
          <t>1B4B</t>
        </is>
      </c>
      <c r="AF2355" s="7" t="inlineStr">
        <is>
          <t>PSNS&amp;IMF</t>
        </is>
      </c>
      <c r="AG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13" t="inlineStr">
        <is>
          <t>OMN Vol2 &gt; OP-5A &gt; PSNS&amp;IMF &gt; Capital Equipment &gt; Oily Waste Water Treatment System</t>
        </is>
      </c>
      <c r="AD2356" s="7" t="inlineStr">
        <is>
          <t>78</t>
        </is>
      </c>
      <c r="AE2356" s="7" t="inlineStr">
        <is>
          <t>1B4B</t>
        </is>
      </c>
      <c r="AF2356" s="7" t="inlineStr">
        <is>
          <t>PSNS&amp;IMF</t>
        </is>
      </c>
      <c r="AG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13" t="inlineStr">
        <is>
          <t>OMN Vol2 &gt; OP-5A &gt; PSNS&amp;IMF &gt; Capital Equipment &gt; 25 Ton Portal Crane Litigation Expense - Paid</t>
        </is>
      </c>
      <c r="AD2357" s="7" t="inlineStr">
        <is>
          <t>78</t>
        </is>
      </c>
      <c r="AE2357" s="7" t="inlineStr">
        <is>
          <t>1B4B</t>
        </is>
      </c>
      <c r="AF2357" s="7" t="inlineStr">
        <is>
          <t>PSNS&amp;IMF</t>
        </is>
      </c>
      <c r="AG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13" t="inlineStr">
        <is>
          <t>OMN Vol2 &gt; OP-5A &gt; PSNS&amp;IMF &gt; Capital Equipment &gt; 25 Ton Portal Crane Remaining Interest Claim</t>
        </is>
      </c>
      <c r="AD2358" s="7" t="inlineStr">
        <is>
          <t>78</t>
        </is>
      </c>
      <c r="AE2358" s="7" t="inlineStr">
        <is>
          <t>1B4B</t>
        </is>
      </c>
      <c r="AF2358" s="7" t="inlineStr">
        <is>
          <t>PSNS&amp;IMF</t>
        </is>
      </c>
      <c r="AG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13" t="inlineStr">
        <is>
          <t>OMN Vol2 &gt; OP-5A &gt; PSNS&amp;IMF &gt; Capital Equipment &gt; Badge Reader System</t>
        </is>
      </c>
      <c r="AD2359" s="7" t="inlineStr">
        <is>
          <t>78</t>
        </is>
      </c>
      <c r="AE2359" s="7" t="inlineStr">
        <is>
          <t>1B4B</t>
        </is>
      </c>
      <c r="AF2359" s="7" t="inlineStr">
        <is>
          <t>PSNS&amp;IMF</t>
        </is>
      </c>
      <c r="AG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13" t="inlineStr">
        <is>
          <t>OMN Vol2 &gt; OP-5A &gt; PSNS&amp;IMF &gt; Capital Equipment &gt; 175 Ton Portal Crane Gudgeon Bearing Fix</t>
        </is>
      </c>
      <c r="AD2360" s="7" t="inlineStr">
        <is>
          <t>78</t>
        </is>
      </c>
      <c r="AE2360" s="7" t="inlineStr">
        <is>
          <t>1B4B</t>
        </is>
      </c>
      <c r="AF2360" s="7" t="inlineStr">
        <is>
          <t>PSNS&amp;IMF</t>
        </is>
      </c>
      <c r="AG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13" t="inlineStr">
        <is>
          <t>OMN Vol2 &gt; OP-5A &gt; PSNS&amp;IMF &gt; Capital Equipment &gt; P-454 Phase 0 IT Equipment</t>
        </is>
      </c>
      <c r="AD2361" s="7" t="inlineStr">
        <is>
          <t>78</t>
        </is>
      </c>
      <c r="AE2361" s="7" t="inlineStr">
        <is>
          <t>1B4B</t>
        </is>
      </c>
      <c r="AF2361" s="7" t="inlineStr">
        <is>
          <t>PSNS&amp;IMF</t>
        </is>
      </c>
      <c r="AG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13" t="inlineStr">
        <is>
          <t>OMN Vol2 &gt; OP-5A &gt; PSNS&amp;IMF &gt; Capital Equipment &gt; Seismic Stability System Design (SSN 23 Class)</t>
        </is>
      </c>
      <c r="AD2362" s="7" t="inlineStr">
        <is>
          <t>78</t>
        </is>
      </c>
      <c r="AE2362" s="7" t="inlineStr">
        <is>
          <t>1B4B</t>
        </is>
      </c>
      <c r="AF2362" s="7" t="inlineStr">
        <is>
          <t>PSNS&amp;IMF</t>
        </is>
      </c>
      <c r="AG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13" t="inlineStr">
        <is>
          <t>OMN Vol2 &gt; OP-5A &gt; PSNS&amp;IMF &gt; Capital Equipment &gt; 25 Ton Portal Crane (FY17 back-fill)</t>
        </is>
      </c>
      <c r="AD2363" s="7" t="inlineStr">
        <is>
          <t>78</t>
        </is>
      </c>
      <c r="AE2363" s="7" t="inlineStr">
        <is>
          <t>1B4B</t>
        </is>
      </c>
      <c r="AF2363" s="7" t="inlineStr">
        <is>
          <t>PSNS&amp;IMF</t>
        </is>
      </c>
      <c r="AG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13" t="inlineStr">
        <is>
          <t>OMN Vol2 &gt; OP-5A &gt; PSNS&amp;IMF &gt; MILCON &gt; SHIPYARD ELECTRICAL BACKBONE</t>
        </is>
      </c>
      <c r="AD2364" s="7" t="inlineStr">
        <is>
          <t>79</t>
        </is>
      </c>
      <c r="AE2364" s="7" t="inlineStr">
        <is>
          <t>1B4B</t>
        </is>
      </c>
      <c r="AF2364" s="7" t="inlineStr">
        <is>
          <t>PSNS&amp;IMF</t>
        </is>
      </c>
      <c r="AG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13" t="inlineStr">
        <is>
          <t>OMN Vol2 &gt; OP-5A &gt; PSNS&amp;IMF &gt; MILCON &gt; CVN 78 ELECTRICAL UPGRADES, INCREMENT 1 of 2</t>
        </is>
      </c>
      <c r="AD2365" s="7" t="inlineStr">
        <is>
          <t>79</t>
        </is>
      </c>
      <c r="AE2365" s="7" t="inlineStr">
        <is>
          <t>1B4B</t>
        </is>
      </c>
      <c r="AF2365" s="7" t="inlineStr">
        <is>
          <t>PSNS&amp;IMF</t>
        </is>
      </c>
      <c r="AG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13" t="inlineStr">
        <is>
          <t>OMN Vol2 &gt; OP-5A &gt; PSNS&amp;IMF &gt; MILCON &gt; CVN 78 ELECTRICAL UPGRADES, INCREMENT 2 of 2</t>
        </is>
      </c>
      <c r="AD2366" s="7" t="inlineStr">
        <is>
          <t>79</t>
        </is>
      </c>
      <c r="AE2366" s="7" t="inlineStr">
        <is>
          <t>1B4B</t>
        </is>
      </c>
      <c r="AF2366" s="7" t="inlineStr">
        <is>
          <t>PSNS&amp;IMF</t>
        </is>
      </c>
      <c r="AG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 / SSGN</t>
        </is>
      </c>
      <c r="O2367" s="15" t="n"/>
      <c r="AC2367" s="13" t="inlineStr">
        <is>
          <t>OMN Vol2 &gt; OP-5A &gt; PSNS&amp;IMF &gt; Ship Availability &gt; SSBN 735 USS PENNSYLVANIA* - ERO</t>
        </is>
      </c>
      <c r="AD2367" s="7" t="inlineStr">
        <is>
          <t>80</t>
        </is>
      </c>
      <c r="AE2367" s="7" t="inlineStr">
        <is>
          <t>1B4B</t>
        </is>
      </c>
      <c r="AF2367" s="7" t="inlineStr">
        <is>
          <t>PSNS&amp;IMF</t>
        </is>
      </c>
      <c r="AG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13" t="inlineStr">
        <is>
          <t>OMN Vol2 &gt; OP-5A &gt; PSNS&amp;IMF &gt; Ship Availability &gt; CVN 68 USS NIMITZ* - DPIA</t>
        </is>
      </c>
      <c r="AD2368" s="7" t="inlineStr">
        <is>
          <t>80</t>
        </is>
      </c>
      <c r="AE2368" s="7" t="inlineStr">
        <is>
          <t>1B4B</t>
        </is>
      </c>
      <c r="AF2368" s="7" t="inlineStr">
        <is>
          <t>PSNS&amp;IMF</t>
        </is>
      </c>
      <c r="AG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13" t="inlineStr">
        <is>
          <t>OMN Vol2 &gt; OP-5A &gt; PSNS&amp;IMF &gt; Ship Availability &gt; CVN 73 USS GEORGE WASHINGTON* - SRA</t>
        </is>
      </c>
      <c r="AD2369" s="7" t="inlineStr">
        <is>
          <t>80</t>
        </is>
      </c>
      <c r="AE2369" s="7" t="inlineStr">
        <is>
          <t>1B4B</t>
        </is>
      </c>
      <c r="AF2369" s="7" t="inlineStr">
        <is>
          <t>PSNS&amp;IMF</t>
        </is>
      </c>
      <c r="AG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13" t="inlineStr">
        <is>
          <t>OMN Vol2 &gt; OP-5A &gt; PSNS&amp;IMF &gt; Ship Availability &gt; SSN 23 USS JIMMY CARTER* - DPMA</t>
        </is>
      </c>
      <c r="AD2370" s="7" t="inlineStr">
        <is>
          <t>80</t>
        </is>
      </c>
      <c r="AE2370" s="7" t="inlineStr">
        <is>
          <t>1B4B</t>
        </is>
      </c>
      <c r="AF2370" s="7" t="inlineStr">
        <is>
          <t>PSNS&amp;IMF</t>
        </is>
      </c>
      <c r="AG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13" t="inlineStr">
        <is>
          <t>OMN Vol2 &gt; OP-5A &gt; PSNS&amp;IMF &gt; Ship Availability &gt; CVN 73 USS GEORGE WASHINGTON* - SRA</t>
        </is>
      </c>
      <c r="AD2371" s="7" t="inlineStr">
        <is>
          <t>80</t>
        </is>
      </c>
      <c r="AE2371" s="7" t="inlineStr">
        <is>
          <t>1B4B</t>
        </is>
      </c>
      <c r="AF2371" s="7" t="inlineStr">
        <is>
          <t>PSNS&amp;IMF</t>
        </is>
      </c>
      <c r="AG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 / SSGN</t>
        </is>
      </c>
      <c r="O2372" s="15" t="n"/>
      <c r="AC2372" s="13" t="inlineStr">
        <is>
          <t>OMN Vol2 &gt; OP-5A &gt; PSNS&amp;IMF &gt; Ship Availability &gt; SSBN 730 USS HENRY M JACKSON* - ERP</t>
        </is>
      </c>
      <c r="AD2372" s="7" t="inlineStr">
        <is>
          <t>80</t>
        </is>
      </c>
      <c r="AE2372" s="7" t="inlineStr">
        <is>
          <t>1B4B</t>
        </is>
      </c>
      <c r="AF2372" s="7" t="inlineStr">
        <is>
          <t>PSNS&amp;IMF</t>
        </is>
      </c>
      <c r="AG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13" t="inlineStr">
        <is>
          <t>OMN Vol2 &gt; OP-5A &gt; PSNS&amp;IMF &gt; Ship Availability &gt; SSN 23 USS JIMMY CARTER* - EDSRA</t>
        </is>
      </c>
      <c r="AD2373" s="7" t="inlineStr">
        <is>
          <t>80</t>
        </is>
      </c>
      <c r="AE2373" s="7" t="inlineStr">
        <is>
          <t>1B4B</t>
        </is>
      </c>
      <c r="AF2373" s="7" t="inlineStr">
        <is>
          <t>PSNS&amp;IMF</t>
        </is>
      </c>
      <c r="AG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 / SSGN</t>
        </is>
      </c>
      <c r="O2374" s="15" t="n"/>
      <c r="AC2374" s="13" t="inlineStr">
        <is>
          <t>OMN Vol2 &gt; OP-5A &gt; PSNS&amp;IMF &gt; Ship Availability &gt; SSGN 726 USS OHIO - MMP</t>
        </is>
      </c>
      <c r="AD2374" s="7" t="inlineStr">
        <is>
          <t>80</t>
        </is>
      </c>
      <c r="AE2374" s="7" t="inlineStr">
        <is>
          <t>1B4B</t>
        </is>
      </c>
      <c r="AF2374" s="7" t="inlineStr">
        <is>
          <t>PSNS&amp;IMF</t>
        </is>
      </c>
      <c r="AG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13" t="inlineStr">
        <is>
          <t>OMN Vol2 &gt; OP-5A &gt; PSNS&amp;IMF &gt; Ship Availability &gt; SSN 707 EX PORTSMOUTH - RCD</t>
        </is>
      </c>
      <c r="AD2375" s="7" t="inlineStr">
        <is>
          <t>80</t>
        </is>
      </c>
      <c r="AE2375" s="7" t="inlineStr">
        <is>
          <t>1B4B</t>
        </is>
      </c>
      <c r="AF2375" s="7" t="inlineStr">
        <is>
          <t>PSNS&amp;IMF</t>
        </is>
      </c>
      <c r="AG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13" t="inlineStr">
        <is>
          <t>OMN Vol2 &gt; OP-5A &gt; PSNS&amp;IMF &gt; Ship Availability &gt; SSN 705 EX CITY OF CORPUS CHRISTI - RCD</t>
        </is>
      </c>
      <c r="AD2376" s="7" t="inlineStr">
        <is>
          <t>80</t>
        </is>
      </c>
      <c r="AE2376" s="7" t="inlineStr">
        <is>
          <t>1B4B</t>
        </is>
      </c>
      <c r="AF2376" s="7" t="inlineStr">
        <is>
          <t>PSNS&amp;IMF</t>
        </is>
      </c>
      <c r="AG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13" t="inlineStr">
        <is>
          <t>OMN Vol2 &gt; OP-5A &gt; PSNS&amp;IMF &gt; Ship Availability &gt; SSN 721 USS CHICAGO - IA</t>
        </is>
      </c>
      <c r="AD2377" s="7" t="inlineStr">
        <is>
          <t>80</t>
        </is>
      </c>
      <c r="AE2377" s="7" t="inlineStr">
        <is>
          <t>1B4B</t>
        </is>
      </c>
      <c r="AF2377" s="7" t="inlineStr">
        <is>
          <t>PSNS&amp;IMF</t>
        </is>
      </c>
      <c r="AG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 / SSGN</t>
        </is>
      </c>
      <c r="O2378" s="15" t="n"/>
      <c r="AC2378" s="13" t="inlineStr">
        <is>
          <t>OMN Vol2 &gt; OP-5A &gt; PSNS&amp;IMF &gt; Ship Availability &gt; SSBN 735 USS PENNSYLVANIA - ERP</t>
        </is>
      </c>
      <c r="AD2378" s="7" t="inlineStr">
        <is>
          <t>80</t>
        </is>
      </c>
      <c r="AE2378" s="7" t="inlineStr">
        <is>
          <t>1B4B</t>
        </is>
      </c>
      <c r="AF2378" s="7" t="inlineStr">
        <is>
          <t>PSNS&amp;IMF</t>
        </is>
      </c>
      <c r="AG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13" t="inlineStr">
        <is>
          <t>OMN Vol2 &gt; OP-5A &gt; PSNS&amp;IMF &gt; Ship Availability &gt; SSN 756 USS SCRANTON - DSRA</t>
        </is>
      </c>
      <c r="AD2379" s="7" t="inlineStr">
        <is>
          <t>80</t>
        </is>
      </c>
      <c r="AE2379" s="7" t="inlineStr">
        <is>
          <t>1B4B</t>
        </is>
      </c>
      <c r="AF2379" s="7" t="inlineStr">
        <is>
          <t>PSNS&amp;IMF</t>
        </is>
      </c>
      <c r="AG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13" t="inlineStr">
        <is>
          <t>OMN Vol2 &gt; OP-5A &gt; PSNS&amp;IMF &gt; Ship Availability &gt; CVN 72 USS ABRAHAM LINCOLN - PIA</t>
        </is>
      </c>
      <c r="AD2380" s="7" t="inlineStr">
        <is>
          <t>80</t>
        </is>
      </c>
      <c r="AE2380" s="7" t="inlineStr">
        <is>
          <t>1B4B</t>
        </is>
      </c>
      <c r="AF2380" s="7" t="inlineStr">
        <is>
          <t>PSNS&amp;IMF</t>
        </is>
      </c>
      <c r="AG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13" t="inlineStr">
        <is>
          <t>OMN Vol2 &gt; OP-5A &gt; PSNS&amp;IMF &gt; Ship Availability &gt; SSN 22 USS CONNECTICUT - EDSRA</t>
        </is>
      </c>
      <c r="AD2381" s="7" t="inlineStr">
        <is>
          <t>80</t>
        </is>
      </c>
      <c r="AE2381" s="7" t="inlineStr">
        <is>
          <t>1B4B</t>
        </is>
      </c>
      <c r="AF2381" s="7" t="inlineStr">
        <is>
          <t>PSNS&amp;IMF</t>
        </is>
      </c>
      <c r="AG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 / SSGN</t>
        </is>
      </c>
      <c r="O2382" s="15" t="n"/>
      <c r="AC2382" s="13" t="inlineStr">
        <is>
          <t>OMN Vol2 &gt; OP-5A &gt; PSNS&amp;IMF &gt; Ship Availability &gt; SSGN 727 USS MICHIGAN - MMP</t>
        </is>
      </c>
      <c r="AD2382" s="7" t="inlineStr">
        <is>
          <t>80</t>
        </is>
      </c>
      <c r="AE2382" s="7" t="inlineStr">
        <is>
          <t>1B4B</t>
        </is>
      </c>
      <c r="AF2382" s="7" t="inlineStr">
        <is>
          <t>PSNS&amp;IMF</t>
        </is>
      </c>
      <c r="AG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13" t="inlineStr">
        <is>
          <t>OMN Vol2 &gt; OP-5A &gt; PSNS&amp;IMF &gt; Ship Availability &gt; SSN 709 EX HYMAN G. RICKOVER - RCD</t>
        </is>
      </c>
      <c r="AD2383" s="7" t="inlineStr">
        <is>
          <t>80</t>
        </is>
      </c>
      <c r="AE2383" s="7" t="inlineStr">
        <is>
          <t>1B4B</t>
        </is>
      </c>
      <c r="AF2383" s="7" t="inlineStr">
        <is>
          <t>PSNS&amp;IMF</t>
        </is>
      </c>
      <c r="AG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13" t="inlineStr">
        <is>
          <t>OMN Vol2 &gt; OP-5A &gt; PSNS&amp;IMF &gt; Ship Availability &gt; SSN 714 EX NORFOLK - RCD</t>
        </is>
      </c>
      <c r="AD2384" s="7" t="inlineStr">
        <is>
          <t>80</t>
        </is>
      </c>
      <c r="AE2384" s="7" t="inlineStr">
        <is>
          <t>1B4B</t>
        </is>
      </c>
      <c r="AF2384" s="7" t="inlineStr">
        <is>
          <t>PSNS&amp;IMF</t>
        </is>
      </c>
      <c r="AG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13" t="inlineStr">
        <is>
          <t>OMN Vol2 &gt; OP-5A &gt; PSNS&amp;IMF &gt; Ship Availability &gt; CVN 68 USS NIMITZ - PIA</t>
        </is>
      </c>
      <c r="AD2385" s="7" t="inlineStr">
        <is>
          <t>80</t>
        </is>
      </c>
      <c r="AE2385" s="7" t="inlineStr">
        <is>
          <t>1B4B</t>
        </is>
      </c>
      <c r="AF2385" s="7" t="inlineStr">
        <is>
          <t>PSNS&amp;IMF</t>
        </is>
      </c>
      <c r="AG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13" t="inlineStr">
        <is>
          <t>OMN Vol2 &gt; OP-5A &gt; PSNS&amp;IMF &gt; Ship Availability &gt; CVN 76 USS RONALD REAGAN - SRA</t>
        </is>
      </c>
      <c r="AD2386" s="7" t="inlineStr">
        <is>
          <t>80</t>
        </is>
      </c>
      <c r="AE2386" s="7" t="inlineStr">
        <is>
          <t>1B4B</t>
        </is>
      </c>
      <c r="AF2386" s="7" t="inlineStr">
        <is>
          <t>PSNS&amp;IMF</t>
        </is>
      </c>
      <c r="AG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13" t="inlineStr">
        <is>
          <t>OMN Vol2 &gt; OP-5A &gt; PSNS&amp;IMF &gt; Ship Availability &gt; CVN 70 USS CARL VINSON - CIA</t>
        </is>
      </c>
      <c r="AD2387" s="7" t="inlineStr">
        <is>
          <t>80</t>
        </is>
      </c>
      <c r="AE2387" s="7" t="inlineStr">
        <is>
          <t>1B4B</t>
        </is>
      </c>
      <c r="AF2387" s="7" t="inlineStr">
        <is>
          <t>PSNS&amp;IMF</t>
        </is>
      </c>
      <c r="AG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13" t="inlineStr">
        <is>
          <t>OMN Vol2 &gt; OP-5A &gt; PSNS&amp;IMF &gt; Ship Availability &gt; CVN 71 USS THEODORE ROOSEVELT - PIA</t>
        </is>
      </c>
      <c r="AD2388" s="7" t="inlineStr">
        <is>
          <t>80</t>
        </is>
      </c>
      <c r="AE2388" s="7" t="inlineStr">
        <is>
          <t>1B4B</t>
        </is>
      </c>
      <c r="AF2388" s="7" t="inlineStr">
        <is>
          <t>PSNS&amp;IMF</t>
        </is>
      </c>
      <c r="AG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13" t="inlineStr">
        <is>
          <t>OMN Vol2 &gt; OP-5A &gt; PSNS&amp;IMF &gt; Ship Availability &gt; SSN 722 USS KEY WEST - IA</t>
        </is>
      </c>
      <c r="AD2389" s="7" t="inlineStr">
        <is>
          <t>81</t>
        </is>
      </c>
      <c r="AE2389" s="7" t="inlineStr">
        <is>
          <t>1B4B</t>
        </is>
      </c>
      <c r="AF2389" s="7" t="inlineStr">
        <is>
          <t>PSNS&amp;IMF</t>
        </is>
      </c>
      <c r="AG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13" t="inlineStr">
        <is>
          <t>OMN Vol2 &gt; OP-5A &gt; PSNS&amp;IMF &gt; Ship Availability &gt; SSN 698 EX BREMERTON - RCD</t>
        </is>
      </c>
      <c r="AD2390" s="7" t="inlineStr">
        <is>
          <t>81</t>
        </is>
      </c>
      <c r="AE2390" s="7" t="inlineStr">
        <is>
          <t>1B4B</t>
        </is>
      </c>
      <c r="AF2390" s="7" t="inlineStr">
        <is>
          <t>PSNS&amp;IMF</t>
        </is>
      </c>
      <c r="AG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13" t="inlineStr">
        <is>
          <t>OMN Vol2 &gt; OP-5A &gt; PSNS&amp;IMF &gt; Ship Availability &gt; SSN 699 EX JACKSONVILLE - RCD</t>
        </is>
      </c>
      <c r="AD2391" s="7" t="inlineStr">
        <is>
          <t>81</t>
        </is>
      </c>
      <c r="AE2391" s="7" t="inlineStr">
        <is>
          <t>1B4B</t>
        </is>
      </c>
      <c r="AF2391" s="7" t="inlineStr">
        <is>
          <t>PSNS&amp;IMF</t>
        </is>
      </c>
      <c r="AG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13" t="inlineStr">
        <is>
          <t>OMN Vol2 &gt; OP-5A &gt; PSNS&amp;IMF &gt; Ship Availability &gt; CVN 73 USS GEORGE WASHINGTON - SRA</t>
        </is>
      </c>
      <c r="AD2392" s="7" t="inlineStr">
        <is>
          <t>81</t>
        </is>
      </c>
      <c r="AE2392" s="7" t="inlineStr">
        <is>
          <t>1B4B</t>
        </is>
      </c>
      <c r="AF2392" s="7" t="inlineStr">
        <is>
          <t>PSNS&amp;IMF</t>
        </is>
      </c>
      <c r="AG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 / SSGN</t>
        </is>
      </c>
      <c r="O2393" s="15" t="n"/>
      <c r="AC2393" s="13" t="inlineStr">
        <is>
          <t>OMN Vol2 &gt; OP-5A &gt; PSNS&amp;IMF &gt; Ship Availability &gt; SSBN 737 USS KENTUCKY - ERP</t>
        </is>
      </c>
      <c r="AD2393" s="7" t="inlineStr">
        <is>
          <t>81</t>
        </is>
      </c>
      <c r="AE2393" s="7" t="inlineStr">
        <is>
          <t>1B4B</t>
        </is>
      </c>
      <c r="AF2393" s="7" t="inlineStr">
        <is>
          <t>PSNS&amp;IMF</t>
        </is>
      </c>
      <c r="AG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13" t="inlineStr">
        <is>
          <t>OMN Vol2 &gt; OP-5A &gt; PSNS&amp;IMF &gt; Ship Availability &gt; CVN 72 USS ABRAHAM LINCOLN - CIA</t>
        </is>
      </c>
      <c r="AD2394" s="7" t="inlineStr">
        <is>
          <t>81</t>
        </is>
      </c>
      <c r="AE2394" s="7" t="inlineStr">
        <is>
          <t>1B4B</t>
        </is>
      </c>
      <c r="AF2394" s="7" t="inlineStr">
        <is>
          <t>PSNS&amp;IMF</t>
        </is>
      </c>
      <c r="AG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13" t="inlineStr">
        <is>
          <t>OMN Vol2 &gt; OP-5A &gt; PSNS&amp;IMF &gt; Ship Availability &gt; CVN 76 USS RONALD REAGAN - DPIA</t>
        </is>
      </c>
      <c r="AD2395" s="7" t="inlineStr">
        <is>
          <t>81</t>
        </is>
      </c>
      <c r="AE2395" s="7" t="inlineStr">
        <is>
          <t>1B4B</t>
        </is>
      </c>
      <c r="AF2395" s="7" t="inlineStr">
        <is>
          <t>PSNS&amp;IMF</t>
        </is>
      </c>
      <c r="AG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13" t="inlineStr">
        <is>
          <t>OMN Vol2 &gt; OP-5A &gt; PSNS&amp;IMF &gt; Ship Availability &gt; SSN 751 USS SAN JUAN - IA</t>
        </is>
      </c>
      <c r="AD2396" s="7" t="inlineStr">
        <is>
          <t>81</t>
        </is>
      </c>
      <c r="AE2396" s="7" t="inlineStr">
        <is>
          <t>1B4B</t>
        </is>
      </c>
      <c r="AF2396" s="7" t="inlineStr">
        <is>
          <t>PSNS&amp;IMF</t>
        </is>
      </c>
      <c r="AG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13" t="inlineStr">
        <is>
          <t>OMN Vol2 &gt; OP-5A &gt; PSNS&amp;IMF &gt; Ship Availability &gt; CVN 70 USS CARL VINSON - PIA</t>
        </is>
      </c>
      <c r="AD2397" s="7" t="inlineStr">
        <is>
          <t>81</t>
        </is>
      </c>
      <c r="AE2397" s="7" t="inlineStr">
        <is>
          <t>1B4B</t>
        </is>
      </c>
      <c r="AF2397" s="7" t="inlineStr">
        <is>
          <t>PSNS&amp;IMF</t>
        </is>
      </c>
      <c r="AG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13" t="inlineStr">
        <is>
          <t>OMN Vol2 &gt; OP-5A &gt; PSNS&amp;IMF &gt; Ship Availability &gt; SSN 21 USS SEAWOLF - EDSRA</t>
        </is>
      </c>
      <c r="AD2398" s="7" t="inlineStr">
        <is>
          <t>81</t>
        </is>
      </c>
      <c r="AE2398" s="7" t="inlineStr">
        <is>
          <t>1B4B</t>
        </is>
      </c>
      <c r="AF2398" s="7" t="inlineStr">
        <is>
          <t>PSNS&amp;IMF</t>
        </is>
      </c>
      <c r="AG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13" t="inlineStr">
        <is>
          <t>OMN Vol2 &gt; OP-5A &gt; PSNS&amp;IMF &gt; Ship Availability &gt; SSN 752 USS HELENA - IA</t>
        </is>
      </c>
      <c r="AD2399" s="7" t="inlineStr">
        <is>
          <t>81</t>
        </is>
      </c>
      <c r="AE2399" s="7" t="inlineStr">
        <is>
          <t>1B4B</t>
        </is>
      </c>
      <c r="AF2399" s="7" t="inlineStr">
        <is>
          <t>PSNS&amp;IMF</t>
        </is>
      </c>
      <c r="AG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13" t="inlineStr">
        <is>
          <t>OMN Vol2 &gt; OP-5A &gt; PSNS&amp;IMF &gt; Ship Availability &gt; SSN 751 USS SAN JUAN - IA</t>
        </is>
      </c>
      <c r="AD2400" s="7" t="inlineStr">
        <is>
          <t>81</t>
        </is>
      </c>
      <c r="AE2400" s="7" t="inlineStr">
        <is>
          <t>1B4B</t>
        </is>
      </c>
      <c r="AF2400" s="7" t="inlineStr">
        <is>
          <t>PSNS&amp;IMF</t>
        </is>
      </c>
      <c r="AG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 / SSGN</t>
        </is>
      </c>
      <c r="O2401" s="15" t="n"/>
      <c r="AC2401" s="13" t="inlineStr">
        <is>
          <t>OMN Vol2 &gt; OP-5A &gt; PSNS&amp;IMF &gt; Ship Availability &gt; SSBN 737 KENTUCKY - ERP</t>
        </is>
      </c>
      <c r="AD2401" s="7" t="inlineStr">
        <is>
          <t>81</t>
        </is>
      </c>
      <c r="AE2401" s="7" t="inlineStr">
        <is>
          <t>1B4B</t>
        </is>
      </c>
      <c r="AF2401" s="7" t="inlineStr">
        <is>
          <t>PSNS&amp;IMF</t>
        </is>
      </c>
      <c r="AG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13" t="inlineStr">
        <is>
          <t>OMN Vol2 &gt; OP-5A &gt; PSNS&amp;IMF &gt; Ship Availability &gt; CVN 70 USS CARL VINSON - PIA</t>
        </is>
      </c>
      <c r="AD2402" s="7" t="inlineStr">
        <is>
          <t>81</t>
        </is>
      </c>
      <c r="AE2402" s="7" t="inlineStr">
        <is>
          <t>1B4B</t>
        </is>
      </c>
      <c r="AF2402" s="7" t="inlineStr">
        <is>
          <t>PSNS&amp;IMF</t>
        </is>
      </c>
      <c r="AG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13" t="inlineStr">
        <is>
          <t>OMN Vol2 &gt; OP-5A &gt; PSNS&amp;IMF &gt; Ship Availability &gt; SSN 725 USS HELENA - SLA</t>
        </is>
      </c>
      <c r="AD2403" s="7" t="inlineStr">
        <is>
          <t>81</t>
        </is>
      </c>
      <c r="AE2403" s="7" t="inlineStr">
        <is>
          <t>1B4B</t>
        </is>
      </c>
      <c r="AF2403" s="7" t="inlineStr">
        <is>
          <t>PSNS&amp;IMF</t>
        </is>
      </c>
      <c r="AG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13" t="inlineStr">
        <is>
          <t>OMN Vol2 &gt; OP-5A &gt; PSNS&amp;IMF &gt; Ship Availability &gt; CVN 73 USS GEORGE WASHINGTON - SRA</t>
        </is>
      </c>
      <c r="AD2404" s="7" t="inlineStr">
        <is>
          <t>81</t>
        </is>
      </c>
      <c r="AE2404" s="7" t="inlineStr">
        <is>
          <t>1B4B</t>
        </is>
      </c>
      <c r="AF2404" s="7" t="inlineStr">
        <is>
          <t>PSNS&amp;IMF</t>
        </is>
      </c>
      <c r="AG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13" t="inlineStr">
        <is>
          <t>OMN Vol2 &gt; OP-5A &gt; PSNS&amp;IMF &gt; Ship Availability &gt; SSN 21 USS SEAWOLF - EDSRA</t>
        </is>
      </c>
      <c r="AD2405" s="7" t="inlineStr">
        <is>
          <t>81</t>
        </is>
      </c>
      <c r="AE2405" s="7" t="inlineStr">
        <is>
          <t>1B4B</t>
        </is>
      </c>
      <c r="AF2405" s="7" t="inlineStr">
        <is>
          <t>PSNS&amp;IMF</t>
        </is>
      </c>
      <c r="AG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13" t="inlineStr">
        <is>
          <t>OMN Vol2 &gt; OP-5A &gt; PSNS&amp;IMF &gt; Ship Availability &gt; SSN 754 USS TOPEKA - SLA</t>
        </is>
      </c>
      <c r="AD2406" s="7" t="inlineStr">
        <is>
          <t>81</t>
        </is>
      </c>
      <c r="AE2406" s="7" t="inlineStr">
        <is>
          <t>1B4B</t>
        </is>
      </c>
      <c r="AF2406" s="7" t="inlineStr">
        <is>
          <t>PSNS&amp;IMF</t>
        </is>
      </c>
      <c r="AG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13" t="inlineStr">
        <is>
          <t>OMN Vol2 &gt; OP-5A &gt; PSNS&amp;IMF &gt; Ship Availability &gt; CVN 72 USS ABRAHAM LINCOLN - DPIA</t>
        </is>
      </c>
      <c r="AD2407" s="7" t="inlineStr">
        <is>
          <t>81</t>
        </is>
      </c>
      <c r="AE2407" s="7" t="inlineStr">
        <is>
          <t>1B4B</t>
        </is>
      </c>
      <c r="AF2407" s="7" t="inlineStr">
        <is>
          <t>PSNS&amp;IMF</t>
        </is>
      </c>
      <c r="AG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13" t="inlineStr">
        <is>
          <t>OMN Vol2 &gt; OP-5A &gt; PSNS&amp;IMF &gt; Ship Availability &gt; SSN 757 USS ALEXANDRIA - IA</t>
        </is>
      </c>
      <c r="AD2408" s="7" t="inlineStr">
        <is>
          <t>81</t>
        </is>
      </c>
      <c r="AE2408" s="7" t="inlineStr">
        <is>
          <t>1B4B</t>
        </is>
      </c>
      <c r="AF2408" s="7" t="inlineStr">
        <is>
          <t>PSNS&amp;IMF</t>
        </is>
      </c>
      <c r="AG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13" t="inlineStr">
        <is>
          <t>OMN Vol2 &gt; OP-5A &gt; PSNS&amp;IMF &gt; Ship Availability &gt; CVN 71 USS THEODORE ROOSEVELT - CIA</t>
        </is>
      </c>
      <c r="AD2409" s="7" t="inlineStr">
        <is>
          <t>81</t>
        </is>
      </c>
      <c r="AE2409" s="7" t="inlineStr">
        <is>
          <t>1B4B</t>
        </is>
      </c>
      <c r="AF2409" s="7" t="inlineStr">
        <is>
          <t>PSNS&amp;IMF</t>
        </is>
      </c>
      <c r="AG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13" t="inlineStr">
        <is>
          <t>OMN Vol2 &gt; OP-5A &gt; PNSY &gt; Source of Funding &gt; Department of Navy</t>
        </is>
      </c>
      <c r="AD2410" s="7" t="inlineStr">
        <is>
          <t>82</t>
        </is>
      </c>
      <c r="AE2410" s="7" t="inlineStr">
        <is>
          <t>1B4B</t>
        </is>
      </c>
      <c r="AF2410" s="7" t="inlineStr">
        <is>
          <t>PNSY</t>
        </is>
      </c>
      <c r="AG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13" t="inlineStr">
        <is>
          <t>OMN Vol2 &gt; OP-5A &gt; PNSY &gt; Source of Funding &gt; Direct</t>
        </is>
      </c>
      <c r="AD2411" s="7" t="inlineStr">
        <is>
          <t>82</t>
        </is>
      </c>
      <c r="AE2411" s="7" t="inlineStr">
        <is>
          <t>1B4B</t>
        </is>
      </c>
      <c r="AF2411" s="7" t="inlineStr">
        <is>
          <t>PNSY</t>
        </is>
      </c>
      <c r="AG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13" t="inlineStr">
        <is>
          <t>OMN Vol2 &gt; OP-5A &gt; PNSY &gt; Source of Funding &gt; Operation &amp; Maintenance, Navy (Fleet, Base)</t>
        </is>
      </c>
      <c r="AD2412" s="7" t="inlineStr">
        <is>
          <t>82</t>
        </is>
      </c>
      <c r="AE2412" s="7" t="inlineStr">
        <is>
          <t>1B4B</t>
        </is>
      </c>
      <c r="AF2412" s="7" t="inlineStr">
        <is>
          <t>PNSY</t>
        </is>
      </c>
      <c r="AG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13" t="inlineStr">
        <is>
          <t>OMN Vol2 &gt; OP-5A &gt; PNSY &gt; Source of Funding &gt; Operation &amp; Maintenance, Navy (Fleet, OCO)</t>
        </is>
      </c>
      <c r="AD2413" s="7" t="inlineStr">
        <is>
          <t>82</t>
        </is>
      </c>
      <c r="AE2413" s="7" t="inlineStr">
        <is>
          <t>1B4B</t>
        </is>
      </c>
      <c r="AF2413" s="7" t="inlineStr">
        <is>
          <t>PNSY</t>
        </is>
      </c>
      <c r="AG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13" t="inlineStr">
        <is>
          <t>OMN Vol2 &gt; OP-5A &gt; PNSY &gt; Source of Funding &gt; Military Personnel, Navy (Fleet, MPN)</t>
        </is>
      </c>
      <c r="AD2414" s="7" t="inlineStr">
        <is>
          <t>82</t>
        </is>
      </c>
      <c r="AE2414" s="7" t="inlineStr">
        <is>
          <t>1B4B</t>
        </is>
      </c>
      <c r="AF2414" s="7" t="inlineStr">
        <is>
          <t>PNSY</t>
        </is>
      </c>
      <c r="AG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13" t="inlineStr">
        <is>
          <t>OMN Vol2 &gt; OP-5A &gt; PNSY &gt; Source of Funding &gt; Reimbursable</t>
        </is>
      </c>
      <c r="AD2415" s="7" t="inlineStr">
        <is>
          <t>82</t>
        </is>
      </c>
      <c r="AE2415" s="7" t="inlineStr">
        <is>
          <t>1B4B</t>
        </is>
      </c>
      <c r="AF2415" s="7" t="inlineStr">
        <is>
          <t>PNSY</t>
        </is>
      </c>
      <c r="AG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13" t="inlineStr">
        <is>
          <t>OMN Vol2 &gt; OP-5A &gt; PNSY &gt; Source of Funding &gt; Operation &amp; Maintenance, Navy</t>
        </is>
      </c>
      <c r="AD2416" s="7" t="inlineStr">
        <is>
          <t>82</t>
        </is>
      </c>
      <c r="AE2416" s="7" t="inlineStr">
        <is>
          <t>1B4B</t>
        </is>
      </c>
      <c r="AF2416" s="7" t="inlineStr">
        <is>
          <t>PNSY</t>
        </is>
      </c>
      <c r="AG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13" t="inlineStr">
        <is>
          <t>OMN Vol2 &gt; OP-5A &gt; PNSY &gt; Source of Funding &gt; Shipbuilding &amp; Conversion, Navy</t>
        </is>
      </c>
      <c r="AD2417" s="7" t="inlineStr">
        <is>
          <t>82</t>
        </is>
      </c>
      <c r="AE2417" s="7" t="inlineStr">
        <is>
          <t>1B4B</t>
        </is>
      </c>
      <c r="AF2417" s="7" t="inlineStr">
        <is>
          <t>PNSY</t>
        </is>
      </c>
      <c r="AG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13" t="inlineStr">
        <is>
          <t>OMN Vol2 &gt; OP-5A &gt; PNSY &gt; Source of Funding &gt; Other Procurement, Navy</t>
        </is>
      </c>
      <c r="AD2418" s="7" t="inlineStr">
        <is>
          <t>82</t>
        </is>
      </c>
      <c r="AE2418" s="7" t="inlineStr">
        <is>
          <t>1B4B</t>
        </is>
      </c>
      <c r="AF2418" s="7" t="inlineStr">
        <is>
          <t>PNSY</t>
        </is>
      </c>
      <c r="AG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13" t="inlineStr">
        <is>
          <t>OMN Vol2 &gt; OP-5A &gt; PNSY &gt; Source of Funding &gt; Procurement, Marine Corps</t>
        </is>
      </c>
      <c r="AD2419" s="7" t="inlineStr">
        <is>
          <t>82</t>
        </is>
      </c>
      <c r="AE2419" s="7" t="inlineStr">
        <is>
          <t>1B4B</t>
        </is>
      </c>
      <c r="AF2419" s="7" t="inlineStr">
        <is>
          <t>PNSY</t>
        </is>
      </c>
      <c r="AG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13" t="inlineStr">
        <is>
          <t>OMN Vol2 &gt; OP-5A &gt; PNSY &gt; Source of Funding &gt; Other Department of Navy</t>
        </is>
      </c>
      <c r="AD2420" s="7" t="inlineStr">
        <is>
          <t>82</t>
        </is>
      </c>
      <c r="AE2420" s="7" t="inlineStr">
        <is>
          <t>1B4B</t>
        </is>
      </c>
      <c r="AF2420" s="7" t="inlineStr">
        <is>
          <t>PNSY</t>
        </is>
      </c>
      <c r="AG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13" t="inlineStr">
        <is>
          <t>OMN Vol2 &gt; OP-5A &gt; PNSY &gt; Source of Funding &gt; Department of Defense</t>
        </is>
      </c>
      <c r="AD2421" s="7" t="inlineStr">
        <is>
          <t>82</t>
        </is>
      </c>
      <c r="AE2421" s="7" t="inlineStr">
        <is>
          <t>1B4B</t>
        </is>
      </c>
      <c r="AF2421" s="7" t="inlineStr">
        <is>
          <t>PNSY</t>
        </is>
      </c>
      <c r="AG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13" t="inlineStr">
        <is>
          <t>OMN Vol2 &gt; OP-5A &gt; PNSY &gt; Source of Funding &gt; Other Orders</t>
        </is>
      </c>
      <c r="AD2422" s="7" t="inlineStr">
        <is>
          <t>82</t>
        </is>
      </c>
      <c r="AE2422" s="7" t="inlineStr">
        <is>
          <t>1B4B</t>
        </is>
      </c>
      <c r="AF2422" s="7" t="inlineStr">
        <is>
          <t>PNSY</t>
        </is>
      </c>
      <c r="AG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13" t="inlineStr">
        <is>
          <t>OMN Vol2 &gt; OP-5A &gt; PNSY &gt; Source of Funding &gt; Other Federal Agencies</t>
        </is>
      </c>
      <c r="AD2423" s="7" t="inlineStr">
        <is>
          <t>82</t>
        </is>
      </c>
      <c r="AE2423" s="7" t="inlineStr">
        <is>
          <t>1B4B</t>
        </is>
      </c>
      <c r="AF2423" s="7" t="inlineStr">
        <is>
          <t>PNSY</t>
        </is>
      </c>
      <c r="AG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13" t="inlineStr">
        <is>
          <t>OMN Vol2 &gt; OP-5A &gt; PNSY &gt; Source of Funding &gt; Foreign Military Sales</t>
        </is>
      </c>
      <c r="AD2424" s="7" t="inlineStr">
        <is>
          <t>82</t>
        </is>
      </c>
      <c r="AE2424" s="7" t="inlineStr">
        <is>
          <t>1B4B</t>
        </is>
      </c>
      <c r="AF2424" s="7" t="inlineStr">
        <is>
          <t>PNSY</t>
        </is>
      </c>
      <c r="AG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13" t="inlineStr">
        <is>
          <t>OMN Vol2 &gt; OP-5A &gt; PNSY &gt; Source of Funding &gt; Other</t>
        </is>
      </c>
      <c r="AD2425" s="7" t="inlineStr">
        <is>
          <t>82</t>
        </is>
      </c>
      <c r="AE2425" s="7" t="inlineStr">
        <is>
          <t>1B4B</t>
        </is>
      </c>
      <c r="AF2425" s="7" t="inlineStr">
        <is>
          <t>PNSY</t>
        </is>
      </c>
      <c r="AG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13" t="inlineStr">
        <is>
          <t>OMN Vol2 &gt; OP-5A &gt; PNSY &gt; Source of Funding &gt; Total</t>
        </is>
      </c>
      <c r="AD2426" s="7" t="inlineStr">
        <is>
          <t>82</t>
        </is>
      </c>
      <c r="AE2426" s="7" t="inlineStr">
        <is>
          <t>1B4B</t>
        </is>
      </c>
      <c r="AF2426" s="7" t="inlineStr">
        <is>
          <t>PNSY</t>
        </is>
      </c>
      <c r="AG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13" t="inlineStr">
        <is>
          <t>OMN Vol2 &gt; OP-5A &gt; PNSY &gt; Performance Data &gt; Direct Civilian Labor</t>
        </is>
      </c>
      <c r="AD2427" s="7" t="inlineStr">
        <is>
          <t>83</t>
        </is>
      </c>
      <c r="AE2427" s="7" t="inlineStr">
        <is>
          <t>1B4B</t>
        </is>
      </c>
      <c r="AF2427" s="7" t="inlineStr">
        <is>
          <t>PNSY</t>
        </is>
      </c>
      <c r="AG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13" t="inlineStr">
        <is>
          <t>OMN Vol2 &gt; OP-5A &gt; PNSY &gt; Performance Data &gt; Direct Military Labor</t>
        </is>
      </c>
      <c r="AD2428" s="7" t="inlineStr">
        <is>
          <t>83</t>
        </is>
      </c>
      <c r="AE2428" s="7" t="inlineStr">
        <is>
          <t>1B4B</t>
        </is>
      </c>
      <c r="AF2428" s="7" t="inlineStr">
        <is>
          <t>PNSY</t>
        </is>
      </c>
      <c r="AG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13" t="inlineStr">
        <is>
          <t>OMN Vol2 &gt; OP-5A &gt; PNSY &gt; Performance Data &gt; Direct Material</t>
        </is>
      </c>
      <c r="AD2429" s="7" t="inlineStr">
        <is>
          <t>83</t>
        </is>
      </c>
      <c r="AE2429" s="7" t="inlineStr">
        <is>
          <t>1B4B</t>
        </is>
      </c>
      <c r="AF2429" s="7" t="inlineStr">
        <is>
          <t>PNSY</t>
        </is>
      </c>
      <c r="AG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13" t="inlineStr">
        <is>
          <t>OMN Vol2 &gt; OP-5A &gt; PNSY &gt; Performance Data &gt; Direct Contracts</t>
        </is>
      </c>
      <c r="AD2430" s="7" t="inlineStr">
        <is>
          <t>83</t>
        </is>
      </c>
      <c r="AE2430" s="7" t="inlineStr">
        <is>
          <t>1B4B</t>
        </is>
      </c>
      <c r="AF2430" s="7" t="inlineStr">
        <is>
          <t>PNSY</t>
        </is>
      </c>
      <c r="AG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13" t="inlineStr">
        <is>
          <t>OMN Vol2 &gt; OP-5A &gt; PNSY &gt; Performance Data &gt; Other Direct Costs</t>
        </is>
      </c>
      <c r="AD2431" s="7" t="inlineStr">
        <is>
          <t>83</t>
        </is>
      </c>
      <c r="AE2431" s="7" t="inlineStr">
        <is>
          <t>1B4B</t>
        </is>
      </c>
      <c r="AF2431" s="7" t="inlineStr">
        <is>
          <t>PNSY</t>
        </is>
      </c>
      <c r="AG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13" t="inlineStr">
        <is>
          <t>OMN Vol2 &gt; OP-5A &gt; PNSY &gt; Performance Data &gt; Overhead Civilian Labor</t>
        </is>
      </c>
      <c r="AD2432" s="7" t="inlineStr">
        <is>
          <t>83</t>
        </is>
      </c>
      <c r="AE2432" s="7" t="inlineStr">
        <is>
          <t>1B4B</t>
        </is>
      </c>
      <c r="AF2432" s="7" t="inlineStr">
        <is>
          <t>PNSY</t>
        </is>
      </c>
      <c r="AG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13" t="inlineStr">
        <is>
          <t>OMN Vol2 &gt; OP-5A &gt; PNSY &gt; Performance Data &gt; Overhead Military Labor</t>
        </is>
      </c>
      <c r="AD2433" s="7" t="inlineStr">
        <is>
          <t>83</t>
        </is>
      </c>
      <c r="AE2433" s="7" t="inlineStr">
        <is>
          <t>1B4B</t>
        </is>
      </c>
      <c r="AF2433" s="7" t="inlineStr">
        <is>
          <t>PNSY</t>
        </is>
      </c>
      <c r="AG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13" t="inlineStr">
        <is>
          <t>OMN Vol2 &gt; OP-5A &gt; PNSY &gt; Performance Data &gt; Overhead Non-Labor</t>
        </is>
      </c>
      <c r="AD2434" s="7" t="inlineStr">
        <is>
          <t>83</t>
        </is>
      </c>
      <c r="AE2434" s="7" t="inlineStr">
        <is>
          <t>1B4B</t>
        </is>
      </c>
      <c r="AF2434" s="7" t="inlineStr">
        <is>
          <t>PNSY</t>
        </is>
      </c>
      <c r="AG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13" t="inlineStr">
        <is>
          <t>OMN Vol2 &gt; OP-5A &gt; PNSY &gt; Performance Data &gt; NMCI</t>
        </is>
      </c>
      <c r="AD2435" s="7" t="inlineStr">
        <is>
          <t>83</t>
        </is>
      </c>
      <c r="AE2435" s="7" t="inlineStr">
        <is>
          <t>1B4B</t>
        </is>
      </c>
      <c r="AF2435" s="7" t="inlineStr">
        <is>
          <t>PNSY</t>
        </is>
      </c>
      <c r="AG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13" t="inlineStr">
        <is>
          <t>OMN Vol2 &gt; OP-5A &gt; PNSY &gt; Performance Data &gt; Total</t>
        </is>
      </c>
      <c r="AD2436" s="7" t="inlineStr">
        <is>
          <t>83</t>
        </is>
      </c>
      <c r="AE2436" s="7" t="inlineStr">
        <is>
          <t>1B4B</t>
        </is>
      </c>
      <c r="AF2436" s="7" t="inlineStr">
        <is>
          <t>PNSY</t>
        </is>
      </c>
      <c r="AG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13" t="inlineStr">
        <is>
          <t>OMN Vol2 &gt; OP-5A &gt; PNSY &gt; Infrastructure &gt; Base Operating Support (OM,N)</t>
        </is>
      </c>
      <c r="AD2437" s="7" t="inlineStr">
        <is>
          <t>86</t>
        </is>
      </c>
      <c r="AE2437" s="7" t="inlineStr">
        <is>
          <t>1B4B</t>
        </is>
      </c>
      <c r="AF2437" s="7" t="inlineStr">
        <is>
          <t>PNSY</t>
        </is>
      </c>
      <c r="AG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13" t="inlineStr">
        <is>
          <t>OMN Vol2 &gt; OP-5A &gt; PNSY &gt; Infrastructure &gt; Capital Equipment (OP,N)</t>
        </is>
      </c>
      <c r="AD2438" s="7" t="inlineStr">
        <is>
          <t>86</t>
        </is>
      </c>
      <c r="AE2438" s="7" t="inlineStr">
        <is>
          <t>1B4B</t>
        </is>
      </c>
      <c r="AF2438" s="7" t="inlineStr">
        <is>
          <t>PNSY</t>
        </is>
      </c>
      <c r="AG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13" t="inlineStr">
        <is>
          <t>OMN Vol2 &gt; OP-5A &gt; PNSY &gt; Infrastructure &gt; Facilities Restoration &amp; Modernization (OM,N)</t>
        </is>
      </c>
      <c r="AD2439" s="7" t="inlineStr">
        <is>
          <t>86</t>
        </is>
      </c>
      <c r="AE2439" s="7" t="inlineStr">
        <is>
          <t>1B4B</t>
        </is>
      </c>
      <c r="AF2439" s="7" t="inlineStr">
        <is>
          <t>PNSY</t>
        </is>
      </c>
      <c r="AG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13" t="inlineStr">
        <is>
          <t>OMN Vol2 &gt; OP-5A &gt; PNSY &gt; Infrastructure &gt; Facilities Restoration &amp; Modernization (NWCF)</t>
        </is>
      </c>
      <c r="AD2440" s="7" t="inlineStr">
        <is>
          <t>86</t>
        </is>
      </c>
      <c r="AE2440" s="7" t="inlineStr">
        <is>
          <t>1B4B</t>
        </is>
      </c>
      <c r="AF2440" s="7" t="inlineStr">
        <is>
          <t>PNSY</t>
        </is>
      </c>
      <c r="AG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13" t="inlineStr">
        <is>
          <t>OMN Vol2 &gt; OP-5A &gt; PNSY &gt; Infrastructure &gt; Military Construction (MILCON)</t>
        </is>
      </c>
      <c r="AD2441" s="7" t="inlineStr">
        <is>
          <t>86</t>
        </is>
      </c>
      <c r="AE2441" s="7" t="inlineStr">
        <is>
          <t>1B4B</t>
        </is>
      </c>
      <c r="AF2441" s="7" t="inlineStr">
        <is>
          <t>PNSY</t>
        </is>
      </c>
      <c r="AG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13" t="inlineStr">
        <is>
          <t>OMN Vol2 &gt; OP-5A &gt; PNSY &gt; Infrastructure &gt; Total</t>
        </is>
      </c>
      <c r="AD2442" s="7" t="inlineStr">
        <is>
          <t>86</t>
        </is>
      </c>
      <c r="AE2442" s="7" t="inlineStr">
        <is>
          <t>1B4B</t>
        </is>
      </c>
      <c r="AF2442" s="7" t="inlineStr">
        <is>
          <t>PNSY</t>
        </is>
      </c>
      <c r="AG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13" t="inlineStr">
        <is>
          <t>OMN Vol2 &gt; OP-5A &gt; PNSY &gt; Capital Equipment &gt; RSC DD#2 Weather Protection</t>
        </is>
      </c>
      <c r="AD2443" s="7" t="inlineStr">
        <is>
          <t>86</t>
        </is>
      </c>
      <c r="AE2443" s="7" t="inlineStr">
        <is>
          <t>1B4B</t>
        </is>
      </c>
      <c r="AF2443" s="7" t="inlineStr">
        <is>
          <t>PNSY</t>
        </is>
      </c>
      <c r="AG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13" t="inlineStr">
        <is>
          <t>OMN Vol2 &gt; OP-5A &gt; PNSY &gt; Capital Equipment &gt; RSC Redesign ECE</t>
        </is>
      </c>
      <c r="AD2444" s="7" t="inlineStr">
        <is>
          <t>86</t>
        </is>
      </c>
      <c r="AE2444" s="7" t="inlineStr">
        <is>
          <t>1B4B</t>
        </is>
      </c>
      <c r="AF2444" s="7" t="inlineStr">
        <is>
          <t>PNSY</t>
        </is>
      </c>
      <c r="AG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13" t="inlineStr">
        <is>
          <t>OMN Vol2 &gt; OP-5A &gt; PNSY &gt; Capital Equipment &gt; VPT Platform increase</t>
        </is>
      </c>
      <c r="AD2445" s="7" t="inlineStr">
        <is>
          <t>86</t>
        </is>
      </c>
      <c r="AE2445" s="7" t="inlineStr">
        <is>
          <t>1B4B</t>
        </is>
      </c>
      <c r="AF2445" s="7" t="inlineStr">
        <is>
          <t>PNSY</t>
        </is>
      </c>
      <c r="AG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13" t="inlineStr">
        <is>
          <t>OMN Vol2 &gt; OP-5A &gt; PNSY &gt; Capital Equipment &gt; 42' Rotary Surface Grinder</t>
        </is>
      </c>
      <c r="AD2446" s="7" t="inlineStr">
        <is>
          <t>86</t>
        </is>
      </c>
      <c r="AE2446" s="7" t="inlineStr">
        <is>
          <t>1B4B</t>
        </is>
      </c>
      <c r="AF2446" s="7" t="inlineStr">
        <is>
          <t>PNSY</t>
        </is>
      </c>
      <c r="AG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13" t="inlineStr">
        <is>
          <t>OMN Vol2 &gt; OP-5A &gt; PNSY &gt; Capital Equipment &gt; Horizontal Honing Machine</t>
        </is>
      </c>
      <c r="AD2447" s="7" t="inlineStr">
        <is>
          <t>86</t>
        </is>
      </c>
      <c r="AE2447" s="7" t="inlineStr">
        <is>
          <t>1B4B</t>
        </is>
      </c>
      <c r="AF2447" s="7" t="inlineStr">
        <is>
          <t>PNSY</t>
        </is>
      </c>
      <c r="AG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13" t="inlineStr">
        <is>
          <t>OMN Vol2 &gt; OP-5A &gt; PNSY &gt; Capital Equipment &gt; Hydrostatic Test Tank</t>
        </is>
      </c>
      <c r="AD2448" s="7" t="inlineStr">
        <is>
          <t>86</t>
        </is>
      </c>
      <c r="AE2448" s="7" t="inlineStr">
        <is>
          <t>1B4B</t>
        </is>
      </c>
      <c r="AF2448" s="7" t="inlineStr">
        <is>
          <t>PNSY</t>
        </is>
      </c>
      <c r="AG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13" t="inlineStr">
        <is>
          <t>OMN Vol2 &gt; OP-5A &gt; PNSY &gt; Capital Equipment &gt; Coffer Dam Enclosure</t>
        </is>
      </c>
      <c r="AD2449" s="7" t="inlineStr">
        <is>
          <t>86</t>
        </is>
      </c>
      <c r="AE2449" s="7" t="inlineStr">
        <is>
          <t>1B4B</t>
        </is>
      </c>
      <c r="AF2449" s="7" t="inlineStr">
        <is>
          <t>PNSY</t>
        </is>
      </c>
      <c r="AG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13" t="inlineStr">
        <is>
          <t>OMN Vol2 &gt; OP-5A &gt; PNSY &gt; Capital Equipment &gt; DD#2 RSC Re-boot</t>
        </is>
      </c>
      <c r="AD2450" s="7" t="inlineStr">
        <is>
          <t>86</t>
        </is>
      </c>
      <c r="AE2450" s="7" t="inlineStr">
        <is>
          <t>1B4B</t>
        </is>
      </c>
      <c r="AF2450" s="7" t="inlineStr">
        <is>
          <t>PNSY</t>
        </is>
      </c>
      <c r="AG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13" t="inlineStr">
        <is>
          <t>OMN Vol2 &gt; OP-5A &gt; PNSY &gt; Capital Equipment &gt; DD#2 RSC Re-boot Design &amp; Labor</t>
        </is>
      </c>
      <c r="AD2451" s="7" t="inlineStr">
        <is>
          <t>86</t>
        </is>
      </c>
      <c r="AE2451" s="7" t="inlineStr">
        <is>
          <t>1B4B</t>
        </is>
      </c>
      <c r="AF2451" s="7" t="inlineStr">
        <is>
          <t>PNSY</t>
        </is>
      </c>
      <c r="AG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13" t="inlineStr">
        <is>
          <t>OMN Vol2 &gt; OP-5A &gt; PNSY &gt; Capital Equipment &gt; DD#2 RSC Early Work Package</t>
        </is>
      </c>
      <c r="AD2452" s="7" t="inlineStr">
        <is>
          <t>86</t>
        </is>
      </c>
      <c r="AE2452" s="7" t="inlineStr">
        <is>
          <t>1B4B</t>
        </is>
      </c>
      <c r="AF2452" s="7" t="inlineStr">
        <is>
          <t>PNSY</t>
        </is>
      </c>
      <c r="AG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13" t="inlineStr">
        <is>
          <t>OMN Vol2 &gt; OP-5A &gt; PNSY &gt; Capital Equipment &gt; DD#2 Intumescent Coating/Structural Shoring</t>
        </is>
      </c>
      <c r="AD2453" s="7" t="inlineStr">
        <is>
          <t>86</t>
        </is>
      </c>
      <c r="AE2453" s="7" t="inlineStr">
        <is>
          <t>1B4B</t>
        </is>
      </c>
      <c r="AF2453" s="7" t="inlineStr">
        <is>
          <t>PNSY</t>
        </is>
      </c>
      <c r="AG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13" t="inlineStr">
        <is>
          <t>OMN Vol2 &gt; OP-5A &gt; PNSY &gt; MILCON &gt; MULTI-MISSION DRY DOCK #1 EXTENSION, INCREMENT 4 of 7</t>
        </is>
      </c>
      <c r="AD2454" s="7" t="inlineStr">
        <is>
          <t>87</t>
        </is>
      </c>
      <c r="AE2454" s="7" t="inlineStr">
        <is>
          <t>1B4B</t>
        </is>
      </c>
      <c r="AF2454" s="7" t="inlineStr">
        <is>
          <t>PNSY</t>
        </is>
      </c>
      <c r="AG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13" t="inlineStr">
        <is>
          <t>OMN Vol2 &gt; OP-5A &gt; PNSY &gt; MILCON &gt; MULTI-MISSION DRY DOCK #1 EXTENSION, INCREMENT 5 of 7</t>
        </is>
      </c>
      <c r="AD2455" s="7" t="inlineStr">
        <is>
          <t>87</t>
        </is>
      </c>
      <c r="AE2455" s="7" t="inlineStr">
        <is>
          <t>1B4B</t>
        </is>
      </c>
      <c r="AF2455" s="7" t="inlineStr">
        <is>
          <t>PNSY</t>
        </is>
      </c>
      <c r="AG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13" t="inlineStr">
        <is>
          <t>OMN Vol2 &gt; OP-5A &gt; PNSY &gt; MILCON &gt; MULTI-MISSION DRY DOCK #1 EXTENSION, INCREMENT 6 of 7</t>
        </is>
      </c>
      <c r="AD2456" s="7" t="inlineStr">
        <is>
          <t>87</t>
        </is>
      </c>
      <c r="AE2456" s="7" t="inlineStr">
        <is>
          <t>1B4B</t>
        </is>
      </c>
      <c r="AF2456" s="7" t="inlineStr">
        <is>
          <t>PNSY</t>
        </is>
      </c>
      <c r="AG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13" t="inlineStr">
        <is>
          <t>OMN Vol2 &gt; OP-5A &gt; PNSY &gt; MILCON &gt; POWER RELIABILITY &amp; WATER RESILIENCY, INCREMENT 1 of 5</t>
        </is>
      </c>
      <c r="AD2457" s="7" t="inlineStr">
        <is>
          <t>87</t>
        </is>
      </c>
      <c r="AE2457" s="7" t="inlineStr">
        <is>
          <t>1B4B</t>
        </is>
      </c>
      <c r="AF2457" s="7" t="inlineStr">
        <is>
          <t>PNSY</t>
        </is>
      </c>
      <c r="AG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13" t="inlineStr">
        <is>
          <t>OMN Vol2 &gt; OP-5A &gt; PNSY &gt; Ship Availability &gt; SSN 752 USS PASADENA* - EOH</t>
        </is>
      </c>
      <c r="AD2458" s="7" t="inlineStr">
        <is>
          <t>88</t>
        </is>
      </c>
      <c r="AE2458" s="7" t="inlineStr">
        <is>
          <t>1B4B</t>
        </is>
      </c>
      <c r="AF2458" s="7" t="inlineStr">
        <is>
          <t>PNSY</t>
        </is>
      </c>
      <c r="AG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13" t="inlineStr">
        <is>
          <t>OMN Vol2 &gt; OP-5A &gt; PNSY &gt; Ship Availability &gt; SSN 757 USS ALEXANDRIA* 8/1/2013 3/1/2015 12/4/2013 8/12/2015 - EOH</t>
        </is>
      </c>
      <c r="AD2459" s="7" t="inlineStr">
        <is>
          <t>88</t>
        </is>
      </c>
      <c r="AE2459" s="7" t="inlineStr">
        <is>
          <t>1B4B</t>
        </is>
      </c>
      <c r="AF2459" s="7" t="inlineStr">
        <is>
          <t>PNSY</t>
        </is>
      </c>
      <c r="AG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13" t="inlineStr">
        <is>
          <t>OMN Vol2 &gt; OP-5A &gt; PNSY &gt; Ship Availability &gt; SSN 723 USS OKLAHOMA CITY* - DSRA</t>
        </is>
      </c>
      <c r="AD2460" s="7" t="inlineStr">
        <is>
          <t>88</t>
        </is>
      </c>
      <c r="AE2460" s="7" t="inlineStr">
        <is>
          <t>1B4B</t>
        </is>
      </c>
      <c r="AF2460" s="7" t="inlineStr">
        <is>
          <t>PNSY</t>
        </is>
      </c>
      <c r="AG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13" t="inlineStr">
        <is>
          <t>OMN Vol2 &gt; OP-5A &gt; PNSY &gt; Ship Availability &gt; SSN 751 USS SAN JUAN* - DSRA</t>
        </is>
      </c>
      <c r="AD2461" s="7" t="inlineStr">
        <is>
          <t>88</t>
        </is>
      </c>
      <c r="AE2461" s="7" t="inlineStr">
        <is>
          <t>1B4B</t>
        </is>
      </c>
      <c r="AF2461" s="7" t="inlineStr">
        <is>
          <t>PNSY</t>
        </is>
      </c>
      <c r="AG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13" t="inlineStr">
        <is>
          <t>OMN Vol2 &gt; OP-5A &gt; PNSY &gt; Ship Availability &gt; SSN 781 USS CALIFORNIA* - EDSRA</t>
        </is>
      </c>
      <c r="AD2462" s="7" t="inlineStr">
        <is>
          <t>88</t>
        </is>
      </c>
      <c r="AE2462" s="7" t="inlineStr">
        <is>
          <t>1B4B</t>
        </is>
      </c>
      <c r="AF2462" s="7" t="inlineStr">
        <is>
          <t>PNSY</t>
        </is>
      </c>
      <c r="AG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13" t="inlineStr">
        <is>
          <t>OMN Vol2 &gt; OP-5A &gt; PNSY &gt; Ship Availability &gt; SSN 775 USS TEXAS - DMP</t>
        </is>
      </c>
      <c r="AD2463" s="7" t="inlineStr">
        <is>
          <t>88</t>
        </is>
      </c>
      <c r="AE2463" s="7" t="inlineStr">
        <is>
          <t>1B4B</t>
        </is>
      </c>
      <c r="AF2463" s="7" t="inlineStr">
        <is>
          <t>PNSY</t>
        </is>
      </c>
      <c r="AG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13" t="inlineStr">
        <is>
          <t>OMN Vol2 &gt; OP-5A &gt; PNSY &gt; Ship Availability &gt; SSN 760 USS ANNAPOLIS* - DSRA</t>
        </is>
      </c>
      <c r="AD2464" s="7" t="inlineStr">
        <is>
          <t>88</t>
        </is>
      </c>
      <c r="AE2464" s="7" t="inlineStr">
        <is>
          <t>1B4B</t>
        </is>
      </c>
      <c r="AF2464" s="7" t="inlineStr">
        <is>
          <t>PNSY</t>
        </is>
      </c>
      <c r="AG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13" t="inlineStr">
        <is>
          <t>OMN Vol2 &gt; OP-5A &gt; PNSY &gt; Ship Availability &gt; SSN 772 USS GREENEVILLE - EOH</t>
        </is>
      </c>
      <c r="AD2465" s="7" t="inlineStr">
        <is>
          <t>88</t>
        </is>
      </c>
      <c r="AE2465" s="7" t="inlineStr">
        <is>
          <t>1B4B</t>
        </is>
      </c>
      <c r="AF2465" s="7" t="inlineStr">
        <is>
          <t>PNSY</t>
        </is>
      </c>
      <c r="AG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13" t="inlineStr">
        <is>
          <t>OMN Vol2 &gt; OP-5A &gt; PNSY &gt; Ship Availability &gt; SSN 773 USS CHEYENNE - ERO</t>
        </is>
      </c>
      <c r="AD2466" s="7" t="inlineStr">
        <is>
          <t>88</t>
        </is>
      </c>
      <c r="AE2466" s="7" t="inlineStr">
        <is>
          <t>1B4B</t>
        </is>
      </c>
      <c r="AF2466" s="7" t="inlineStr">
        <is>
          <t>PNSY</t>
        </is>
      </c>
      <c r="AG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13" t="inlineStr">
        <is>
          <t>OMN Vol2 &gt; OP-5A &gt; PNSY &gt; Ship Availability &gt; SSN 757 USS ALEXANDRIA - DSRA</t>
        </is>
      </c>
      <c r="AD2467" s="7" t="inlineStr">
        <is>
          <t>88</t>
        </is>
      </c>
      <c r="AE2467" s="7" t="inlineStr">
        <is>
          <t>1B4B</t>
        </is>
      </c>
      <c r="AF2467" s="7" t="inlineStr">
        <is>
          <t>PNSY</t>
        </is>
      </c>
      <c r="AG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13" t="inlineStr">
        <is>
          <t>OMN Vol2 &gt; OP-5A &gt; PNSY &gt; Ship Availability &gt; SSN 784 USS NORTH DAKOTA - EDSRA</t>
        </is>
      </c>
      <c r="AD2468" s="7" t="inlineStr">
        <is>
          <t>88</t>
        </is>
      </c>
      <c r="AE2468" s="7" t="inlineStr">
        <is>
          <t>1B4B</t>
        </is>
      </c>
      <c r="AF2468" s="7" t="inlineStr">
        <is>
          <t>PNSY</t>
        </is>
      </c>
      <c r="AG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13" t="inlineStr">
        <is>
          <t>OMN Vol2 &gt; OP-5A &gt; PNSY &gt; Ship Availability &gt; SSN 758 USS ASHEVILLE - DSRA</t>
        </is>
      </c>
      <c r="AD2469" s="7" t="inlineStr">
        <is>
          <t>88</t>
        </is>
      </c>
      <c r="AE2469" s="7" t="inlineStr">
        <is>
          <t>1B4B</t>
        </is>
      </c>
      <c r="AF2469" s="7" t="inlineStr">
        <is>
          <t>PNSY</t>
        </is>
      </c>
      <c r="AG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13" t="inlineStr">
        <is>
          <t>OMN Vol2 &gt; OP-5A &gt; PNSY &gt; Ship Availability &gt; SSN 787 USS WASHINGTON - EDSRA</t>
        </is>
      </c>
      <c r="AD2470" s="7" t="inlineStr">
        <is>
          <t>88</t>
        </is>
      </c>
      <c r="AE2470" s="7" t="inlineStr">
        <is>
          <t>1B4B</t>
        </is>
      </c>
      <c r="AF2470" s="7" t="inlineStr">
        <is>
          <t>PNSY</t>
        </is>
      </c>
      <c r="AG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13" t="inlineStr">
        <is>
          <t>OMN Vol2 &gt; OP-5A &gt; PNSY &gt; Ship Availability &gt; SSN 767 USS HAMPTON - ERO</t>
        </is>
      </c>
      <c r="AD2471" s="7" t="inlineStr">
        <is>
          <t>88</t>
        </is>
      </c>
      <c r="AE2471" s="7" t="inlineStr">
        <is>
          <t>1B4B</t>
        </is>
      </c>
      <c r="AF2471" s="7" t="inlineStr">
        <is>
          <t>PNSY</t>
        </is>
      </c>
      <c r="AG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13" t="inlineStr">
        <is>
          <t>OMN Vol2 &gt; OP-5A &gt; PNSY &gt; Ship Availability &gt; SSN 769 USS ALBANY - DSRA</t>
        </is>
      </c>
      <c r="AD2472" s="7" t="inlineStr">
        <is>
          <t>88</t>
        </is>
      </c>
      <c r="AE2472" s="7" t="inlineStr">
        <is>
          <t>1B4B</t>
        </is>
      </c>
      <c r="AF2472" s="7" t="inlineStr">
        <is>
          <t>PNSY</t>
        </is>
      </c>
      <c r="AG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13" t="inlineStr">
        <is>
          <t>OMN Vol2 &gt; OP-5A &gt; PNSY &gt; Ship Availability &gt; SSN 759 USS JEFFERSON CITY - DSRA</t>
        </is>
      </c>
      <c r="AD2473" s="7" t="inlineStr">
        <is>
          <t>88</t>
        </is>
      </c>
      <c r="AE2473" s="7" t="inlineStr">
        <is>
          <t>1B4B</t>
        </is>
      </c>
      <c r="AF2473" s="7" t="inlineStr">
        <is>
          <t>PNSY</t>
        </is>
      </c>
      <c r="AG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13" t="inlineStr">
        <is>
          <t>OMN Vol2 &gt; OP-5A &gt; PNSY &gt; Ship Availability &gt; SSN 779 USS NEW MEXICO - DMP</t>
        </is>
      </c>
      <c r="AD2474" s="7" t="inlineStr">
        <is>
          <t>88</t>
        </is>
      </c>
      <c r="AE2474" s="7" t="inlineStr">
        <is>
          <t>1B4B</t>
        </is>
      </c>
      <c r="AF2474" s="7" t="inlineStr">
        <is>
          <t>PNSY</t>
        </is>
      </c>
      <c r="AG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13" t="inlineStr">
        <is>
          <t>OMN Vol2 &gt; OP-5A &gt; NNSY &gt; Source of Funding &gt; Department of Navy</t>
        </is>
      </c>
      <c r="AD2475" s="7" t="inlineStr">
        <is>
          <t>89</t>
        </is>
      </c>
      <c r="AE2475" s="7" t="inlineStr">
        <is>
          <t>1B4B</t>
        </is>
      </c>
      <c r="AF2475" s="7" t="inlineStr">
        <is>
          <t>NNSY</t>
        </is>
      </c>
      <c r="AG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13" t="inlineStr">
        <is>
          <t>OMN Vol2 &gt; OP-5A &gt; NNSY &gt; Source of Funding &gt; Direct</t>
        </is>
      </c>
      <c r="AD2476" s="7" t="inlineStr">
        <is>
          <t>89</t>
        </is>
      </c>
      <c r="AE2476" s="7" t="inlineStr">
        <is>
          <t>1B4B</t>
        </is>
      </c>
      <c r="AF2476" s="7" t="inlineStr">
        <is>
          <t>NNSY</t>
        </is>
      </c>
      <c r="AG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13" t="inlineStr">
        <is>
          <t>OMN Vol2 &gt; OP-5A &gt; NNSY &gt; Source of Funding &gt; Operation &amp; Maintenance, Navy (Fleet, Base)</t>
        </is>
      </c>
      <c r="AD2477" s="7" t="inlineStr">
        <is>
          <t>89</t>
        </is>
      </c>
      <c r="AE2477" s="7" t="inlineStr">
        <is>
          <t>1B4B</t>
        </is>
      </c>
      <c r="AF2477" s="7" t="inlineStr">
        <is>
          <t>NNSY</t>
        </is>
      </c>
      <c r="AG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13" t="inlineStr">
        <is>
          <t>OMN Vol2 &gt; OP-5A &gt; NNSY &gt; Source of Funding &gt; Operation &amp; Maintenance, Navy (Fleet, OCO)</t>
        </is>
      </c>
      <c r="AD2478" s="7" t="inlineStr">
        <is>
          <t>89</t>
        </is>
      </c>
      <c r="AE2478" s="7" t="inlineStr">
        <is>
          <t>1B4B</t>
        </is>
      </c>
      <c r="AF2478" s="7" t="inlineStr">
        <is>
          <t>NNSY</t>
        </is>
      </c>
      <c r="AG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13" t="inlineStr">
        <is>
          <t>OMN Vol2 &gt; OP-5A &gt; NNSY &gt; Source of Funding &gt; Military Personnel, Navy (Fleet, MPN)</t>
        </is>
      </c>
      <c r="AD2479" s="7" t="inlineStr">
        <is>
          <t>89</t>
        </is>
      </c>
      <c r="AE2479" s="7" t="inlineStr">
        <is>
          <t>1B4B</t>
        </is>
      </c>
      <c r="AF2479" s="7" t="inlineStr">
        <is>
          <t>NNSY</t>
        </is>
      </c>
      <c r="AG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13" t="inlineStr">
        <is>
          <t>OMN Vol2 &gt; OP-5A &gt; NNSY &gt; Source of Funding &gt; Reimbursable</t>
        </is>
      </c>
      <c r="AD2480" s="7" t="inlineStr">
        <is>
          <t>89</t>
        </is>
      </c>
      <c r="AE2480" s="7" t="inlineStr">
        <is>
          <t>1B4B</t>
        </is>
      </c>
      <c r="AF2480" s="7" t="inlineStr">
        <is>
          <t>NNSY</t>
        </is>
      </c>
      <c r="AG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13" t="inlineStr">
        <is>
          <t>OMN Vol2 &gt; OP-5A &gt; NNSY &gt; Source of Funding &gt; Operation &amp; Maintenance, Navy</t>
        </is>
      </c>
      <c r="AD2481" s="7" t="inlineStr">
        <is>
          <t>89</t>
        </is>
      </c>
      <c r="AE2481" s="7" t="inlineStr">
        <is>
          <t>1B4B</t>
        </is>
      </c>
      <c r="AF2481" s="7" t="inlineStr">
        <is>
          <t>NNSY</t>
        </is>
      </c>
      <c r="AG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13" t="inlineStr">
        <is>
          <t>OMN Vol2 &gt; OP-5A &gt; NNSY &gt; Source of Funding &gt; Shipbuilding &amp; Conversion, Navy</t>
        </is>
      </c>
      <c r="AD2482" s="7" t="inlineStr">
        <is>
          <t>89</t>
        </is>
      </c>
      <c r="AE2482" s="7" t="inlineStr">
        <is>
          <t>1B4B</t>
        </is>
      </c>
      <c r="AF2482" s="7" t="inlineStr">
        <is>
          <t>NNSY</t>
        </is>
      </c>
      <c r="AG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13" t="inlineStr">
        <is>
          <t>OMN Vol2 &gt; OP-5A &gt; NNSY &gt; Source of Funding &gt; Other Procurement, Navy</t>
        </is>
      </c>
      <c r="AD2483" s="7" t="inlineStr">
        <is>
          <t>89</t>
        </is>
      </c>
      <c r="AE2483" s="7" t="inlineStr">
        <is>
          <t>1B4B</t>
        </is>
      </c>
      <c r="AF2483" s="7" t="inlineStr">
        <is>
          <t>NNSY</t>
        </is>
      </c>
      <c r="AG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13" t="inlineStr">
        <is>
          <t>OMN Vol2 &gt; OP-5A &gt; NNSY &gt; Source of Funding &gt; Procurement, Marine Corps</t>
        </is>
      </c>
      <c r="AD2484" s="7" t="inlineStr">
        <is>
          <t>89</t>
        </is>
      </c>
      <c r="AE2484" s="7" t="inlineStr">
        <is>
          <t>1B4B</t>
        </is>
      </c>
      <c r="AF2484" s="7" t="inlineStr">
        <is>
          <t>NNSY</t>
        </is>
      </c>
      <c r="AG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13" t="inlineStr">
        <is>
          <t>OMN Vol2 &gt; OP-5A &gt; NNSY &gt; Source of Funding &gt; Other Department of Navy</t>
        </is>
      </c>
      <c r="AD2485" s="7" t="inlineStr">
        <is>
          <t>89</t>
        </is>
      </c>
      <c r="AE2485" s="7" t="inlineStr">
        <is>
          <t>1B4B</t>
        </is>
      </c>
      <c r="AF2485" s="7" t="inlineStr">
        <is>
          <t>NNSY</t>
        </is>
      </c>
      <c r="AG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13" t="inlineStr">
        <is>
          <t>OMN Vol2 &gt; OP-5A &gt; NNSY &gt; Source of Funding &gt; Department of Defense</t>
        </is>
      </c>
      <c r="AD2486" s="7" t="inlineStr">
        <is>
          <t>89</t>
        </is>
      </c>
      <c r="AE2486" s="7" t="inlineStr">
        <is>
          <t>1B4B</t>
        </is>
      </c>
      <c r="AF2486" s="7" t="inlineStr">
        <is>
          <t>NNSY</t>
        </is>
      </c>
      <c r="AG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13" t="inlineStr">
        <is>
          <t>OMN Vol2 &gt; OP-5A &gt; NNSY &gt; Source of Funding &gt; Other Orders</t>
        </is>
      </c>
      <c r="AD2487" s="7" t="inlineStr">
        <is>
          <t>89</t>
        </is>
      </c>
      <c r="AE2487" s="7" t="inlineStr">
        <is>
          <t>1B4B</t>
        </is>
      </c>
      <c r="AF2487" s="7" t="inlineStr">
        <is>
          <t>NNSY</t>
        </is>
      </c>
      <c r="AG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13" t="inlineStr">
        <is>
          <t>OMN Vol2 &gt; OP-5A &gt; NNSY &gt; Source of Funding &gt; Other Federal Agencies</t>
        </is>
      </c>
      <c r="AD2488" s="7" t="inlineStr">
        <is>
          <t>89</t>
        </is>
      </c>
      <c r="AE2488" s="7" t="inlineStr">
        <is>
          <t>1B4B</t>
        </is>
      </c>
      <c r="AF2488" s="7" t="inlineStr">
        <is>
          <t>NNSY</t>
        </is>
      </c>
      <c r="AG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13" t="inlineStr">
        <is>
          <t>OMN Vol2 &gt; OP-5A &gt; NNSY &gt; Source of Funding &gt; Foreign Military Sales</t>
        </is>
      </c>
      <c r="AD2489" s="7" t="inlineStr">
        <is>
          <t>89</t>
        </is>
      </c>
      <c r="AE2489" s="7" t="inlineStr">
        <is>
          <t>1B4B</t>
        </is>
      </c>
      <c r="AF2489" s="7" t="inlineStr">
        <is>
          <t>NNSY</t>
        </is>
      </c>
      <c r="AG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13" t="inlineStr">
        <is>
          <t>OMN Vol2 &gt; OP-5A &gt; NNSY &gt; Source of Funding &gt; Other</t>
        </is>
      </c>
      <c r="AD2490" s="7" t="inlineStr">
        <is>
          <t>89</t>
        </is>
      </c>
      <c r="AE2490" s="7" t="inlineStr">
        <is>
          <t>1B4B</t>
        </is>
      </c>
      <c r="AF2490" s="7" t="inlineStr">
        <is>
          <t>NNSY</t>
        </is>
      </c>
      <c r="AG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13" t="inlineStr">
        <is>
          <t>OMN Vol2 &gt; OP-5A &gt; NNSY &gt; Source of Funding &gt; Total</t>
        </is>
      </c>
      <c r="AD2491" s="7" t="inlineStr">
        <is>
          <t>89</t>
        </is>
      </c>
      <c r="AE2491" s="7" t="inlineStr">
        <is>
          <t>1B4B</t>
        </is>
      </c>
      <c r="AF2491" s="7" t="inlineStr">
        <is>
          <t>NNSY</t>
        </is>
      </c>
      <c r="AG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13" t="inlineStr">
        <is>
          <t>OMN Vol2 &gt; OP-5A &gt; NNSY &gt; Performance Data &gt; Direct Civilian Labor</t>
        </is>
      </c>
      <c r="AD2492" s="7" t="inlineStr">
        <is>
          <t>90</t>
        </is>
      </c>
      <c r="AE2492" s="7" t="inlineStr">
        <is>
          <t>1B4B</t>
        </is>
      </c>
      <c r="AF2492" s="7" t="inlineStr">
        <is>
          <t>NNSY</t>
        </is>
      </c>
      <c r="AG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13" t="inlineStr">
        <is>
          <t>OMN Vol2 &gt; OP-5A &gt; NNSY &gt; Performance Data &gt; Direct Military Labor</t>
        </is>
      </c>
      <c r="AD2493" s="7" t="inlineStr">
        <is>
          <t>90</t>
        </is>
      </c>
      <c r="AE2493" s="7" t="inlineStr">
        <is>
          <t>1B4B</t>
        </is>
      </c>
      <c r="AF2493" s="7" t="inlineStr">
        <is>
          <t>NNSY</t>
        </is>
      </c>
      <c r="AG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13" t="inlineStr">
        <is>
          <t>OMN Vol2 &gt; OP-5A &gt; NNSY &gt; Performance Data &gt; Direct Material</t>
        </is>
      </c>
      <c r="AD2494" s="7" t="inlineStr">
        <is>
          <t>90</t>
        </is>
      </c>
      <c r="AE2494" s="7" t="inlineStr">
        <is>
          <t>1B4B</t>
        </is>
      </c>
      <c r="AF2494" s="7" t="inlineStr">
        <is>
          <t>NNSY</t>
        </is>
      </c>
      <c r="AG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13" t="inlineStr">
        <is>
          <t>OMN Vol2 &gt; OP-5A &gt; NNSY &gt; Performance Data &gt; Direct Contracts</t>
        </is>
      </c>
      <c r="AD2495" s="7" t="inlineStr">
        <is>
          <t>90</t>
        </is>
      </c>
      <c r="AE2495" s="7" t="inlineStr">
        <is>
          <t>1B4B</t>
        </is>
      </c>
      <c r="AF2495" s="7" t="inlineStr">
        <is>
          <t>NNSY</t>
        </is>
      </c>
      <c r="AG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13" t="inlineStr">
        <is>
          <t>OMN Vol2 &gt; OP-5A &gt; NNSY &gt; Performance Data &gt; Other Direct Costs</t>
        </is>
      </c>
      <c r="AD2496" s="7" t="inlineStr">
        <is>
          <t>90</t>
        </is>
      </c>
      <c r="AE2496" s="7" t="inlineStr">
        <is>
          <t>1B4B</t>
        </is>
      </c>
      <c r="AF2496" s="7" t="inlineStr">
        <is>
          <t>NNSY</t>
        </is>
      </c>
      <c r="AG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13" t="inlineStr">
        <is>
          <t>OMN Vol2 &gt; OP-5A &gt; NNSY &gt; Performance Data &gt; Overhead Civilian Labor</t>
        </is>
      </c>
      <c r="AD2497" s="7" t="inlineStr">
        <is>
          <t>90</t>
        </is>
      </c>
      <c r="AE2497" s="7" t="inlineStr">
        <is>
          <t>1B4B</t>
        </is>
      </c>
      <c r="AF2497" s="7" t="inlineStr">
        <is>
          <t>NNSY</t>
        </is>
      </c>
      <c r="AG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13" t="inlineStr">
        <is>
          <t>OMN Vol2 &gt; OP-5A &gt; NNSY &gt; Performance Data &gt; Overhead Military Labor</t>
        </is>
      </c>
      <c r="AD2498" s="7" t="inlineStr">
        <is>
          <t>90</t>
        </is>
      </c>
      <c r="AE2498" s="7" t="inlineStr">
        <is>
          <t>1B4B</t>
        </is>
      </c>
      <c r="AF2498" s="7" t="inlineStr">
        <is>
          <t>NNSY</t>
        </is>
      </c>
      <c r="AG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13" t="inlineStr">
        <is>
          <t>OMN Vol2 &gt; OP-5A &gt; NNSY &gt; Performance Data &gt; Overhead Non-Labor</t>
        </is>
      </c>
      <c r="AD2499" s="7" t="inlineStr">
        <is>
          <t>90</t>
        </is>
      </c>
      <c r="AE2499" s="7" t="inlineStr">
        <is>
          <t>1B4B</t>
        </is>
      </c>
      <c r="AF2499" s="7" t="inlineStr">
        <is>
          <t>NNSY</t>
        </is>
      </c>
      <c r="AG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13" t="inlineStr">
        <is>
          <t>OMN Vol2 &gt; OP-5A &gt; NNSY &gt; Performance Data &gt; NMCI</t>
        </is>
      </c>
      <c r="AD2500" s="7" t="inlineStr">
        <is>
          <t>90</t>
        </is>
      </c>
      <c r="AE2500" s="7" t="inlineStr">
        <is>
          <t>1B4B</t>
        </is>
      </c>
      <c r="AF2500" s="7" t="inlineStr">
        <is>
          <t>NNSY</t>
        </is>
      </c>
      <c r="AG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13" t="inlineStr">
        <is>
          <t>OMN Vol2 &gt; OP-5A &gt; NNSY &gt; Performance Data &gt; Total</t>
        </is>
      </c>
      <c r="AD2501" s="7" t="inlineStr">
        <is>
          <t>90</t>
        </is>
      </c>
      <c r="AE2501" s="7" t="inlineStr">
        <is>
          <t>1B4B</t>
        </is>
      </c>
      <c r="AF2501" s="7" t="inlineStr">
        <is>
          <t>NNSY</t>
        </is>
      </c>
      <c r="AG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13" t="inlineStr">
        <is>
          <t>OMN Vol2 &gt; OP-5A &gt; NNSY &gt; Infrastructure &gt; Base Operating Support (OM,N)</t>
        </is>
      </c>
      <c r="AD2502" s="7" t="inlineStr">
        <is>
          <t>93</t>
        </is>
      </c>
      <c r="AE2502" s="7" t="inlineStr">
        <is>
          <t>1B4B</t>
        </is>
      </c>
      <c r="AF2502" s="7" t="inlineStr">
        <is>
          <t>NNSY</t>
        </is>
      </c>
      <c r="AG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13" t="inlineStr">
        <is>
          <t>OMN Vol2 &gt; OP-5A &gt; NNSY &gt; Infrastructure &gt; Capital Equipment (OP,N)</t>
        </is>
      </c>
      <c r="AD2503" s="7" t="inlineStr">
        <is>
          <t>93</t>
        </is>
      </c>
      <c r="AE2503" s="7" t="inlineStr">
        <is>
          <t>1B4B</t>
        </is>
      </c>
      <c r="AF2503" s="7" t="inlineStr">
        <is>
          <t>NNSY</t>
        </is>
      </c>
      <c r="AG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13" t="inlineStr">
        <is>
          <t>OMN Vol2 &gt; OP-5A &gt; NNSY &gt; Infrastructure &gt; Facilities Restoration &amp; Modernization (OM,N)</t>
        </is>
      </c>
      <c r="AD2504" s="7" t="inlineStr">
        <is>
          <t>93</t>
        </is>
      </c>
      <c r="AE2504" s="7" t="inlineStr">
        <is>
          <t>1B4B</t>
        </is>
      </c>
      <c r="AF2504" s="7" t="inlineStr">
        <is>
          <t>NNSY</t>
        </is>
      </c>
      <c r="AG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13" t="inlineStr">
        <is>
          <t>OMN Vol2 &gt; OP-5A &gt; NNSY &gt; Infrastructure &gt; Facilities Restoration &amp; Modernization (NWCF)</t>
        </is>
      </c>
      <c r="AD2505" s="7" t="inlineStr">
        <is>
          <t>93</t>
        </is>
      </c>
      <c r="AE2505" s="7" t="inlineStr">
        <is>
          <t>1B4B</t>
        </is>
      </c>
      <c r="AF2505" s="7" t="inlineStr">
        <is>
          <t>NNSY</t>
        </is>
      </c>
      <c r="AG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13" t="inlineStr">
        <is>
          <t>OMN Vol2 &gt; OP-5A &gt; NNSY &gt; Infrastructure &gt; Military Construction (MILCON)</t>
        </is>
      </c>
      <c r="AD2506" s="7" t="inlineStr">
        <is>
          <t>93</t>
        </is>
      </c>
      <c r="AE2506" s="7" t="inlineStr">
        <is>
          <t>1B4B</t>
        </is>
      </c>
      <c r="AF2506" s="7" t="inlineStr">
        <is>
          <t>NNSY</t>
        </is>
      </c>
      <c r="AG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13" t="inlineStr">
        <is>
          <t>OMN Vol2 &gt; OP-5A &gt; NNSY &gt; Infrastructure &gt; Total</t>
        </is>
      </c>
      <c r="AD2507" s="7" t="inlineStr">
        <is>
          <t>93</t>
        </is>
      </c>
      <c r="AE2507" s="7" t="inlineStr">
        <is>
          <t>1B4B</t>
        </is>
      </c>
      <c r="AF2507" s="7" t="inlineStr">
        <is>
          <t>NNSY</t>
        </is>
      </c>
      <c r="AG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13" t="inlineStr">
        <is>
          <t>OMN Vol2 &gt; OP-5A &gt; NNSY &gt; Capital Equipment &gt; Abrasive Tumbler Blaster Foundation</t>
        </is>
      </c>
      <c r="AD2508" s="7" t="inlineStr">
        <is>
          <t>93</t>
        </is>
      </c>
      <c r="AE2508" s="7" t="inlineStr">
        <is>
          <t>1B4B</t>
        </is>
      </c>
      <c r="AF2508" s="7" t="inlineStr">
        <is>
          <t>NNSY</t>
        </is>
      </c>
      <c r="AG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13" t="inlineStr">
        <is>
          <t>OMN Vol2 &gt; OP-5A &gt; NNSY &gt; Capital Equipment &gt; Vindicator ESS</t>
        </is>
      </c>
      <c r="AD2509" s="7" t="inlineStr">
        <is>
          <t>93</t>
        </is>
      </c>
      <c r="AE2509" s="7" t="inlineStr">
        <is>
          <t>1B4B</t>
        </is>
      </c>
      <c r="AF2509" s="7" t="inlineStr">
        <is>
          <t>NNSY</t>
        </is>
      </c>
      <c r="AG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13" t="inlineStr">
        <is>
          <t>OMN Vol2 &gt; OP-5A &gt; NNSY &gt; Capital Equipment &gt; Security LAN with CCTV Replacement</t>
        </is>
      </c>
      <c r="AD2510" s="7" t="inlineStr">
        <is>
          <t>93</t>
        </is>
      </c>
      <c r="AE2510" s="7" t="inlineStr">
        <is>
          <t>1B4B</t>
        </is>
      </c>
      <c r="AF2510" s="7" t="inlineStr">
        <is>
          <t>NNSY</t>
        </is>
      </c>
      <c r="AG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13" t="inlineStr">
        <is>
          <t>OMN Vol2 &gt; OP-5A &gt; NNSY &gt; Capital Equipment &gt; 750 Ton Press Brake</t>
        </is>
      </c>
      <c r="AD2511" s="7" t="inlineStr">
        <is>
          <t>93</t>
        </is>
      </c>
      <c r="AE2511" s="7" t="inlineStr">
        <is>
          <t>1B4B</t>
        </is>
      </c>
      <c r="AF2511" s="7" t="inlineStr">
        <is>
          <t>NNSY</t>
        </is>
      </c>
      <c r="AG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13" t="inlineStr">
        <is>
          <t>OMN Vol2 &gt; OP-5A &gt; NNSY &gt; Capital Equipment &gt; Horizontal Turning Center, qty 4</t>
        </is>
      </c>
      <c r="AD2512" s="7" t="inlineStr">
        <is>
          <t>93</t>
        </is>
      </c>
      <c r="AE2512" s="7" t="inlineStr">
        <is>
          <t>1B4B</t>
        </is>
      </c>
      <c r="AF2512" s="7" t="inlineStr">
        <is>
          <t>NNSY</t>
        </is>
      </c>
      <c r="AG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13" t="inlineStr">
        <is>
          <t>OMN Vol2 &gt; OP-5A &gt; NNSY &gt; Capital Equipment &gt; Pure Water Trailers, qty 2</t>
        </is>
      </c>
      <c r="AD2513" s="7" t="inlineStr">
        <is>
          <t>93</t>
        </is>
      </c>
      <c r="AE2513" s="7" t="inlineStr">
        <is>
          <t>1B4B</t>
        </is>
      </c>
      <c r="AF2513" s="7" t="inlineStr">
        <is>
          <t>NNSY</t>
        </is>
      </c>
      <c r="AG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13" t="inlineStr">
        <is>
          <t>OMN Vol2 &gt; OP-5A &gt; NNSY &gt; Capital Equipment &gt; Portal Crane, 175 Ton</t>
        </is>
      </c>
      <c r="AD2514" s="7" t="inlineStr">
        <is>
          <t>93</t>
        </is>
      </c>
      <c r="AE2514" s="7" t="inlineStr">
        <is>
          <t>1B4B</t>
        </is>
      </c>
      <c r="AF2514" s="7" t="inlineStr">
        <is>
          <t>NNSY</t>
        </is>
      </c>
      <c r="AG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13" t="inlineStr">
        <is>
          <t>OMN Vol2 &gt; OP-5A &gt; NNSY &gt; Capital Equipment &gt; DD3 Utility Bridge Design</t>
        </is>
      </c>
      <c r="AD2515" s="7" t="inlineStr">
        <is>
          <t>93</t>
        </is>
      </c>
      <c r="AE2515" s="7" t="inlineStr">
        <is>
          <t>1B4B</t>
        </is>
      </c>
      <c r="AF2515" s="7" t="inlineStr">
        <is>
          <t>NNSY</t>
        </is>
      </c>
      <c r="AG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13" t="inlineStr">
        <is>
          <t>OMN Vol2 &gt; OP-5A &gt; NNSY &gt; Capital Equipment &gt; Pure Water Trailers, qty 2</t>
        </is>
      </c>
      <c r="AD2516" s="7" t="inlineStr">
        <is>
          <t>93</t>
        </is>
      </c>
      <c r="AE2516" s="7" t="inlineStr">
        <is>
          <t>1B4B</t>
        </is>
      </c>
      <c r="AF2516" s="7" t="inlineStr">
        <is>
          <t>NNSY</t>
        </is>
      </c>
      <c r="AG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13" t="inlineStr">
        <is>
          <t>OMN Vol2 &gt; OP-5A &gt; NNSY &gt; Capital Equipment &gt; Electronic Security System Scope Increase</t>
        </is>
      </c>
      <c r="AD2517" s="7" t="inlineStr">
        <is>
          <t>93</t>
        </is>
      </c>
      <c r="AE2517" s="7" t="inlineStr">
        <is>
          <t>1B4B</t>
        </is>
      </c>
      <c r="AF2517" s="7" t="inlineStr">
        <is>
          <t>NNSY</t>
        </is>
      </c>
      <c r="AG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13" t="inlineStr">
        <is>
          <t>OMN Vol2 &gt; OP-5A &gt; NNSY &gt; Capital Equipment &gt; VARIOUS NSYs: Various Equipment</t>
        </is>
      </c>
      <c r="AD2518" s="7" t="inlineStr">
        <is>
          <t>93</t>
        </is>
      </c>
      <c r="AE2518" s="7" t="inlineStr">
        <is>
          <t>1B4B</t>
        </is>
      </c>
      <c r="AF2518" s="7" t="inlineStr">
        <is>
          <t>NNSY</t>
        </is>
      </c>
      <c r="AG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13" t="inlineStr">
        <is>
          <t>OMN Vol2 &gt; OP-5A &gt; NNSY &gt; MILCON &gt; DRY DOCK SALTWATER SYSTEM FOR CVN-78, INCREMENT 3 of 3</t>
        </is>
      </c>
      <c r="AD2519" s="7" t="inlineStr">
        <is>
          <t>94</t>
        </is>
      </c>
      <c r="AE2519" s="7" t="inlineStr">
        <is>
          <t>1B4B</t>
        </is>
      </c>
      <c r="AF2519" s="7" t="inlineStr">
        <is>
          <t>NNSY</t>
        </is>
      </c>
      <c r="AG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13" t="inlineStr">
        <is>
          <t>OMN Vol2 &gt; OP-5A &gt; NNSY &gt; MILCON &gt; DD 3 MODERNIZATION, INCREMENT 1 of 5</t>
        </is>
      </c>
      <c r="AD2520" s="7" t="inlineStr">
        <is>
          <t>94</t>
        </is>
      </c>
      <c r="AE2520" s="7" t="inlineStr">
        <is>
          <t>1B4B</t>
        </is>
      </c>
      <c r="AF2520" s="7" t="inlineStr">
        <is>
          <t>NNSY</t>
        </is>
      </c>
      <c r="AG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13" t="inlineStr">
        <is>
          <t>OMN Vol2 &gt; OP-5A &gt; NNSY &gt; MILCON &gt; DD 3 MODERNIZATION, INCREMENT 2 of 5</t>
        </is>
      </c>
      <c r="AD2521" s="7" t="inlineStr">
        <is>
          <t>94</t>
        </is>
      </c>
      <c r="AE2521" s="7" t="inlineStr">
        <is>
          <t>1B4B</t>
        </is>
      </c>
      <c r="AF2521" s="7" t="inlineStr">
        <is>
          <t>NNSY</t>
        </is>
      </c>
      <c r="AG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13" t="inlineStr">
        <is>
          <t>OMN Vol2 &gt; OP-5A &gt; NNSY &gt; MILCON &gt; ELECTRICAL DISTRIBUTION UPGRADES, INCREMENT 1 of 3</t>
        </is>
      </c>
      <c r="AD2522" s="7" t="inlineStr">
        <is>
          <t>94</t>
        </is>
      </c>
      <c r="AE2522" s="7" t="inlineStr">
        <is>
          <t>1B4B</t>
        </is>
      </c>
      <c r="AF2522" s="7" t="inlineStr">
        <is>
          <t>NNSY</t>
        </is>
      </c>
      <c r="AG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13" t="inlineStr">
        <is>
          <t>OMN Vol2 &gt; OP-5A &gt; NNSY &gt; Ship Availability &gt; SSN 765 USS MONTPELIER* - DSRA</t>
        </is>
      </c>
      <c r="AD2523" s="7" t="inlineStr">
        <is>
          <t>95</t>
        </is>
      </c>
      <c r="AE2523" s="7" t="inlineStr">
        <is>
          <t>1B4B</t>
        </is>
      </c>
      <c r="AF2523" s="7" t="inlineStr">
        <is>
          <t>NNSY</t>
        </is>
      </c>
      <c r="AG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13" t="inlineStr">
        <is>
          <t>OMN Vol2 &gt; OP-5A &gt; NNSY &gt; Ship Availability &gt; AS 41 USS MCKEE - IA</t>
        </is>
      </c>
      <c r="AD2524" s="7" t="inlineStr">
        <is>
          <t>95</t>
        </is>
      </c>
      <c r="AE2524" s="7" t="inlineStr">
        <is>
          <t>1B4B</t>
        </is>
      </c>
      <c r="AF2524" s="7" t="inlineStr">
        <is>
          <t>NNSY</t>
        </is>
      </c>
      <c r="AG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13" t="inlineStr">
        <is>
          <t>OMN Vol2 &gt; OP-5A &gt; NNSY &gt; Ship Availability &gt; SSN 752 USS PASADENA* - DSRA</t>
        </is>
      </c>
      <c r="AD2525" s="7" t="inlineStr">
        <is>
          <t>95</t>
        </is>
      </c>
      <c r="AE2525" s="7" t="inlineStr">
        <is>
          <t>1B4B</t>
        </is>
      </c>
      <c r="AF2525" s="7" t="inlineStr">
        <is>
          <t>NNSY</t>
        </is>
      </c>
      <c r="AG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13" t="inlineStr">
        <is>
          <t>OMN Vol2 &gt; OP-5A &gt; NNSY &gt; Ship Availability &gt; SSN 769 USS TOLEDO - EOH</t>
        </is>
      </c>
      <c r="AD2526" s="7" t="inlineStr">
        <is>
          <t>95</t>
        </is>
      </c>
      <c r="AE2526" s="7" t="inlineStr">
        <is>
          <t>1B4B</t>
        </is>
      </c>
      <c r="AF2526" s="7" t="inlineStr">
        <is>
          <t>NNSY</t>
        </is>
      </c>
      <c r="AG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13" t="inlineStr">
        <is>
          <t>OMN Vol2 &gt; OP-5A &gt; NNSY &gt; Ship Availability &gt; MTS 635 MTS SAMUEL RAYBURN - IA</t>
        </is>
      </c>
      <c r="AD2527" s="7" t="inlineStr">
        <is>
          <t>95</t>
        </is>
      </c>
      <c r="AE2527" s="7" t="inlineStr">
        <is>
          <t>1B4B</t>
        </is>
      </c>
      <c r="AF2527" s="7" t="inlineStr">
        <is>
          <t>NNSY</t>
        </is>
      </c>
      <c r="AG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13" t="inlineStr">
        <is>
          <t>OMN Vol2 &gt; OP-5A &gt; NNSY &gt; Ship Availability &gt; SSN 785 USS JOHN WARNER - EDSRA</t>
        </is>
      </c>
      <c r="AD2528" s="7" t="inlineStr">
        <is>
          <t>95</t>
        </is>
      </c>
      <c r="AE2528" s="7" t="inlineStr">
        <is>
          <t>1B4B</t>
        </is>
      </c>
      <c r="AF2528" s="7" t="inlineStr">
        <is>
          <t>NNSY</t>
        </is>
      </c>
      <c r="AG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13" t="inlineStr">
        <is>
          <t>OMN Vol2 &gt; OP-5A &gt; NNSY &gt; Ship Availability &gt; LHD 3 USS KEARSARGE - DPMA</t>
        </is>
      </c>
      <c r="AD2529" s="7" t="inlineStr">
        <is>
          <t>95</t>
        </is>
      </c>
      <c r="AE2529" s="7" t="inlineStr">
        <is>
          <t>1B4B</t>
        </is>
      </c>
      <c r="AF2529" s="7" t="inlineStr">
        <is>
          <t>NNSY</t>
        </is>
      </c>
      <c r="AG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13" t="inlineStr">
        <is>
          <t>OMN Vol2 &gt; OP-5A &gt; NNSY &gt; Ship Availability &gt; CVN 75 USS HARRY S TRUMAN - PIA</t>
        </is>
      </c>
      <c r="AD2530" s="7" t="inlineStr">
        <is>
          <t>95</t>
        </is>
      </c>
      <c r="AE2530" s="7" t="inlineStr">
        <is>
          <t>1B4B</t>
        </is>
      </c>
      <c r="AF2530" s="7" t="inlineStr">
        <is>
          <t>NNSY</t>
        </is>
      </c>
      <c r="AG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 / SSGN</t>
        </is>
      </c>
      <c r="O2531" s="15" t="n"/>
      <c r="AC2531" s="13" t="inlineStr">
        <is>
          <t>OMN Vol2 &gt; OP-5A &gt; NNSY &gt; Ship Availability &gt; SSBN 736 USS WEST VIRGINIA - ERP</t>
        </is>
      </c>
      <c r="AD2531" s="7" t="inlineStr">
        <is>
          <t>95</t>
        </is>
      </c>
      <c r="AE2531" s="7" t="inlineStr">
        <is>
          <t>1B4B</t>
        </is>
      </c>
      <c r="AF2531" s="7" t="inlineStr">
        <is>
          <t>NNSY</t>
        </is>
      </c>
      <c r="AG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13" t="inlineStr">
        <is>
          <t>OMN Vol2 &gt; OP-5A &gt; NNSY &gt; Ship Availability &gt; CVN 77 USS GEORGE H.W. BUSH - PIA</t>
        </is>
      </c>
      <c r="AD2532" s="7" t="inlineStr">
        <is>
          <t>95</t>
        </is>
      </c>
      <c r="AE2532" s="7" t="inlineStr">
        <is>
          <t>1B4B</t>
        </is>
      </c>
      <c r="AF2532" s="7" t="inlineStr">
        <is>
          <t>NNSY</t>
        </is>
      </c>
      <c r="AG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 / SSGN</t>
        </is>
      </c>
      <c r="O2533" s="15" t="n"/>
      <c r="AC2533" s="13" t="inlineStr">
        <is>
          <t>OMN Vol2 &gt; OP-5A &gt; NNSY &gt; Ship Availability &gt; SSGN 728 USS FLORIDA - MMP</t>
        </is>
      </c>
      <c r="AD2533" s="7" t="inlineStr">
        <is>
          <t>95</t>
        </is>
      </c>
      <c r="AE2533" s="7" t="inlineStr">
        <is>
          <t>1B4B</t>
        </is>
      </c>
      <c r="AF2533" s="7" t="inlineStr">
        <is>
          <t>NNSY</t>
        </is>
      </c>
      <c r="AG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13" t="inlineStr">
        <is>
          <t>OMN Vol2 &gt; OP-5A &gt; NNSY &gt; Ship Availability &gt; CVN 78 USS GERALD R. FORD - CIA</t>
        </is>
      </c>
      <c r="AD2534" s="7" t="inlineStr">
        <is>
          <t>95</t>
        </is>
      </c>
      <c r="AE2534" s="7" t="inlineStr">
        <is>
          <t>1B4B</t>
        </is>
      </c>
      <c r="AF2534" s="7" t="inlineStr">
        <is>
          <t>NNSY</t>
        </is>
      </c>
      <c r="AG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13" t="inlineStr">
        <is>
          <t>OMN Vol2 &gt; OP-5A &gt; NNSY &gt; Ship Availability &gt; SSN 765 USS MONTPELIER - EOH</t>
        </is>
      </c>
      <c r="AD2535" s="7" t="inlineStr">
        <is>
          <t>95</t>
        </is>
      </c>
      <c r="AE2535" s="7" t="inlineStr">
        <is>
          <t>1B4B</t>
        </is>
      </c>
      <c r="AF2535" s="7" t="inlineStr">
        <is>
          <t>NNSY</t>
        </is>
      </c>
      <c r="AG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13" t="inlineStr">
        <is>
          <t>OMN Vol2 &gt; OP-5A &gt; NNSY &gt; Ship Availability &gt; CVN 73 USS GEORGE WASHINGTON - SRA</t>
        </is>
      </c>
      <c r="AD2536" s="7" t="inlineStr">
        <is>
          <t>95</t>
        </is>
      </c>
      <c r="AE2536" s="7" t="inlineStr">
        <is>
          <t>1B4B</t>
        </is>
      </c>
      <c r="AF2536" s="7" t="inlineStr">
        <is>
          <t>NNSY</t>
        </is>
      </c>
      <c r="AG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13" t="inlineStr">
        <is>
          <t>OMN Vol2 &gt; OP-5A &gt; NNSY &gt; Ship Availability &gt; CVN 69 USS DWIGHT D EISENHOWER - PIA</t>
        </is>
      </c>
      <c r="AD2537" s="7" t="inlineStr">
        <is>
          <t>95</t>
        </is>
      </c>
      <c r="AE2537" s="7" t="inlineStr">
        <is>
          <t>1B4B</t>
        </is>
      </c>
      <c r="AF2537" s="7" t="inlineStr">
        <is>
          <t>NNSY</t>
        </is>
      </c>
      <c r="AG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 / SSGN</t>
        </is>
      </c>
      <c r="O2538" s="15" t="n"/>
      <c r="AC2538" s="13" t="inlineStr">
        <is>
          <t>OMN Vol2 &gt; OP-5A &gt; NNSY &gt; Ship Availability &gt; SSBN 738 USS MARYLAND - ERP</t>
        </is>
      </c>
      <c r="AD2538" s="7" t="inlineStr">
        <is>
          <t>95</t>
        </is>
      </c>
      <c r="AE2538" s="7" t="inlineStr">
        <is>
          <t>1B4B</t>
        </is>
      </c>
      <c r="AF2538" s="7" t="inlineStr">
        <is>
          <t>NNSY</t>
        </is>
      </c>
      <c r="AG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 / SSGN</t>
        </is>
      </c>
      <c r="O2539" s="15" t="n"/>
      <c r="AC2539" s="13" t="inlineStr">
        <is>
          <t>OMN Vol2 &gt; OP-5A &gt; NNSY &gt; Ship Availability &gt; SSGN 729 USS GEORGIA - MMP</t>
        </is>
      </c>
      <c r="AD2539" s="7" t="inlineStr">
        <is>
          <t>95</t>
        </is>
      </c>
      <c r="AE2539" s="7" t="inlineStr">
        <is>
          <t>1B4B</t>
        </is>
      </c>
      <c r="AF2539" s="7" t="inlineStr">
        <is>
          <t>NNSY</t>
        </is>
      </c>
      <c r="AG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13" t="inlineStr">
        <is>
          <t>OMN Vol2 &gt; OP-5A &gt; NNSY &gt; Ship Availability &gt; SSN 778 USS NEW HAMPSHIRE - DMP</t>
        </is>
      </c>
      <c r="AD2540" s="7" t="inlineStr">
        <is>
          <t>95</t>
        </is>
      </c>
      <c r="AE2540" s="7" t="inlineStr">
        <is>
          <t>1B4B</t>
        </is>
      </c>
      <c r="AF2540" s="7" t="inlineStr">
        <is>
          <t>NNSY</t>
        </is>
      </c>
      <c r="AG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13" t="inlineStr">
        <is>
          <t>OMN Vol2 &gt; OP-5A &gt; NNSY &gt; Ship Availability &gt; SSN 778 USS NEW HAMPSHIRE - DMP</t>
        </is>
      </c>
      <c r="AD2541" s="7" t="inlineStr">
        <is>
          <t>95</t>
        </is>
      </c>
      <c r="AE2541" s="7" t="inlineStr">
        <is>
          <t>1B4B</t>
        </is>
      </c>
      <c r="AF2541" s="7" t="inlineStr">
        <is>
          <t>NNSY</t>
        </is>
      </c>
      <c r="AG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13" t="inlineStr">
        <is>
          <t>OMN Vol2 &gt; OP-5A &gt; NNSY &gt; Ship Availability &gt; CVN 68 USS NIMITZ - IA</t>
        </is>
      </c>
      <c r="AD2542" s="7" t="inlineStr">
        <is>
          <t>95</t>
        </is>
      </c>
      <c r="AE2542" s="7" t="inlineStr">
        <is>
          <t>1B4B</t>
        </is>
      </c>
      <c r="AF2542" s="7" t="inlineStr">
        <is>
          <t>NNSY</t>
        </is>
      </c>
      <c r="AG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13" t="inlineStr">
        <is>
          <t>OMN Vol2 &gt; OP-5A &gt; NNSY &gt; Ship Availability &gt; CVN 78 USS GERALD R. FORD - PIA</t>
        </is>
      </c>
      <c r="AD2543" s="7" t="inlineStr">
        <is>
          <t>95</t>
        </is>
      </c>
      <c r="AE2543" s="7" t="inlineStr">
        <is>
          <t>1B4B</t>
        </is>
      </c>
      <c r="AF2543" s="7" t="inlineStr">
        <is>
          <t>NNSY</t>
        </is>
      </c>
      <c r="AG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13" t="inlineStr">
        <is>
          <t>OMN Vol2 &gt; PB-61 &gt; OMN &gt; Ships &gt; Continuous Maintenance &gt; AMPHIBS</t>
        </is>
      </c>
      <c r="AD2544" s="7" t="inlineStr">
        <is>
          <t>108</t>
        </is>
      </c>
      <c r="AE2544" s="7" t="inlineStr">
        <is>
          <t>1B4B</t>
        </is>
      </c>
      <c r="AF2544" s="7" t="inlineStr">
        <is>
          <t>OMN &gt; Ships &gt; Continuous Maintenance</t>
        </is>
      </c>
      <c r="AG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13" t="inlineStr">
        <is>
          <t>OMN Vol2 &gt; PB-61 &gt; OMN &gt; Ships &gt; Continuous Maintenance &gt; CG</t>
        </is>
      </c>
      <c r="AD2545" s="7" t="inlineStr">
        <is>
          <t>108</t>
        </is>
      </c>
      <c r="AE2545" s="7" t="inlineStr">
        <is>
          <t>1B4B</t>
        </is>
      </c>
      <c r="AF2545" s="7" t="inlineStr">
        <is>
          <t>OMN &gt; Ships &gt; Continuous Maintenance</t>
        </is>
      </c>
      <c r="AG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13" t="inlineStr">
        <is>
          <t>OMN Vol2 &gt; PB-61 &gt; OMN &gt; Ships &gt; Continuous Maintenance &gt; DDG</t>
        </is>
      </c>
      <c r="AD2546" s="7" t="inlineStr">
        <is>
          <t>108</t>
        </is>
      </c>
      <c r="AE2546" s="7" t="inlineStr">
        <is>
          <t>1B4B</t>
        </is>
      </c>
      <c r="AF2546" s="7" t="inlineStr">
        <is>
          <t>OMN &gt; Ships &gt; Continuous Maintenance</t>
        </is>
      </c>
      <c r="AG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13" t="inlineStr">
        <is>
          <t>OMN Vol2 &gt; PB-61 &gt; OMN &gt; Ships &gt; Continuous Maintenance &gt; DDG 1000</t>
        </is>
      </c>
      <c r="AD2547" s="7" t="inlineStr">
        <is>
          <t>108</t>
        </is>
      </c>
      <c r="AE2547" s="7" t="inlineStr">
        <is>
          <t>1B4B</t>
        </is>
      </c>
      <c r="AF2547" s="7" t="inlineStr">
        <is>
          <t>OMN &gt; Ships &gt; Continuous Maintenance</t>
        </is>
      </c>
      <c r="AG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13" t="inlineStr">
        <is>
          <t>OMN Vol2 &gt; PB-61 &gt; OMN &gt; Ships &gt; Continuous Maintenance &gt; LCAC</t>
        </is>
      </c>
      <c r="AD2548" s="7" t="inlineStr">
        <is>
          <t>108</t>
        </is>
      </c>
      <c r="AE2548" s="7" t="inlineStr">
        <is>
          <t>1B4B</t>
        </is>
      </c>
      <c r="AF2548" s="7" t="inlineStr">
        <is>
          <t>OMN &gt; Ships &gt; Continuous Maintenance</t>
        </is>
      </c>
      <c r="AG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13" t="inlineStr">
        <is>
          <t>OMN Vol2 &gt; PB-61 &gt; OMN &gt; Ships &gt; Continuous Maintenance &gt; LCS</t>
        </is>
      </c>
      <c r="AD2549" s="7" t="inlineStr">
        <is>
          <t>109</t>
        </is>
      </c>
      <c r="AE2549" s="7" t="inlineStr">
        <is>
          <t>1B4B</t>
        </is>
      </c>
      <c r="AF2549" s="7" t="inlineStr">
        <is>
          <t>OMN &gt; Ships &gt; Continuous Maintenance - LCS MCM Mission Packages</t>
        </is>
      </c>
      <c r="AG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13" t="inlineStr">
        <is>
          <t>OMN Vol2 &gt; PB-61 &gt; OMN &gt; Ships &gt; Continuous Maintenance &gt; MINESWEEPERS</t>
        </is>
      </c>
      <c r="AD2550" s="7" t="inlineStr">
        <is>
          <t>109</t>
        </is>
      </c>
      <c r="AE2550" s="7" t="inlineStr">
        <is>
          <t>1B4B</t>
        </is>
      </c>
      <c r="AF2550" s="7" t="inlineStr">
        <is>
          <t>OMN &gt; Ships &gt; Continuous Maintenance</t>
        </is>
      </c>
      <c r="AG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13" t="inlineStr">
        <is>
          <t>OMN Vol2 &gt; PB-61 &gt; OMN &gt; Ships &gt; Continuous Maintenance &gt; Other</t>
        </is>
      </c>
      <c r="AD2551" s="7" t="inlineStr">
        <is>
          <t>109</t>
        </is>
      </c>
      <c r="AE2551" s="7" t="inlineStr">
        <is>
          <t>1B4B</t>
        </is>
      </c>
      <c r="AF2551" s="7" t="inlineStr">
        <is>
          <t>OMN &gt; Ships &gt; Continuous Maintenance</t>
        </is>
      </c>
      <c r="AG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13" t="inlineStr">
        <is>
          <t>OMN Vol2 &gt; PB-61 &gt; OMN &gt; Ships &gt; Other &gt; AEGIS ASHORE</t>
        </is>
      </c>
      <c r="AD2552" s="7" t="inlineStr">
        <is>
          <t>109</t>
        </is>
      </c>
      <c r="AE2552" s="7" t="inlineStr">
        <is>
          <t>1B4B</t>
        </is>
      </c>
      <c r="AF2552" s="7" t="inlineStr">
        <is>
          <t>OMN &gt; Ships &gt; Other</t>
        </is>
      </c>
      <c r="AG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13" t="inlineStr">
        <is>
          <t>OMN Vol2 &gt; PB-61 &gt; OMN &gt; Ships &gt; Other &gt; AFDL-AFDM-ARS</t>
        </is>
      </c>
      <c r="AD2553" s="7" t="inlineStr">
        <is>
          <t>109</t>
        </is>
      </c>
      <c r="AE2553" s="7" t="inlineStr">
        <is>
          <t>1B4B</t>
        </is>
      </c>
      <c r="AF2553" s="7" t="inlineStr">
        <is>
          <t>OMN &gt; Ships &gt; Other</t>
        </is>
      </c>
      <c r="AG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13" t="inlineStr">
        <is>
          <t>OMN Vol2 &gt; PB-61 &gt; OMN &gt; Ships &gt; Other &gt; AGF-LCC</t>
        </is>
      </c>
      <c r="AD2554" s="7" t="inlineStr">
        <is>
          <t>109</t>
        </is>
      </c>
      <c r="AE2554" s="7" t="inlineStr">
        <is>
          <t>1B4B</t>
        </is>
      </c>
      <c r="AF2554" s="7" t="inlineStr">
        <is>
          <t>OMN &gt; Ships &gt; Other</t>
        </is>
      </c>
      <c r="AG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13" t="inlineStr">
        <is>
          <t>OMN Vol2 &gt; PB-61 &gt; OMN &gt; Ships &gt; Other &gt; AMPHIBS</t>
        </is>
      </c>
      <c r="AD2555" s="7" t="inlineStr">
        <is>
          <t>109</t>
        </is>
      </c>
      <c r="AE2555" s="7" t="inlineStr">
        <is>
          <t>1B4B</t>
        </is>
      </c>
      <c r="AF2555" s="7" t="inlineStr">
        <is>
          <t>OMN &gt; Ships &gt; Other</t>
        </is>
      </c>
      <c r="AG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13" t="inlineStr">
        <is>
          <t>OMN Vol2 &gt; PB-61 &gt; OMN &gt; Ships &gt; Other &gt; ARDM-AS</t>
        </is>
      </c>
      <c r="AD2556" s="7" t="inlineStr">
        <is>
          <t>109</t>
        </is>
      </c>
      <c r="AE2556" s="7" t="inlineStr">
        <is>
          <t>1B4B</t>
        </is>
      </c>
      <c r="AF2556" s="7" t="inlineStr">
        <is>
          <t>OMN &gt; Ships &gt; Other</t>
        </is>
      </c>
      <c r="AG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13" t="inlineStr">
        <is>
          <t>OMN Vol2 &gt; PB-61 &gt; OMN &gt; Ships &gt; Other &gt; AS-ARDM</t>
        </is>
      </c>
      <c r="AD2557" s="7" t="inlineStr">
        <is>
          <t>109</t>
        </is>
      </c>
      <c r="AE2557" s="7" t="inlineStr">
        <is>
          <t>1B4B</t>
        </is>
      </c>
      <c r="AF2557" s="7" t="inlineStr">
        <is>
          <t>OMN &gt; Ships &gt; Other</t>
        </is>
      </c>
      <c r="AG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13" t="inlineStr">
        <is>
          <t>OMN Vol2 &gt; PB-61 &gt; OMN &gt; Ships &gt; Other &gt; CG</t>
        </is>
      </c>
      <c r="AD2558" s="7" t="inlineStr">
        <is>
          <t>109</t>
        </is>
      </c>
      <c r="AE2558" s="7" t="inlineStr">
        <is>
          <t>1B4B</t>
        </is>
      </c>
      <c r="AF2558" s="7" t="inlineStr">
        <is>
          <t>OMN &gt; Ships &gt; Other</t>
        </is>
      </c>
      <c r="AG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13" t="inlineStr">
        <is>
          <t>OMN Vol2 &gt; PB-61 &gt; OMN &gt; Ships &gt; Other &gt; CTSD</t>
        </is>
      </c>
      <c r="AD2559" s="7" t="inlineStr">
        <is>
          <t>109</t>
        </is>
      </c>
      <c r="AE2559" s="7" t="inlineStr">
        <is>
          <t>1B4B</t>
        </is>
      </c>
      <c r="AF2559" s="7" t="inlineStr">
        <is>
          <t>OMN &gt; Ships &gt; Other</t>
        </is>
      </c>
      <c r="AG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13" t="inlineStr">
        <is>
          <t>OMN Vol2 &gt; PB-61 &gt; OMN &gt; Ships &gt; Other &gt; CV-CVN</t>
        </is>
      </c>
      <c r="AD2560" s="7" t="inlineStr">
        <is>
          <t>109</t>
        </is>
      </c>
      <c r="AE2560" s="7" t="inlineStr">
        <is>
          <t>1B4B</t>
        </is>
      </c>
      <c r="AF2560" s="7" t="inlineStr">
        <is>
          <t>OMN &gt; Ships &gt; Other</t>
        </is>
      </c>
      <c r="AG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13" t="inlineStr">
        <is>
          <t>OMN Vol2 &gt; PB-61 &gt; OMN &gt; Ships &gt; Other &gt; DDG</t>
        </is>
      </c>
      <c r="AD2561" s="7" t="inlineStr">
        <is>
          <t>109</t>
        </is>
      </c>
      <c r="AE2561" s="7" t="inlineStr">
        <is>
          <t>1B4B</t>
        </is>
      </c>
      <c r="AF2561" s="7" t="inlineStr">
        <is>
          <t>OMN &gt; Ships &gt; Other - DM001 - DDG MODERNIZATION HME (WIRELESS COMMUNICATIONS)</t>
        </is>
      </c>
      <c r="AG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13" t="inlineStr">
        <is>
          <t>OMN Vol2 &gt; PB-61 &gt; OMN &gt; Ships &gt; Other &gt; DDG - 1000</t>
        </is>
      </c>
      <c r="AD2562" s="7" t="inlineStr">
        <is>
          <t>109</t>
        </is>
      </c>
      <c r="AE2562" s="7" t="inlineStr">
        <is>
          <t>1B4B</t>
        </is>
      </c>
      <c r="AF2562" s="7" t="inlineStr">
        <is>
          <t>OMN &gt; Ships &gt; Other</t>
        </is>
      </c>
      <c r="AG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13" t="inlineStr">
        <is>
          <t>OMN Vol2 &gt; PB-61 &gt; OMN &gt; Ships &gt; Other &gt; DDG-1000</t>
        </is>
      </c>
      <c r="AD2563" s="7" t="inlineStr">
        <is>
          <t>109</t>
        </is>
      </c>
      <c r="AE2563" s="7" t="inlineStr">
        <is>
          <t>1B4B</t>
        </is>
      </c>
      <c r="AF2563" s="7" t="inlineStr">
        <is>
          <t>OMN &gt; Ships &gt; Other</t>
        </is>
      </c>
      <c r="AG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13" t="inlineStr">
        <is>
          <t>OMN Vol2 &gt; PB-61 &gt; OMN &gt; Ships &gt; Other &gt; ESB</t>
        </is>
      </c>
      <c r="AD2564" s="7" t="inlineStr">
        <is>
          <t>109</t>
        </is>
      </c>
      <c r="AE2564" s="7" t="inlineStr">
        <is>
          <t>1B4B</t>
        </is>
      </c>
      <c r="AF2564" s="7" t="inlineStr">
        <is>
          <t>OMN &gt; Ships &gt; Other</t>
        </is>
      </c>
      <c r="AG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13" t="inlineStr">
        <is>
          <t>OMN Vol2 &gt; PB-61 &gt; OMN &gt; Ships &gt; Other &gt; LCS</t>
        </is>
      </c>
      <c r="AD2565" s="7" t="inlineStr">
        <is>
          <t>109</t>
        </is>
      </c>
      <c r="AE2565" s="7" t="inlineStr">
        <is>
          <t>1B4B</t>
        </is>
      </c>
      <c r="AF2565" s="7" t="inlineStr">
        <is>
          <t>OMN &gt; Ships &gt; Other</t>
        </is>
      </c>
      <c r="AG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13" t="inlineStr">
        <is>
          <t>OMN Vol2 &gt; PB-61 &gt; OMN &gt; Ships &gt; Other &gt; LCU</t>
        </is>
      </c>
      <c r="AD2566" s="7" t="inlineStr">
        <is>
          <t>109</t>
        </is>
      </c>
      <c r="AE2566" s="7" t="inlineStr">
        <is>
          <t>1B4B</t>
        </is>
      </c>
      <c r="AF2566" s="7" t="inlineStr">
        <is>
          <t>OMN &gt; Ships &gt; Other</t>
        </is>
      </c>
      <c r="AG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13" t="inlineStr">
        <is>
          <t>OMN Vol2 &gt; PB-61 &gt; OMN &gt; Ships &gt; Other &gt; LHA</t>
        </is>
      </c>
      <c r="AD2567" s="7" t="inlineStr">
        <is>
          <t>109</t>
        </is>
      </c>
      <c r="AE2567" s="7" t="inlineStr">
        <is>
          <t>1B4B</t>
        </is>
      </c>
      <c r="AF2567" s="7" t="inlineStr">
        <is>
          <t>OMN &gt; Ships &gt; Other</t>
        </is>
      </c>
      <c r="AG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13" t="inlineStr">
        <is>
          <t>OMN Vol2 &gt; PB-61 &gt; OMN &gt; Ships &gt; Other &gt; LHD</t>
        </is>
      </c>
      <c r="AD2568" s="7" t="inlineStr">
        <is>
          <t>109</t>
        </is>
      </c>
      <c r="AE2568" s="7" t="inlineStr">
        <is>
          <t>1B4B</t>
        </is>
      </c>
      <c r="AF2568" s="7" t="inlineStr">
        <is>
          <t>OMN &gt; Ships &gt; Other</t>
        </is>
      </c>
      <c r="AG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13" t="inlineStr">
        <is>
          <t>OMN Vol2 &gt; PB-61 &gt; OMN &gt; Ships &gt; Other &gt; LPD</t>
        </is>
      </c>
      <c r="AD2569" s="7" t="inlineStr">
        <is>
          <t>109</t>
        </is>
      </c>
      <c r="AE2569" s="7" t="inlineStr">
        <is>
          <t>1B4B</t>
        </is>
      </c>
      <c r="AF2569" s="7" t="inlineStr">
        <is>
          <t>OMN &gt; Ships &gt; Other</t>
        </is>
      </c>
      <c r="AG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13" t="inlineStr">
        <is>
          <t>OMN Vol2 &gt; PB-61 &gt; OMN &gt; Ships &gt; Other &gt; LSD</t>
        </is>
      </c>
      <c r="AD2570" s="7" t="inlineStr">
        <is>
          <t>109</t>
        </is>
      </c>
      <c r="AE2570" s="7" t="inlineStr">
        <is>
          <t>1B4B</t>
        </is>
      </c>
      <c r="AF2570" s="7" t="inlineStr">
        <is>
          <t>OMN &gt; Ships &gt; Other</t>
        </is>
      </c>
      <c r="AG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13" t="inlineStr">
        <is>
          <t>OMN Vol2 &gt; PB-61 &gt; OMN &gt; Ships &gt; Other &gt; MCM-MHC (A)</t>
        </is>
      </c>
      <c r="AD2571" s="7" t="inlineStr">
        <is>
          <t>109</t>
        </is>
      </c>
      <c r="AE2571" s="7" t="inlineStr">
        <is>
          <t>1B4B</t>
        </is>
      </c>
      <c r="AF2571" s="7" t="inlineStr">
        <is>
          <t>OMN &gt; Ships &gt; Other</t>
        </is>
      </c>
      <c r="AG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13" t="inlineStr">
        <is>
          <t>OMN Vol2 &gt; PB-61 &gt; OMN &gt; Ships &gt; Other &gt; NECC Centrally Managed Items</t>
        </is>
      </c>
      <c r="AD2572" s="7" t="inlineStr">
        <is>
          <t>109</t>
        </is>
      </c>
      <c r="AE2572" s="7" t="inlineStr">
        <is>
          <t>1B4B</t>
        </is>
      </c>
      <c r="AF2572" s="7" t="inlineStr">
        <is>
          <t>OMN &gt; Ships &gt; Other</t>
        </is>
      </c>
      <c r="AG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13" t="inlineStr">
        <is>
          <t>OMN Vol2 &gt; PB-61 &gt; OMN &gt; Ships &gt; Other &gt; PC</t>
        </is>
      </c>
      <c r="AD2573" s="7" t="inlineStr">
        <is>
          <t>109</t>
        </is>
      </c>
      <c r="AE2573" s="7" t="inlineStr">
        <is>
          <t>1B4B</t>
        </is>
      </c>
      <c r="AF2573" s="7" t="inlineStr">
        <is>
          <t>OMN &gt; Ships &gt; Other - PCS Benefits</t>
        </is>
      </c>
      <c r="AG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13" t="inlineStr">
        <is>
          <t>OMN Vol2 &gt; PB-61 &gt; OMN &gt; Ships &gt; Other &gt; Safety PE</t>
        </is>
      </c>
      <c r="AD2574" s="7" t="inlineStr">
        <is>
          <t>110</t>
        </is>
      </c>
      <c r="AE2574" s="7" t="inlineStr">
        <is>
          <t>1B4B</t>
        </is>
      </c>
      <c r="AF2574" s="7" t="inlineStr">
        <is>
          <t>OMN &gt; Ships &gt; Other</t>
        </is>
      </c>
      <c r="AG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13" t="inlineStr">
        <is>
          <t>OMN Vol2 &gt; PB-61 &gt; OMN &gt; Ships &gt; Other &gt; Service-Wide Support</t>
        </is>
      </c>
      <c r="AD2575" s="7" t="inlineStr">
        <is>
          <t>110</t>
        </is>
      </c>
      <c r="AE2575" s="7" t="inlineStr">
        <is>
          <t>1B4B</t>
        </is>
      </c>
      <c r="AF2575" s="7" t="inlineStr">
        <is>
          <t>OMN &gt; Ships &gt; Other</t>
        </is>
      </c>
      <c r="AG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13" t="inlineStr">
        <is>
          <t>OMN Vol2 &gt; PB-61 &gt; OMN &gt; Ships &gt; Other &gt; SSBN</t>
        </is>
      </c>
      <c r="AD2576" s="7" t="inlineStr">
        <is>
          <t>110</t>
        </is>
      </c>
      <c r="AE2576" s="7" t="inlineStr">
        <is>
          <t>1B4B</t>
        </is>
      </c>
      <c r="AF2576" s="7" t="inlineStr">
        <is>
          <t>OMN &gt; Ships &gt; Other - SA303 SSBN TECHNICAL INSERTION CONVERSION (SWFTS)</t>
        </is>
      </c>
      <c r="AG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13" t="inlineStr">
        <is>
          <t>OMN Vol2 &gt; PB-61 &gt; OMN &gt; Ships &gt; Other &gt; SSGN</t>
        </is>
      </c>
      <c r="AD2577" s="7" t="inlineStr">
        <is>
          <t>110</t>
        </is>
      </c>
      <c r="AE2577" s="7" t="inlineStr">
        <is>
          <t>1B4B</t>
        </is>
      </c>
      <c r="AF2577" s="7" t="inlineStr">
        <is>
          <t>OMN &gt; Ships &gt; Other</t>
        </is>
      </c>
      <c r="AG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13" t="inlineStr">
        <is>
          <t>OMN Vol2 &gt; PB-61 &gt; OMN &gt; Ships &gt; Other &gt; SSN</t>
        </is>
      </c>
      <c r="AD2578" s="7" t="inlineStr">
        <is>
          <t>110</t>
        </is>
      </c>
      <c r="AE2578" s="7" t="inlineStr">
        <is>
          <t>1B4B</t>
        </is>
      </c>
      <c r="AF2578" s="7" t="inlineStr">
        <is>
          <t>OMN &gt; Ships &gt; Other</t>
        </is>
      </c>
      <c r="AG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13" t="inlineStr">
        <is>
          <t>OMN Vol2 &gt; PB-61 &gt; OMN &gt; Ships &gt; Other &gt; SSN-MTS-SSGN</t>
        </is>
      </c>
      <c r="AD2579" s="7" t="inlineStr">
        <is>
          <t>110</t>
        </is>
      </c>
      <c r="AE2579" s="7" t="inlineStr">
        <is>
          <t>1B4B</t>
        </is>
      </c>
      <c r="AF2579" s="7" t="inlineStr">
        <is>
          <t>OMN &gt; Ships &gt; Other</t>
        </is>
      </c>
      <c r="AG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13" t="inlineStr">
        <is>
          <t>OMN Vol2 &gt; PB-61 &gt; OMN &gt; Ships &gt; Other &gt; SSN-SSGN</t>
        </is>
      </c>
      <c r="AD2580" s="7" t="inlineStr">
        <is>
          <t>110</t>
        </is>
      </c>
      <c r="AE2580" s="7" t="inlineStr">
        <is>
          <t>1B4B</t>
        </is>
      </c>
      <c r="AF2580" s="7" t="inlineStr">
        <is>
          <t>OMN &gt; Ships &gt; Other</t>
        </is>
      </c>
      <c r="AG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13" t="inlineStr">
        <is>
          <t>OMN Vol2 &gt; PB-61 &gt; OMN &gt; Ships &gt; Other &gt; Surface Support Messing &amp; Berthing</t>
        </is>
      </c>
      <c r="AD2581" s="7" t="inlineStr">
        <is>
          <t>110</t>
        </is>
      </c>
      <c r="AE2581" s="7" t="inlineStr">
        <is>
          <t>1B4B</t>
        </is>
      </c>
      <c r="AF2581" s="7" t="inlineStr">
        <is>
          <t>OMN &gt; Ships &gt; Other</t>
        </is>
      </c>
      <c r="AG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13" t="inlineStr">
        <is>
          <t>OMN Vol2 &gt; PB-61 &gt; OMN &gt; Ships &gt; Ship Maint &gt; AGF-LCC</t>
        </is>
      </c>
      <c r="AD2582" s="7" t="inlineStr">
        <is>
          <t>110</t>
        </is>
      </c>
      <c r="AE2582" s="7" t="inlineStr">
        <is>
          <t>1B4B</t>
        </is>
      </c>
      <c r="AF2582" s="7" t="inlineStr">
        <is>
          <t>OMN &gt; Ships &gt; Ship Maint</t>
        </is>
      </c>
      <c r="AG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13" t="inlineStr">
        <is>
          <t>OMN Vol2 &gt; PB-61 &gt; OMN &gt; Ships &gt; Ship Maint &gt; AMPHIBS</t>
        </is>
      </c>
      <c r="AD2583" s="7" t="inlineStr">
        <is>
          <t>110</t>
        </is>
      </c>
      <c r="AE2583" s="7" t="inlineStr">
        <is>
          <t>1B4B</t>
        </is>
      </c>
      <c r="AF2583" s="7" t="inlineStr">
        <is>
          <t>OMN &gt; Ships &gt; Ship Maint</t>
        </is>
      </c>
      <c r="AG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13" t="inlineStr">
        <is>
          <t>OMN Vol2 &gt; PB-61 &gt; OMN &gt; Ships &gt; Ship Maint &gt; ARDM-AS</t>
        </is>
      </c>
      <c r="AD2584" s="7" t="inlineStr">
        <is>
          <t>110</t>
        </is>
      </c>
      <c r="AE2584" s="7" t="inlineStr">
        <is>
          <t>1B4B</t>
        </is>
      </c>
      <c r="AF2584" s="7" t="inlineStr">
        <is>
          <t>OMN &gt; Ships &gt; Ship Maint</t>
        </is>
      </c>
      <c r="AG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13" t="inlineStr">
        <is>
          <t>OMN Vol2 &gt; PB-61 &gt; OMN &gt; Ships &gt; Ship Maint &gt; AS-ARDM</t>
        </is>
      </c>
      <c r="AD2585" s="7" t="inlineStr">
        <is>
          <t>110</t>
        </is>
      </c>
      <c r="AE2585" s="7" t="inlineStr">
        <is>
          <t>1B4B</t>
        </is>
      </c>
      <c r="AF2585" s="7" t="inlineStr">
        <is>
          <t>OMN &gt; Ships &gt; Ship Maint</t>
        </is>
      </c>
      <c r="AG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13" t="inlineStr">
        <is>
          <t>OMN Vol2 &gt; PB-61 &gt; OMN &gt; Ships &gt; Ship Maint &gt; CG</t>
        </is>
      </c>
      <c r="AD2586" s="7" t="inlineStr">
        <is>
          <t>110</t>
        </is>
      </c>
      <c r="AE2586" s="7" t="inlineStr">
        <is>
          <t>1B4B</t>
        </is>
      </c>
      <c r="AF2586" s="7" t="inlineStr">
        <is>
          <t>OMN &gt; Ships &gt; Ship Maint</t>
        </is>
      </c>
      <c r="AG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13" t="inlineStr">
        <is>
          <t>OMN Vol2 &gt; PB-61 &gt; OMN &gt; Ships &gt; Ship Maint &gt; CV-CVN</t>
        </is>
      </c>
      <c r="AD2587" s="7" t="inlineStr">
        <is>
          <t>110</t>
        </is>
      </c>
      <c r="AE2587" s="7" t="inlineStr">
        <is>
          <t>1B4B</t>
        </is>
      </c>
      <c r="AF2587" s="7" t="inlineStr">
        <is>
          <t>OMN &gt; Ships &gt; Ship Maint</t>
        </is>
      </c>
      <c r="AG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13" t="inlineStr">
        <is>
          <t>OMN Vol2 &gt; PB-61 &gt; OMN &gt; Ships &gt; Ship Maint &gt; CV-CVN (SRB)</t>
        </is>
      </c>
      <c r="AD2588" s="7" t="inlineStr">
        <is>
          <t>110</t>
        </is>
      </c>
      <c r="AE2588" s="7" t="inlineStr">
        <is>
          <t>1B4B</t>
        </is>
      </c>
      <c r="AF2588" s="7" t="inlineStr">
        <is>
          <t>OMN &gt; Ships &gt; Ship Maint</t>
        </is>
      </c>
      <c r="AG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13" t="inlineStr">
        <is>
          <t>OMN Vol2 &gt; PB-61 &gt; OMN &gt; Ships &gt; Ship Maint &gt; CVN</t>
        </is>
      </c>
      <c r="AD2589" s="7" t="inlineStr">
        <is>
          <t>110</t>
        </is>
      </c>
      <c r="AE2589" s="7" t="inlineStr">
        <is>
          <t>1B4B</t>
        </is>
      </c>
      <c r="AF2589" s="7" t="inlineStr">
        <is>
          <t>OMN &gt; Ships &gt; Ship Maint</t>
        </is>
      </c>
      <c r="AG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13" t="inlineStr">
        <is>
          <t>OMN Vol2 &gt; PB-61 &gt; OMN &gt; Ships &gt; Ship Maint &gt; DDG</t>
        </is>
      </c>
      <c r="AD2590" s="7" t="inlineStr">
        <is>
          <t>110</t>
        </is>
      </c>
      <c r="AE2590" s="7" t="inlineStr">
        <is>
          <t>1B4B</t>
        </is>
      </c>
      <c r="AF2590" s="7" t="inlineStr">
        <is>
          <t>OMN &gt; Ships &gt; Ship Maint - DM001 - DDG MODERNIZATION HME (MCS/DCS)</t>
        </is>
      </c>
      <c r="AG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13" t="inlineStr">
        <is>
          <t>OMN Vol2 &gt; PB-61 &gt; OMN &gt; Ships &gt; Ship Maint &gt; DDG - 1000</t>
        </is>
      </c>
      <c r="AD2591" s="7" t="inlineStr">
        <is>
          <t>110</t>
        </is>
      </c>
      <c r="AE2591" s="7" t="inlineStr">
        <is>
          <t>1B4B</t>
        </is>
      </c>
      <c r="AF2591" s="7" t="inlineStr">
        <is>
          <t>OMN &gt; Ships &gt; Ship Maint</t>
        </is>
      </c>
      <c r="AG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13" t="inlineStr">
        <is>
          <t>OMN Vol2 &gt; PB-61 &gt; OMN &gt; Ships &gt; Ship Maint &gt; DDG-1000</t>
        </is>
      </c>
      <c r="AD2592" s="7" t="inlineStr">
        <is>
          <t>110</t>
        </is>
      </c>
      <c r="AE2592" s="7" t="inlineStr">
        <is>
          <t>1B4B</t>
        </is>
      </c>
      <c r="AF2592" s="7" t="inlineStr">
        <is>
          <t>OMN &gt; Ships &gt; Ship Maint</t>
        </is>
      </c>
      <c r="AG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13" t="inlineStr">
        <is>
          <t>OMN Vol2 &gt; PB-61 &gt; OMN &gt; Ships &gt; Ship Maint &gt; ESB</t>
        </is>
      </c>
      <c r="AD2593" s="7" t="inlineStr">
        <is>
          <t>110</t>
        </is>
      </c>
      <c r="AE2593" s="7" t="inlineStr">
        <is>
          <t>1B4B</t>
        </is>
      </c>
      <c r="AF2593" s="7" t="inlineStr">
        <is>
          <t>OMN &gt; Ships &gt; Ship Maint</t>
        </is>
      </c>
      <c r="AG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13" t="inlineStr">
        <is>
          <t>OMN Vol2 &gt; PB-61 &gt; OMN &gt; Ships &gt; Ship Maint &gt; LCC</t>
        </is>
      </c>
      <c r="AD2594" s="7" t="inlineStr">
        <is>
          <t>110</t>
        </is>
      </c>
      <c r="AE2594" s="7" t="inlineStr">
        <is>
          <t>1B4B</t>
        </is>
      </c>
      <c r="AF2594" s="7" t="inlineStr">
        <is>
          <t>OMN &gt; Ships &gt; Ship Maint</t>
        </is>
      </c>
      <c r="AG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13" t="inlineStr">
        <is>
          <t>OMN Vol2 &gt; PB-61 &gt; OMN &gt; Ships &gt; Ship Maint &gt; LCS</t>
        </is>
      </c>
      <c r="AD2595" s="7" t="inlineStr">
        <is>
          <t>110</t>
        </is>
      </c>
      <c r="AE2595" s="7" t="inlineStr">
        <is>
          <t>1B4B</t>
        </is>
      </c>
      <c r="AF2595" s="7" t="inlineStr">
        <is>
          <t>OMN &gt; Ships &gt; Ship Maint - LCS Maintenance Modernization</t>
        </is>
      </c>
      <c r="AG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13" t="inlineStr">
        <is>
          <t>OMN Vol2 &gt; PB-61 &gt; OMN &gt; Ships &gt; Ship Maint &gt; LHA</t>
        </is>
      </c>
      <c r="AD2596" s="7" t="inlineStr">
        <is>
          <t>110</t>
        </is>
      </c>
      <c r="AE2596" s="7" t="inlineStr">
        <is>
          <t>1B4B</t>
        </is>
      </c>
      <c r="AF2596" s="7" t="inlineStr">
        <is>
          <t>OMN &gt; Ships &gt; Ship Maint</t>
        </is>
      </c>
      <c r="AG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13" t="inlineStr">
        <is>
          <t>OMN Vol2 &gt; PB-61 &gt; OMN &gt; Ships &gt; Ship Maint &gt; LHA-LHD-LPD-LSD</t>
        </is>
      </c>
      <c r="AD2597" s="7" t="inlineStr">
        <is>
          <t>110</t>
        </is>
      </c>
      <c r="AE2597" s="7" t="inlineStr">
        <is>
          <t>1B4B</t>
        </is>
      </c>
      <c r="AF2597" s="7" t="inlineStr">
        <is>
          <t>OMN &gt; Ships &gt; Ship Maint</t>
        </is>
      </c>
      <c r="AG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13" t="inlineStr">
        <is>
          <t>OMN Vol2 &gt; PB-61 &gt; OMN &gt; Ships &gt; Ship Maint &gt; LHD</t>
        </is>
      </c>
      <c r="AD2598" s="7" t="inlineStr">
        <is>
          <t>110</t>
        </is>
      </c>
      <c r="AE2598" s="7" t="inlineStr">
        <is>
          <t>1B4B</t>
        </is>
      </c>
      <c r="AF2598" s="7" t="inlineStr">
        <is>
          <t>OMN &gt; Ships &gt; Ship Maint</t>
        </is>
      </c>
      <c r="AG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13" t="inlineStr">
        <is>
          <t>OMN Vol2 &gt; PB-61 &gt; OMN &gt; Ships &gt; Ship Maint &gt; LPD</t>
        </is>
      </c>
      <c r="AD2599" s="7" t="inlineStr">
        <is>
          <t>111</t>
        </is>
      </c>
      <c r="AE2599" s="7" t="inlineStr">
        <is>
          <t>1B4B</t>
        </is>
      </c>
      <c r="AF2599" s="7" t="inlineStr">
        <is>
          <t>OMN &gt; Ships &gt; Ship Maint</t>
        </is>
      </c>
      <c r="AG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13" t="inlineStr">
        <is>
          <t>OMN Vol2 &gt; PB-61 &gt; OMN &gt; Ships &gt; Ship Maint &gt; LSD</t>
        </is>
      </c>
      <c r="AD2600" s="7" t="inlineStr">
        <is>
          <t>111</t>
        </is>
      </c>
      <c r="AE2600" s="7" t="inlineStr">
        <is>
          <t>1B4B</t>
        </is>
      </c>
      <c r="AF2600" s="7" t="inlineStr">
        <is>
          <t>OMN &gt; Ships &gt; Ship Maint</t>
        </is>
      </c>
      <c r="AG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13" t="inlineStr">
        <is>
          <t>OMN Vol2 &gt; PB-61 &gt; OMN &gt; Ships &gt; Ship Maint &gt; MCM-MHC (A)</t>
        </is>
      </c>
      <c r="AD2601" s="7" t="inlineStr">
        <is>
          <t>111</t>
        </is>
      </c>
      <c r="AE2601" s="7" t="inlineStr">
        <is>
          <t>1B4B</t>
        </is>
      </c>
      <c r="AF2601" s="7" t="inlineStr">
        <is>
          <t>OMN &gt; Ships &gt; Ship Maint</t>
        </is>
      </c>
      <c r="AG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13" t="inlineStr">
        <is>
          <t>OMN Vol2 &gt; PB-61 &gt; OMN &gt; Ships &gt; Ship Maint &gt; NBG2</t>
        </is>
      </c>
      <c r="AD2602" s="7" t="inlineStr">
        <is>
          <t>111</t>
        </is>
      </c>
      <c r="AE2602" s="7" t="inlineStr">
        <is>
          <t>1B4B</t>
        </is>
      </c>
      <c r="AF2602" s="7" t="inlineStr">
        <is>
          <t>OMN &gt; Ships &gt; Ship Maint</t>
        </is>
      </c>
      <c r="AG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13" t="inlineStr">
        <is>
          <t>OMN Vol2 &gt; PB-61 &gt; OMN &gt; Ships &gt; Ship Maint &gt; PC</t>
        </is>
      </c>
      <c r="AD2603" s="7" t="inlineStr">
        <is>
          <t>111</t>
        </is>
      </c>
      <c r="AE2603" s="7" t="inlineStr">
        <is>
          <t>1B4B</t>
        </is>
      </c>
      <c r="AF2603" s="7" t="inlineStr">
        <is>
          <t>OMN &gt; Ships &gt; Ship Maint - PCS Benefits</t>
        </is>
      </c>
      <c r="AG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13" t="inlineStr">
        <is>
          <t>OMN Vol2 &gt; PB-61 &gt; OMN &gt; Ships &gt; Ship Maint &gt; Safety PE</t>
        </is>
      </c>
      <c r="AD2604" s="7" t="inlineStr">
        <is>
          <t>111</t>
        </is>
      </c>
      <c r="AE2604" s="7" t="inlineStr">
        <is>
          <t>1B4B</t>
        </is>
      </c>
      <c r="AF2604" s="7" t="inlineStr">
        <is>
          <t>OMN &gt; Ships &gt; Ship Maint</t>
        </is>
      </c>
      <c r="AG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13" t="inlineStr">
        <is>
          <t>OMN Vol2 &gt; PB-61 &gt; OMN &gt; Ships &gt; Ship Maint &gt; Service-Wide Support</t>
        </is>
      </c>
      <c r="AD2605" s="7" t="inlineStr">
        <is>
          <t>111</t>
        </is>
      </c>
      <c r="AE2605" s="7" t="inlineStr">
        <is>
          <t>1B4B</t>
        </is>
      </c>
      <c r="AF2605" s="7" t="inlineStr">
        <is>
          <t>OMN &gt; Ships &gt; Ship Maint</t>
        </is>
      </c>
      <c r="AG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13" t="inlineStr">
        <is>
          <t>OMN Vol2 &gt; PB-61 &gt; OMN &gt; Ships &gt; Ship Maint &gt; SOH</t>
        </is>
      </c>
      <c r="AD2606" s="7" t="inlineStr">
        <is>
          <t>111</t>
        </is>
      </c>
      <c r="AE2606" s="7" t="inlineStr">
        <is>
          <t>1B4B</t>
        </is>
      </c>
      <c r="AF2606" s="7" t="inlineStr">
        <is>
          <t>OMN &gt; Ships &gt; Ship Maint</t>
        </is>
      </c>
      <c r="AG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13" t="inlineStr">
        <is>
          <t>OMN Vol2 &gt; PB-61 &gt; OMN &gt; Ships &gt; Ship Maint &gt; SSBN</t>
        </is>
      </c>
      <c r="AD2607" s="7" t="inlineStr">
        <is>
          <t>111</t>
        </is>
      </c>
      <c r="AE2607" s="7" t="inlineStr">
        <is>
          <t>1B4B</t>
        </is>
      </c>
      <c r="AF2607" s="7" t="inlineStr">
        <is>
          <t>OMN &gt; Ships &gt; Ship Maint - GW066: SSBN NAVIGATION SENSOR OBSOLESCENCE</t>
        </is>
      </c>
      <c r="AG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13" t="inlineStr">
        <is>
          <t>OMN Vol2 &gt; PB-61 &gt; OMN &gt; Ships &gt; Ship Maint &gt; SSGN</t>
        </is>
      </c>
      <c r="AD2608" s="7" t="inlineStr">
        <is>
          <t>111</t>
        </is>
      </c>
      <c r="AE2608" s="7" t="inlineStr">
        <is>
          <t>1B4B</t>
        </is>
      </c>
      <c r="AF2608" s="7" t="inlineStr">
        <is>
          <t>OMN &gt; Ships &gt; Ship Maint</t>
        </is>
      </c>
      <c r="AG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13" t="inlineStr">
        <is>
          <t>OMN Vol2 &gt; PB-61 &gt; OMN &gt; Ships &gt; Ship Maint &gt; SSN</t>
        </is>
      </c>
      <c r="AD2609" s="7" t="inlineStr">
        <is>
          <t>111</t>
        </is>
      </c>
      <c r="AE2609" s="7" t="inlineStr">
        <is>
          <t>1B4B</t>
        </is>
      </c>
      <c r="AF2609" s="7" t="inlineStr">
        <is>
          <t>OMN &gt; Ships &gt; Ship Maint</t>
        </is>
      </c>
      <c r="AG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13" t="inlineStr">
        <is>
          <t>OMN Vol2 &gt; PB-61 &gt; OMN &gt; Ships &gt; Ship Maint &gt; SSN-MTS-SSGN</t>
        </is>
      </c>
      <c r="AD2610" s="7" t="inlineStr">
        <is>
          <t>111</t>
        </is>
      </c>
      <c r="AE2610" s="7" t="inlineStr">
        <is>
          <t>1B4B</t>
        </is>
      </c>
      <c r="AF2610" s="7" t="inlineStr">
        <is>
          <t>OMN &gt; Ships &gt; Ship Maint</t>
        </is>
      </c>
      <c r="AG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13" t="inlineStr">
        <is>
          <t>OMN Vol2 &gt; PB-61 &gt; OMN &gt; Ships &gt; Ship Maint &gt; SSN-SSGN</t>
        </is>
      </c>
      <c r="AD2611" s="7" t="inlineStr">
        <is>
          <t>111</t>
        </is>
      </c>
      <c r="AE2611" s="7" t="inlineStr">
        <is>
          <t>1B4B</t>
        </is>
      </c>
      <c r="AF2611" s="7" t="inlineStr">
        <is>
          <t>OMN &gt; Ships &gt; Ship Maint</t>
        </is>
      </c>
      <c r="AG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13" t="inlineStr">
        <is>
          <t>OMN Vol2 &gt; PB-61 &gt; OMN Total</t>
        </is>
      </c>
      <c r="AD2612" s="7" t="inlineStr">
        <is>
          <t>111</t>
        </is>
      </c>
      <c r="AE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13" t="inlineStr">
        <is>
          <t>OMN Vol2 &gt; PB-61 &gt; OPN &gt; Electronics and Communications Systems &gt; End Item &gt; SSN / SSGN</t>
        </is>
      </c>
      <c r="AD2613" s="7" t="inlineStr">
        <is>
          <t>118</t>
        </is>
      </c>
      <c r="AE2613" s="7" t="inlineStr">
        <is>
          <t>1B4B</t>
        </is>
      </c>
      <c r="AF2613" s="7" t="inlineStr">
        <is>
          <t>OPN &gt; Electronics and Communications Systems &gt; End Item</t>
        </is>
      </c>
      <c r="AG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13" t="inlineStr">
        <is>
          <t>OMN Vol2 &gt; PB-61 &gt; OPN &gt; Ships &gt; Continuous Maintenance &gt; CVN</t>
        </is>
      </c>
      <c r="AD2614" s="7" t="inlineStr">
        <is>
          <t>118</t>
        </is>
      </c>
      <c r="AE2614" s="7" t="inlineStr">
        <is>
          <t>1B4B</t>
        </is>
      </c>
      <c r="AF2614" s="7" t="inlineStr">
        <is>
          <t>OPN &gt; Ships &gt; Continuous Maintenance</t>
        </is>
      </c>
      <c r="AG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13" t="inlineStr">
        <is>
          <t>OMN Vol2 &gt; PB-61 &gt; OPN &gt; Ships &gt; Continuous Maintenance &gt; SSBN/SSGN</t>
        </is>
      </c>
      <c r="AD2615" s="7" t="inlineStr">
        <is>
          <t>118</t>
        </is>
      </c>
      <c r="AE2615" s="7" t="inlineStr">
        <is>
          <t>1B4B</t>
        </is>
      </c>
      <c r="AF2615" s="7" t="inlineStr">
        <is>
          <t>OPN &gt; Ships &gt; Continuous Maintenance</t>
        </is>
      </c>
      <c r="AG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13" t="inlineStr">
        <is>
          <t>OMN Vol2 &gt; PB-61 &gt; OPN &gt; Ships &gt; Continuous Maintenance &gt; SSN</t>
        </is>
      </c>
      <c r="AD2616" s="7" t="inlineStr">
        <is>
          <t>118</t>
        </is>
      </c>
      <c r="AE2616" s="7" t="inlineStr">
        <is>
          <t>1B4B</t>
        </is>
      </c>
      <c r="AF2616" s="7" t="inlineStr">
        <is>
          <t>OPN &gt; Ships &gt; Continuous Maintenance - SSN Acoustics</t>
        </is>
      </c>
      <c r="AG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13" t="inlineStr">
        <is>
          <t>OMN Vol2 &gt; PB-61 &gt; OPN &gt; Ships &gt; Ship Maint &gt; AMPHIBS</t>
        </is>
      </c>
      <c r="AD2617" s="7" t="inlineStr">
        <is>
          <t>118</t>
        </is>
      </c>
      <c r="AE2617" s="7" t="inlineStr">
        <is>
          <t>1B4B</t>
        </is>
      </c>
      <c r="AF2617" s="7" t="inlineStr">
        <is>
          <t>OPN &gt; Ships &gt; Ship Maint</t>
        </is>
      </c>
      <c r="AG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13" t="inlineStr">
        <is>
          <t>OMN Vol2 &gt; PB-61 &gt; OPN &gt; Ships &gt; Ship Maint &gt; CG</t>
        </is>
      </c>
      <c r="AD2618" s="7" t="inlineStr">
        <is>
          <t>118</t>
        </is>
      </c>
      <c r="AE2618" s="7" t="inlineStr">
        <is>
          <t>1B4B</t>
        </is>
      </c>
      <c r="AF2618" s="7" t="inlineStr">
        <is>
          <t>OPN &gt; Ships &gt; Ship Maint</t>
        </is>
      </c>
      <c r="AG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13" t="inlineStr">
        <is>
          <t>OMN Vol2 &gt; PB-61 &gt; OPN &gt; Ships &gt; Ship Maint &gt; CV-CVN</t>
        </is>
      </c>
      <c r="AD2619" s="7" t="inlineStr">
        <is>
          <t>118</t>
        </is>
      </c>
      <c r="AE2619" s="7" t="inlineStr">
        <is>
          <t>1B4B</t>
        </is>
      </c>
      <c r="AF2619" s="7" t="inlineStr">
        <is>
          <t>OPN &gt; Ships &gt; Ship Maint</t>
        </is>
      </c>
      <c r="AG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13" t="inlineStr">
        <is>
          <t>OMN Vol2 &gt; PB-61 &gt; OPN &gt; Ships &gt; Ship Maint &gt; DDG</t>
        </is>
      </c>
      <c r="AD2620" s="7" t="inlineStr">
        <is>
          <t>118</t>
        </is>
      </c>
      <c r="AE2620" s="7" t="inlineStr">
        <is>
          <t>1B4B</t>
        </is>
      </c>
      <c r="AF2620" s="7" t="inlineStr">
        <is>
          <t>OPN &gt; Ships &gt; Ship Maint - DM001 - DDG MODERNIZATION HME (GEDMS)</t>
        </is>
      </c>
      <c r="AG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13" t="inlineStr">
        <is>
          <t>OMN Vol2 &gt; PB-61 &gt; OPN &gt; Ships &gt; Ship Maint &gt; LCS</t>
        </is>
      </c>
      <c r="AD2621" s="7" t="inlineStr">
        <is>
          <t>118</t>
        </is>
      </c>
      <c r="AE2621" s="7" t="inlineStr">
        <is>
          <t>1B4B</t>
        </is>
      </c>
      <c r="AF2621" s="7" t="inlineStr">
        <is>
          <t>OPN &gt; Ships &gt; Ship Maint - LCS SUW Mission Packages</t>
        </is>
      </c>
      <c r="AG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13" t="inlineStr">
        <is>
          <t>OMN Vol2 &gt; PB-61 &gt; OPN &gt; Ships &gt; Ship Maint &gt; LHA</t>
        </is>
      </c>
      <c r="AD2622" s="7" t="inlineStr">
        <is>
          <t>118</t>
        </is>
      </c>
      <c r="AE2622" s="7" t="inlineStr">
        <is>
          <t>1B4B</t>
        </is>
      </c>
      <c r="AF2622" s="7" t="inlineStr">
        <is>
          <t>OPN &gt; Ships &gt; Ship Maint</t>
        </is>
      </c>
      <c r="AG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13" t="inlineStr">
        <is>
          <t>OMN Vol2 &gt; PB-61 &gt; OPN &gt; Ships &gt; Ship Maint &gt; LHD</t>
        </is>
      </c>
      <c r="AD2623" s="7" t="inlineStr">
        <is>
          <t>118</t>
        </is>
      </c>
      <c r="AE2623" s="7" t="inlineStr">
        <is>
          <t>1B4B</t>
        </is>
      </c>
      <c r="AF2623" s="7" t="inlineStr">
        <is>
          <t>OPN &gt; Ships &gt; Ship Maint</t>
        </is>
      </c>
      <c r="AG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13" t="inlineStr">
        <is>
          <t>OMN Vol2 &gt; PB-61 &gt; OPN &gt; Ships &gt; Ship Maint &gt; LPD</t>
        </is>
      </c>
      <c r="AD2624" s="7" t="inlineStr">
        <is>
          <t>118</t>
        </is>
      </c>
      <c r="AE2624" s="7" t="inlineStr">
        <is>
          <t>1B4B</t>
        </is>
      </c>
      <c r="AF2624" s="7" t="inlineStr">
        <is>
          <t>OPN &gt; Ships &gt; Ship Maint</t>
        </is>
      </c>
      <c r="AG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13" t="inlineStr">
        <is>
          <t>OMN Vol2 &gt; PB-61 &gt; OPN &gt; Ships &gt; Ship Maint &gt; LSD</t>
        </is>
      </c>
      <c r="AD2625" s="7" t="inlineStr">
        <is>
          <t>118</t>
        </is>
      </c>
      <c r="AE2625" s="7" t="inlineStr">
        <is>
          <t>1B4B</t>
        </is>
      </c>
      <c r="AF2625" s="7" t="inlineStr">
        <is>
          <t>OPN &gt; Ships &gt; Ship Maint</t>
        </is>
      </c>
      <c r="AG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13" t="inlineStr">
        <is>
          <t>OMN Vol2 &gt; PB-61 &gt; OPN &gt; Ships &gt; Ship Maint &gt; SSN-MTS-SSGN</t>
        </is>
      </c>
      <c r="AD2626" s="7" t="inlineStr">
        <is>
          <t>118</t>
        </is>
      </c>
      <c r="AE2626" s="7" t="inlineStr">
        <is>
          <t>1B4B</t>
        </is>
      </c>
      <c r="AF2626" s="7" t="inlineStr">
        <is>
          <t>OPN &gt; Ships &gt; Ship Maint</t>
        </is>
      </c>
      <c r="AG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13" t="inlineStr">
        <is>
          <t>OMN Vol2 &gt; PB-61 &gt; OPN Total</t>
        </is>
      </c>
      <c r="AD2627" s="7" t="inlineStr">
        <is>
          <t>118</t>
        </is>
      </c>
      <c r="AE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13" t="inlineStr">
        <is>
          <t>OMN Vol2 &gt; PB-61 &gt; OMN &gt; Ships &gt; Ship Maint &gt; AGF-LCC [UNFUNDED]</t>
        </is>
      </c>
      <c r="AD2628" s="7" t="inlineStr">
        <is>
          <t>110</t>
        </is>
      </c>
      <c r="AE2628" s="7" t="inlineStr">
        <is>
          <t>1B4B</t>
        </is>
      </c>
      <c r="AF2628" s="7" t="inlineStr">
        <is>
          <t>OMN &gt; Ships &gt; Ship Maint</t>
        </is>
      </c>
      <c r="AG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13" t="inlineStr">
        <is>
          <t>OMN Vol2 &gt; PB-61 &gt; OMN &gt; Ships &gt; Ship Maint &gt; AMPHIBS [UNFUNDED]</t>
        </is>
      </c>
      <c r="AD2629" s="7" t="inlineStr">
        <is>
          <t>110</t>
        </is>
      </c>
      <c r="AE2629" s="7" t="inlineStr">
        <is>
          <t>1B4B</t>
        </is>
      </c>
      <c r="AF2629" s="7" t="inlineStr">
        <is>
          <t>OMN &gt; Ships &gt; Ship Maint</t>
        </is>
      </c>
      <c r="AG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13" t="inlineStr">
        <is>
          <t>OMN Vol2 &gt; PB-61 &gt; OMN &gt; Ships &gt; Ship Maint &gt; AS-ARDM [UNFUNDED]</t>
        </is>
      </c>
      <c r="AD2630" s="7" t="inlineStr">
        <is>
          <t>110</t>
        </is>
      </c>
      <c r="AE2630" s="7" t="inlineStr">
        <is>
          <t>1B4B</t>
        </is>
      </c>
      <c r="AF2630" s="7" t="inlineStr">
        <is>
          <t>OMN &gt; Ships &gt; Ship Maint</t>
        </is>
      </c>
      <c r="AG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13" t="inlineStr">
        <is>
          <t>OMN Vol2 &gt; PB-61 &gt; OMN &gt; Ships &gt; Ship Maint &gt; CG [UNFUNDED]</t>
        </is>
      </c>
      <c r="AD2631" s="7" t="inlineStr">
        <is>
          <t>110</t>
        </is>
      </c>
      <c r="AE2631" s="7" t="inlineStr">
        <is>
          <t>1B4B</t>
        </is>
      </c>
      <c r="AF2631" s="7" t="inlineStr">
        <is>
          <t>OMN &gt; Ships &gt; Ship Maint</t>
        </is>
      </c>
      <c r="AG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13" t="inlineStr">
        <is>
          <t>OMN Vol2 &gt; PB-61 &gt; OMN &gt; Ships &gt; Ship Maint &gt; CV-CVN [UNFUNDED]</t>
        </is>
      </c>
      <c r="AD2632" s="7" t="inlineStr">
        <is>
          <t>110</t>
        </is>
      </c>
      <c r="AE2632" s="7" t="inlineStr">
        <is>
          <t>1B4B</t>
        </is>
      </c>
      <c r="AF2632" s="7" t="inlineStr">
        <is>
          <t>OMN &gt; Ships &gt; Ship Maint</t>
        </is>
      </c>
      <c r="AG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13" t="inlineStr">
        <is>
          <t>OMN Vol2 &gt; PB-61 &gt; OMN &gt; Ships &gt; Ship Maint &gt; CV-CVN (SRB) [UNFUNDED]</t>
        </is>
      </c>
      <c r="AD2633" s="7" t="inlineStr">
        <is>
          <t>110</t>
        </is>
      </c>
      <c r="AE2633" s="7" t="inlineStr">
        <is>
          <t>1B4B</t>
        </is>
      </c>
      <c r="AF2633" s="7" t="inlineStr">
        <is>
          <t>OMN &gt; Ships &gt; Ship Maint</t>
        </is>
      </c>
      <c r="AG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13" t="inlineStr">
        <is>
          <t>OMN Vol2 &gt; PB-61 &gt; OMN &gt; Ships &gt; Ship Maint &gt; CVN [UNFUNDED]</t>
        </is>
      </c>
      <c r="AD2634" s="7" t="inlineStr">
        <is>
          <t>110</t>
        </is>
      </c>
      <c r="AE2634" s="7" t="inlineStr">
        <is>
          <t>1B4B</t>
        </is>
      </c>
      <c r="AF2634" s="7" t="inlineStr">
        <is>
          <t>OMN &gt; Ships &gt; Ship Maint</t>
        </is>
      </c>
      <c r="AG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13" t="inlineStr">
        <is>
          <t>OMN Vol2 &gt; PB-61 &gt; OMN &gt; Ships &gt; Ship Maint &gt; DDG [UNFUNDED]</t>
        </is>
      </c>
      <c r="AD2635" s="7" t="inlineStr">
        <is>
          <t>110</t>
        </is>
      </c>
      <c r="AE2635" s="7" t="inlineStr">
        <is>
          <t>1B4B</t>
        </is>
      </c>
      <c r="AF2635" s="7" t="inlineStr">
        <is>
          <t>OMN &gt; Ships &gt; Ship Maint - DM001 - DDG MODERNIZATION HME (DVSS)</t>
        </is>
      </c>
      <c r="AG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13" t="inlineStr">
        <is>
          <t>OMN Vol2 &gt; PB-61 &gt; OMN &gt; Ships &gt; Ship Maint &gt; DDG - 1000 [UNFUNDED]</t>
        </is>
      </c>
      <c r="AD2636" s="7" t="inlineStr">
        <is>
          <t>110</t>
        </is>
      </c>
      <c r="AE2636" s="7" t="inlineStr">
        <is>
          <t>1B4B</t>
        </is>
      </c>
      <c r="AF2636" s="7" t="inlineStr">
        <is>
          <t>OMN &gt; Ships &gt; Ship Maint</t>
        </is>
      </c>
      <c r="AG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13" t="inlineStr">
        <is>
          <t>OMN Vol2 &gt; PB-61 &gt; OMN &gt; Ships &gt; Ship Maint &gt; ESB [UNFUNDED]</t>
        </is>
      </c>
      <c r="AD2637" s="7" t="inlineStr">
        <is>
          <t>110</t>
        </is>
      </c>
      <c r="AE2637" s="7" t="inlineStr">
        <is>
          <t>1B4B</t>
        </is>
      </c>
      <c r="AF2637" s="7" t="inlineStr">
        <is>
          <t>OMN &gt; Ships &gt; Ship Maint</t>
        </is>
      </c>
      <c r="AG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13" t="inlineStr">
        <is>
          <t>OMN Vol2 &gt; PB-61 &gt; OMN &gt; Ships &gt; Ship Maint &gt; LCC [UNFUNDED]</t>
        </is>
      </c>
      <c r="AD2638" s="7" t="inlineStr">
        <is>
          <t>110</t>
        </is>
      </c>
      <c r="AE2638" s="7" t="inlineStr">
        <is>
          <t>1B4B</t>
        </is>
      </c>
      <c r="AF2638" s="7" t="inlineStr">
        <is>
          <t>OMN &gt; Ships &gt; Ship Maint - LCC 19/20 EXTENDED SERVICE LIFE PROGRAM</t>
        </is>
      </c>
      <c r="AG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13" t="inlineStr">
        <is>
          <t>OMN Vol2 &gt; PB-61 &gt; OMN &gt; Ships &gt; Ship Maint &gt; LCS [UNFUNDED]</t>
        </is>
      </c>
      <c r="AD2639" s="7" t="inlineStr">
        <is>
          <t>110</t>
        </is>
      </c>
      <c r="AE2639" s="7" t="inlineStr">
        <is>
          <t>1B4B</t>
        </is>
      </c>
      <c r="AF2639" s="7" t="inlineStr">
        <is>
          <t>OMN &gt; Ships &gt; Ship Maint</t>
        </is>
      </c>
      <c r="AG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13" t="inlineStr">
        <is>
          <t>OMN Vol2 &gt; PB-61 &gt; OMN &gt; Ships &gt; Ship Maint &gt; LHA [UNFUNDED]</t>
        </is>
      </c>
      <c r="AD2640" s="7" t="inlineStr">
        <is>
          <t>110</t>
        </is>
      </c>
      <c r="AE2640" s="7" t="inlineStr">
        <is>
          <t>1B4B</t>
        </is>
      </c>
      <c r="AF2640" s="7" t="inlineStr">
        <is>
          <t>OMN &gt; Ships &gt; Ship Maint</t>
        </is>
      </c>
      <c r="AG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13" t="inlineStr">
        <is>
          <t>OMN Vol2 &gt; PB-61 &gt; OMN &gt; Ships &gt; Ship Maint &gt; LHD [UNFUNDED]</t>
        </is>
      </c>
      <c r="AD2641" s="7" t="inlineStr">
        <is>
          <t>110</t>
        </is>
      </c>
      <c r="AE2641" s="7" t="inlineStr">
        <is>
          <t>1B4B</t>
        </is>
      </c>
      <c r="AF2641" s="7" t="inlineStr">
        <is>
          <t>OMN &gt; Ships &gt; Ship Maint</t>
        </is>
      </c>
      <c r="AG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13" t="inlineStr">
        <is>
          <t>OMN Vol2 &gt; PB-61 &gt; OMN &gt; Ships &gt; Ship Maint &gt; LPD [UNFUNDED]</t>
        </is>
      </c>
      <c r="AD2642" s="7" t="inlineStr">
        <is>
          <t>111</t>
        </is>
      </c>
      <c r="AE2642" s="7" t="inlineStr">
        <is>
          <t>1B4B</t>
        </is>
      </c>
      <c r="AF2642" s="7" t="inlineStr">
        <is>
          <t>OMN &gt; Ships &gt; Ship Maint</t>
        </is>
      </c>
      <c r="AG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13" t="inlineStr">
        <is>
          <t>OMN Vol2 &gt; PB-61 &gt; OMN &gt; Ships &gt; Ship Maint &gt; LSD [UNFUNDED]</t>
        </is>
      </c>
      <c r="AD2643" s="7" t="inlineStr">
        <is>
          <t>111</t>
        </is>
      </c>
      <c r="AE2643" s="7" t="inlineStr">
        <is>
          <t>1B4B</t>
        </is>
      </c>
      <c r="AF2643" s="7" t="inlineStr">
        <is>
          <t>OMN &gt; Ships &gt; Ship Maint</t>
        </is>
      </c>
      <c r="AG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13" t="inlineStr">
        <is>
          <t>OMN Vol2 &gt; PB-61 &gt; OMN &gt; Ships &gt; Ship Maint &gt; MCM-MHC (A) [UNFUNDED]</t>
        </is>
      </c>
      <c r="AD2644" s="7" t="inlineStr">
        <is>
          <t>111</t>
        </is>
      </c>
      <c r="AE2644" s="7" t="inlineStr">
        <is>
          <t>1B4B</t>
        </is>
      </c>
      <c r="AF2644" s="7" t="inlineStr">
        <is>
          <t>OMN &gt; Ships &gt; Ship Maint</t>
        </is>
      </c>
      <c r="AG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13" t="inlineStr">
        <is>
          <t>OMN Vol2 &gt; PB-61 &gt; OMN &gt; Ships &gt; Ship Maint &gt; NBG2 [UNFUNDED]</t>
        </is>
      </c>
      <c r="AD2645" s="7" t="inlineStr">
        <is>
          <t>111</t>
        </is>
      </c>
      <c r="AE2645" s="7" t="inlineStr">
        <is>
          <t>1B4B</t>
        </is>
      </c>
      <c r="AF2645" s="7" t="inlineStr">
        <is>
          <t>OMN &gt; Ships &gt; Ship Maint</t>
        </is>
      </c>
      <c r="AG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13" t="inlineStr">
        <is>
          <t>OMN Vol2 &gt; PB-61 &gt; OMN &gt; Ships &gt; Ship Maint &gt; SOH [UNFUNDED]</t>
        </is>
      </c>
      <c r="AD2646" s="7" t="inlineStr">
        <is>
          <t>111</t>
        </is>
      </c>
      <c r="AE2646" s="7" t="inlineStr">
        <is>
          <t>1B4B</t>
        </is>
      </c>
      <c r="AF2646" s="7" t="inlineStr">
        <is>
          <t>OMN &gt; Ships &gt; Ship Maint</t>
        </is>
      </c>
      <c r="AG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13" t="inlineStr">
        <is>
          <t>OMN Vol2 &gt; PB-61 &gt; OMN &gt; Ships &gt; Ship Maint &gt; SSBN [UNFUNDED]</t>
        </is>
      </c>
      <c r="AD2647" s="7" t="inlineStr">
        <is>
          <t>111</t>
        </is>
      </c>
      <c r="AE2647" s="7" t="inlineStr">
        <is>
          <t>1B4B</t>
        </is>
      </c>
      <c r="AF2647" s="7" t="inlineStr">
        <is>
          <t>OMN &gt; Ships &gt; Ship Maint</t>
        </is>
      </c>
      <c r="AG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13" t="inlineStr">
        <is>
          <t>OMN Vol2 &gt; PB-61 &gt; OMN &gt; Ships &gt; Ship Maint &gt; SSGN [UNFUNDED]</t>
        </is>
      </c>
      <c r="AD2648" s="7" t="inlineStr">
        <is>
          <t>111</t>
        </is>
      </c>
      <c r="AE2648" s="7" t="inlineStr">
        <is>
          <t>1B4B</t>
        </is>
      </c>
      <c r="AF2648" s="7" t="inlineStr">
        <is>
          <t>OMN &gt; Ships &gt; Ship Maint</t>
        </is>
      </c>
      <c r="AG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13" t="inlineStr">
        <is>
          <t>OMN Vol2 &gt; PB-61 &gt; OMN &gt; Ships &gt; Ship Maint &gt; SSN [UNFUNDED]</t>
        </is>
      </c>
      <c r="AD2649" s="7" t="inlineStr">
        <is>
          <t>111</t>
        </is>
      </c>
      <c r="AE2649" s="7" t="inlineStr">
        <is>
          <t>1B4B</t>
        </is>
      </c>
      <c r="AF2649" s="7" t="inlineStr">
        <is>
          <t>OMN &gt; Ships &gt; Ship Maint - SA303 SSN 21 TECHNICAL INSERTION KITS (SWFTS)</t>
        </is>
      </c>
      <c r="AG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13" t="inlineStr">
        <is>
          <t>OMN Vol2 &gt; PB-61 &gt; OMN &gt; Ships &gt; Ship Maint &gt; SSN-MTS-SSGN [UNFUNDED]</t>
        </is>
      </c>
      <c r="AD2650" s="7" t="inlineStr">
        <is>
          <t>111</t>
        </is>
      </c>
      <c r="AE2650" s="7" t="inlineStr">
        <is>
          <t>1B4B</t>
        </is>
      </c>
      <c r="AF2650" s="7" t="inlineStr">
        <is>
          <t>OMN &gt; Ships &gt; Ship Maint</t>
        </is>
      </c>
      <c r="AG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13" t="inlineStr">
        <is>
          <t>OMN Vol2 &gt; PB-61 &gt; OMN &gt; Ships &gt; Ship Maint &gt; SSN-SSGN [UNFUNDED]</t>
        </is>
      </c>
      <c r="AD2651" s="7" t="inlineStr">
        <is>
          <t>111</t>
        </is>
      </c>
      <c r="AE2651" s="7" t="inlineStr">
        <is>
          <t>1B4B</t>
        </is>
      </c>
      <c r="AF2651" s="7" t="inlineStr">
        <is>
          <t>OMN &gt; Ships &gt; Ship Maint</t>
        </is>
      </c>
      <c r="AG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13" t="inlineStr">
        <is>
          <t>OMN Vol2 &gt; PB-61 &gt; OPN &gt; Ships &gt; Ship Maint &gt; AMPHIBS [UNFUNDED]</t>
        </is>
      </c>
      <c r="AD2652" s="7" t="inlineStr">
        <is>
          <t>118</t>
        </is>
      </c>
      <c r="AE2652" s="7" t="inlineStr">
        <is>
          <t>1B4B</t>
        </is>
      </c>
      <c r="AF2652" s="7" t="inlineStr">
        <is>
          <t>OPN &gt; Ships &gt; Ship Maint</t>
        </is>
      </c>
      <c r="AG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13" t="inlineStr">
        <is>
          <t>OMN Vol2 &gt; PB-61 &gt; OPN &gt; Ships &gt; Ship Maint &gt; DDG [UNFUNDED]</t>
        </is>
      </c>
      <c r="AD2653" s="7" t="inlineStr">
        <is>
          <t>118</t>
        </is>
      </c>
      <c r="AE2653" s="7" t="inlineStr">
        <is>
          <t>1B4B</t>
        </is>
      </c>
      <c r="AF2653" s="7" t="inlineStr">
        <is>
          <t>OPN &gt; Ships &gt; Ship Maint - DM001 - DDG MODERNIZATION HME (IBNS)</t>
        </is>
      </c>
      <c r="AG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13" t="inlineStr">
        <is>
          <t>OPN BA01 &gt; BSA 01 Ship Propulsion Equipment &gt; P-40 LI 0131</t>
        </is>
      </c>
      <c r="AD2654" s="7" t="inlineStr">
        <is>
          <t>59</t>
        </is>
      </c>
      <c r="AE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13" t="inlineStr">
        <is>
          <t>OPN BA01 &gt; BSA 02 Generators &gt; P-40 LI 0200</t>
        </is>
      </c>
      <c r="AD2655" s="7" t="inlineStr">
        <is>
          <t>75</t>
        </is>
      </c>
      <c r="AE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13" t="inlineStr">
        <is>
          <t>OPN BA01 &gt; BSA 06 Navigation Equipment &gt; P-40 LI 0670</t>
        </is>
      </c>
      <c r="AD2656" s="7" t="inlineStr">
        <is>
          <t>83</t>
        </is>
      </c>
      <c r="AE2656" s="7" t="inlineStr">
        <is>
          <t>0670</t>
        </is>
      </c>
      <c r="AF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13" t="inlineStr">
        <is>
          <t>OPN BA01 &gt; BSA 09 Other Shipboard Equipment &gt; P-40 LI 0840</t>
        </is>
      </c>
      <c r="AD2657" s="7" t="inlineStr">
        <is>
          <t>161</t>
        </is>
      </c>
      <c r="AE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13" t="inlineStr">
        <is>
          <t>OPN BA01 &gt; BSA 09 Other Shipboard Equipment &gt; P-40 LI 0900</t>
        </is>
      </c>
      <c r="AD2658" s="7" t="inlineStr">
        <is>
          <t>197</t>
        </is>
      </c>
      <c r="AE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13" t="inlineStr">
        <is>
          <t>OPN BA01 &gt; BSA 09 &gt; P-40 LI 0900 &gt; P-3a DM014</t>
        </is>
      </c>
      <c r="AD2659" s="7" t="inlineStr">
        <is>
          <t>197</t>
        </is>
      </c>
      <c r="AE2659" s="7" t="inlineStr">
        <is>
          <t>0900</t>
        </is>
      </c>
      <c r="AF2659" s="7" t="inlineStr">
        <is>
          <t>DM014 SOLID STATE RADAR EQUIPMENT</t>
        </is>
      </c>
      <c r="AG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13" t="inlineStr">
        <is>
          <t>OPN BA01 &gt; BSA 09 &gt; P-40 LI 0900 &gt; P-3a DM001</t>
        </is>
      </c>
      <c r="AD2660" s="7" t="inlineStr">
        <is>
          <t>197</t>
        </is>
      </c>
      <c r="AE2660" s="7" t="inlineStr">
        <is>
          <t>0900</t>
        </is>
      </c>
      <c r="AF2660" s="7" t="inlineStr">
        <is>
          <t>DM001 - HES-C</t>
        </is>
      </c>
      <c r="AG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13" t="inlineStr">
        <is>
          <t>OPN BA01 &gt; BSA 09 &gt; P-40 LI 0900 &gt; P-3a DM004</t>
        </is>
      </c>
      <c r="AD2661" s="7" t="inlineStr">
        <is>
          <t>197</t>
        </is>
      </c>
      <c r="AE2661" s="7" t="inlineStr">
        <is>
          <t>0900</t>
        </is>
      </c>
      <c r="AF2661" s="7" t="inlineStr">
        <is>
          <t>DM004 - AWS UPGRADE</t>
        </is>
      </c>
      <c r="AG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13" t="inlineStr">
        <is>
          <t>OPN BA01 &gt; BSA 09 &gt; P-40 LI 0900 &gt; P-40a</t>
        </is>
      </c>
      <c r="AD2662" s="7" t="inlineStr">
        <is>
          <t>197</t>
        </is>
      </c>
      <c r="AE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13" t="inlineStr">
        <is>
          <t>OPN BA01 &gt; BSA 09 Other Shipboard Equipment &gt; P-40 LI 0910</t>
        </is>
      </c>
      <c r="AD2663" s="7" t="inlineStr">
        <is>
          <t>265</t>
        </is>
      </c>
      <c r="AE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13" t="inlineStr">
        <is>
          <t>OPN BA01 &gt; BSA 09 Other Shipboard Equipment &gt; P-40 LI 0925</t>
        </is>
      </c>
      <c r="AD2664" s="7" t="inlineStr">
        <is>
          <t>281</t>
        </is>
      </c>
      <c r="AE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13" t="inlineStr">
        <is>
          <t>OPN BA01 &gt; BSA 09 Other Shipboard Equipment &gt; P-40 LI 0933</t>
        </is>
      </c>
      <c r="AD2665" s="7" t="inlineStr">
        <is>
          <t>287</t>
        </is>
      </c>
      <c r="AE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13" t="inlineStr">
        <is>
          <t>OPN BA01 &gt; BSA 09 Other Shipboard Equipment &gt; P-40 LI 0934</t>
        </is>
      </c>
      <c r="AD2666" s="7" t="inlineStr">
        <is>
          <t>333</t>
        </is>
      </c>
      <c r="AE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13" t="inlineStr">
        <is>
          <t>OPN BA01 &gt; BSA 09 Other Shipboard Equipment &gt; P-40 LI 0935</t>
        </is>
      </c>
      <c r="AD2667" s="7" t="inlineStr">
        <is>
          <t>343</t>
        </is>
      </c>
      <c r="AE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13" t="inlineStr">
        <is>
          <t>OPN BA01 &gt; BSA 09 Other Shipboard Equipment &gt; P-40 LI 0941</t>
        </is>
      </c>
      <c r="AD2668" s="7" t="inlineStr">
        <is>
          <t>363</t>
        </is>
      </c>
      <c r="AE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13" t="inlineStr">
        <is>
          <t>OPN BA01 &gt; BSA 09 Other Shipboard Equipment &gt; P-40 LI 0942</t>
        </is>
      </c>
      <c r="AD2669" s="7" t="inlineStr">
        <is>
          <t>381</t>
        </is>
      </c>
      <c r="AE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13" t="inlineStr">
        <is>
          <t>OPN BA01 &gt; BSA 09 Other Shipboard Equipment &gt; P-40 LI 0944</t>
        </is>
      </c>
      <c r="AD2670" s="7" t="inlineStr">
        <is>
          <t>389</t>
        </is>
      </c>
      <c r="AE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13" t="inlineStr">
        <is>
          <t>OPN BA01 &gt; BSA 09 Other Shipboard Equipment &gt; P-40 LI 0945</t>
        </is>
      </c>
      <c r="AD2671" s="7" t="inlineStr">
        <is>
          <t>395</t>
        </is>
      </c>
      <c r="AE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13" t="inlineStr">
        <is>
          <t>OPN BA01 &gt; BSA 09 Other Shipboard Equipment &gt; P-40 LI 0946</t>
        </is>
      </c>
      <c r="AD2672" s="7" t="inlineStr">
        <is>
          <t>403</t>
        </is>
      </c>
      <c r="AE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13" t="inlineStr">
        <is>
          <t>OPN BA01 &gt; BSA 09 Other Shipboard Equipment &gt; P-40 LI 0947</t>
        </is>
      </c>
      <c r="AD2673" s="7" t="inlineStr">
        <is>
          <t>439</t>
        </is>
      </c>
      <c r="AE2673" s="7" t="inlineStr">
        <is>
          <t>0947</t>
        </is>
      </c>
      <c r="AF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13" t="inlineStr">
        <is>
          <t>OPN BA01 &gt; BSA 09 &gt; P-40 LI 0947 &gt; P-3a CPS</t>
        </is>
      </c>
      <c r="AD2674" s="7" t="inlineStr">
        <is>
          <t>439</t>
        </is>
      </c>
      <c r="AE2674" s="7" t="inlineStr">
        <is>
          <t>0947</t>
        </is>
      </c>
      <c r="AG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13" t="inlineStr">
        <is>
          <t>OPN BA01 &gt; BSA 09 Other Shipboard Equipment &gt; P-40 LI 0950</t>
        </is>
      </c>
      <c r="AD2675" s="7" t="inlineStr">
        <is>
          <t>455</t>
        </is>
      </c>
      <c r="AE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13" t="inlineStr">
        <is>
          <t>OPN BA01 &gt; BSA 09 Other Shipboard Equipment &gt; P-40 LI 0955</t>
        </is>
      </c>
      <c r="AD2676" s="7" t="inlineStr">
        <is>
          <t>463</t>
        </is>
      </c>
      <c r="AE2676" s="7" t="inlineStr">
        <is>
          <t>0955</t>
        </is>
      </c>
      <c r="AF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13" t="inlineStr">
        <is>
          <t>OPN BA01 &gt; BSA 09 Other Shipboard Equipment &gt; P-40 LI 0960</t>
        </is>
      </c>
      <c r="AD2677" s="7" t="inlineStr">
        <is>
          <t>467</t>
        </is>
      </c>
      <c r="AE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13" t="inlineStr">
        <is>
          <t>OPN BA01 &gt; BSA 09 Other Shipboard Equipment &gt; P-40 LI 0970</t>
        </is>
      </c>
      <c r="AD2678" s="7" t="inlineStr">
        <is>
          <t>469</t>
        </is>
      </c>
      <c r="AE2678" s="7" t="inlineStr">
        <is>
          <t>0970</t>
        </is>
      </c>
      <c r="AF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13" t="inlineStr">
        <is>
          <t>OPN BA01 &gt; BSA 09 Other Shipboard Equipment &gt; P-40 LI 0977</t>
        </is>
      </c>
      <c r="AD2679" s="7" t="inlineStr">
        <is>
          <t>473</t>
        </is>
      </c>
      <c r="AE2679" s="7" t="inlineStr">
        <is>
          <t>0977</t>
        </is>
      </c>
      <c r="AF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13" t="inlineStr">
        <is>
          <t>OPN BA01 &gt; BSA 09 Other Shipboard Equipment &gt; P-40 LI 0981</t>
        </is>
      </c>
      <c r="AD2680" s="7" t="inlineStr">
        <is>
          <t>495</t>
        </is>
      </c>
      <c r="AE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13" t="inlineStr">
        <is>
          <t>OPN BA01 &gt; BSA 09 Other Shipboard Equipment &gt; P-40 LI 0989</t>
        </is>
      </c>
      <c r="AD2681" s="7" t="inlineStr">
        <is>
          <t>509</t>
        </is>
      </c>
      <c r="AE2681" s="7" t="inlineStr">
        <is>
          <t>0989</t>
        </is>
      </c>
      <c r="AF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inlineStr">
        <is>
          <t>2/4</t>
        </is>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13" t="inlineStr">
        <is>
          <t>OPN BA01 &gt; BSA 10 Reactor Plant Equipment &gt; P-40 LI 1000</t>
        </is>
      </c>
      <c r="AD2682" s="7" t="inlineStr">
        <is>
          <t>521</t>
        </is>
      </c>
      <c r="AE2682" s="7" t="inlineStr">
        <is>
          <t>1000</t>
        </is>
      </c>
      <c r="AF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inlineStr">
        <is>
          <t>2/4</t>
        </is>
      </c>
      <c r="K2683" s="15" t="n"/>
      <c r="O2683" s="15" t="n"/>
      <c r="P2683" s="16" t="n">
        <v>1208571</v>
      </c>
      <c r="Q2683" s="16" t="n">
        <v>1168393</v>
      </c>
      <c r="S2683" s="16" t="n">
        <v>1306538</v>
      </c>
      <c r="AC2683" s="13" t="inlineStr">
        <is>
          <t>OPN BA01 &gt; BSA 10 &gt; P-40 LI 1000 &gt; CPF detail</t>
        </is>
      </c>
      <c r="AD2683" s="7" t="inlineStr">
        <is>
          <t>521</t>
        </is>
      </c>
      <c r="AE2683" s="7" t="inlineStr">
        <is>
          <t>1000</t>
        </is>
      </c>
      <c r="AF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inlineStr">
        <is>
          <t>2/4</t>
        </is>
      </c>
      <c r="K2684" s="15" t="n"/>
      <c r="O2684" s="15" t="n"/>
      <c r="P2684" s="16" t="n">
        <v>1630608</v>
      </c>
      <c r="Q2684" s="16" t="n">
        <v>1223797</v>
      </c>
      <c r="S2684" s="16" t="n">
        <v>1086082</v>
      </c>
      <c r="AC2684" s="13" t="inlineStr">
        <is>
          <t>OPN BA01 &gt; BSA 10 &gt; P-40 LI 1000 &gt; FFC detail</t>
        </is>
      </c>
      <c r="AD2684" s="7" t="inlineStr">
        <is>
          <t>521</t>
        </is>
      </c>
      <c r="AE2684" s="7" t="inlineStr">
        <is>
          <t>1000</t>
        </is>
      </c>
      <c r="AF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13" t="inlineStr">
        <is>
          <t>OPN BA01 &gt; BSA 10 Reactor Plant Equipment &gt; P-40 LI 1010</t>
        </is>
      </c>
      <c r="AD2685" s="7" t="inlineStr">
        <is>
          <t>539</t>
        </is>
      </c>
      <c r="AE2685" s="7" t="inlineStr">
        <is>
          <t>1010</t>
        </is>
      </c>
      <c r="AF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13" t="inlineStr">
        <is>
          <t>OPN BA01 &gt; BSA 10 Reactor Plant Equipment &gt; P-40 LI 1020</t>
        </is>
      </c>
      <c r="AD2686" s="7" t="inlineStr">
        <is>
          <t>543</t>
        </is>
      </c>
      <c r="AE2686" s="7" t="inlineStr">
        <is>
          <t>1020</t>
        </is>
      </c>
      <c r="AF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13" t="inlineStr">
        <is>
          <t>OPN BA01 &gt; BSA 11 Ocean Engineering &gt; P-40 LI 1130</t>
        </is>
      </c>
      <c r="AD2687" s="7" t="inlineStr">
        <is>
          <t>547</t>
        </is>
      </c>
      <c r="AE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13" t="inlineStr">
        <is>
          <t>OPN BA01 &gt; BSA 12 Small Boats &gt; P-40 LI 1210</t>
        </is>
      </c>
      <c r="AD2689" s="7" t="inlineStr">
        <is>
          <t>571</t>
        </is>
      </c>
      <c r="AE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13" t="inlineStr">
        <is>
          <t>OPN BA01 &gt; BSA 12 &gt; P-40 LI 1210 &gt; H0001</t>
        </is>
      </c>
      <c r="AD2690" s="7" t="inlineStr">
        <is>
          <t>571</t>
        </is>
      </c>
      <c r="AE2690" s="7" t="inlineStr">
        <is>
          <t>1210</t>
        </is>
      </c>
      <c r="AF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13" t="inlineStr">
        <is>
          <t>OPN BA01 &gt; BSA 12 &gt; P-40 LI 1210 &gt; H0004</t>
        </is>
      </c>
      <c r="AD2691" s="7" t="inlineStr">
        <is>
          <t>571</t>
        </is>
      </c>
      <c r="AE2691" s="7" t="inlineStr">
        <is>
          <t>1210</t>
        </is>
      </c>
      <c r="AF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13" t="inlineStr">
        <is>
          <t>OPN BA01 &gt; BSA 14 Production Facilities Equipment &gt; P-40 LI 1445</t>
        </is>
      </c>
      <c r="AD2692" s="7" t="inlineStr">
        <is>
          <t>589</t>
        </is>
      </c>
      <c r="AE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13" t="inlineStr">
        <is>
          <t>OPN BA01 &gt; BSA 15 Other Ship Support &gt; P-40 LI 1600</t>
        </is>
      </c>
      <c r="AD2693" s="7" t="inlineStr">
        <is>
          <t>607</t>
        </is>
      </c>
      <c r="AE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13" t="inlineStr">
        <is>
          <t>OPN BA01 &gt; BSA 15 Other Ship Support &gt; P-40 LI 1601</t>
        </is>
      </c>
      <c r="AD2694" s="7" t="inlineStr">
        <is>
          <t>621</t>
        </is>
      </c>
      <c r="AE2694" s="7" t="inlineStr">
        <is>
          <t>1601</t>
        </is>
      </c>
      <c r="AF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13" t="inlineStr">
        <is>
          <t>OPN BA01 &gt; BSA 15 Other Ship Support &gt; P-40 LI 1603</t>
        </is>
      </c>
      <c r="AD2695" s="7" t="inlineStr">
        <is>
          <t>635</t>
        </is>
      </c>
      <c r="AE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13" t="inlineStr">
        <is>
          <t>OPN BA01 &gt; BSA 15 Other Ship Support &gt; P-40 LI 1604</t>
        </is>
      </c>
      <c r="AD2696" s="7" t="inlineStr">
        <is>
          <t>641</t>
        </is>
      </c>
      <c r="AE2696" s="7" t="inlineStr">
        <is>
          <t>1604</t>
        </is>
      </c>
      <c r="AF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13" t="inlineStr">
        <is>
          <t>OPN BA01 &gt; BSA 15 Other Ship Support &gt; P-40 LI 1611</t>
        </is>
      </c>
      <c r="AD2697" s="7" t="inlineStr">
        <is>
          <t>667</t>
        </is>
      </c>
      <c r="AE2697" s="7" t="inlineStr">
        <is>
          <t>1611</t>
        </is>
      </c>
      <c r="AF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13" t="inlineStr">
        <is>
          <t>OPN BA01 &gt; BSA 16 Logistic Support &gt; P-40 LI 1610</t>
        </is>
      </c>
      <c r="AD2699" s="7" t="inlineStr">
        <is>
          <t>681</t>
        </is>
      </c>
      <c r="AE2699" s="7" t="inlineStr">
        <is>
          <t>1610</t>
        </is>
      </c>
      <c r="AF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13" t="inlineStr">
        <is>
          <t>OPN BA2 P-1 Summary / 1810N Budget Activity Summary</t>
        </is>
      </c>
      <c r="AD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13" t="inlineStr">
        <is>
          <t>OPN BA2 &gt; BSA 2: Ship Sonars &gt; LI 2026 SPQ-9B Radar</t>
        </is>
      </c>
      <c r="AD2701" s="7" t="inlineStr">
        <is>
          <t>61</t>
        </is>
      </c>
      <c r="AE2701" s="7" t="inlineStr">
        <is>
          <t>2026</t>
        </is>
      </c>
      <c r="AF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13" t="inlineStr">
        <is>
          <t>OPN BA2 &gt; BSA 2: Ship Sonars &gt; LI 2026 SPQ-9B Radar &gt; P-3a BR040</t>
        </is>
      </c>
      <c r="AD2702" s="7" t="inlineStr">
        <is>
          <t>66</t>
        </is>
      </c>
      <c r="AE2702" s="7" t="inlineStr">
        <is>
          <t>2026</t>
        </is>
      </c>
      <c r="AF2702" s="7" t="inlineStr">
        <is>
          <t>BR040 AN/SPQ-9B RADAR</t>
        </is>
      </c>
      <c r="AG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13" t="inlineStr">
        <is>
          <t>OPN BA2 &gt; BSA 2: Ship Sonars &gt; LI 2136 AN/SQQ-89 Surf ASW Cmbt Sys</t>
        </is>
      </c>
      <c r="AD2703" s="7" t="inlineStr">
        <is>
          <t>69</t>
        </is>
      </c>
      <c r="AE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13" t="inlineStr">
        <is>
          <t>OPN BA2 &gt; BSA 2: Ship Sonars &gt; LI 2136 &gt; P-40a AN/SQQ-89(V)</t>
        </is>
      </c>
      <c r="AD2704" s="7" t="inlineStr">
        <is>
          <t>79</t>
        </is>
      </c>
      <c r="AE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13" t="inlineStr">
        <is>
          <t>OPN BA2 &gt; BSA 2: Ship Sonars &gt; LI 2136 &gt; P-3a DDG79-112 FLT IIA</t>
        </is>
      </c>
      <c r="AD2705" s="7" t="inlineStr">
        <is>
          <t>83</t>
        </is>
      </c>
      <c r="AE2705" s="7" t="inlineStr">
        <is>
          <t>2136</t>
        </is>
      </c>
      <c r="AG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13" t="inlineStr">
        <is>
          <t>OPN BA2 &gt; BSA 2: Ship Sonars &gt; LI 2136 &gt; P-3a DDG51-78 FLT I/II</t>
        </is>
      </c>
      <c r="AD2706" s="7" t="inlineStr">
        <is>
          <t>87</t>
        </is>
      </c>
      <c r="AE2706" s="7" t="inlineStr">
        <is>
          <t>2136</t>
        </is>
      </c>
      <c r="AG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13" t="inlineStr">
        <is>
          <t>OPN BA2 &gt; BSA 2: Ship Sonars &gt; LI 2136 &gt; P-3a DDG113-132 MFTA</t>
        </is>
      </c>
      <c r="AD2707" s="7" t="inlineStr">
        <is>
          <t>90</t>
        </is>
      </c>
      <c r="AE2707" s="7" t="inlineStr">
        <is>
          <t>2136</t>
        </is>
      </c>
      <c r="AG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13" t="inlineStr">
        <is>
          <t>OPN BA2 &gt; BSA 2: Ship Sonars &gt; LI 2136 &gt; P-3a TI/Refresh</t>
        </is>
      </c>
      <c r="AD2708" s="7" t="inlineStr">
        <is>
          <t>93</t>
        </is>
      </c>
      <c r="AE2708" s="7" t="inlineStr">
        <is>
          <t>2136</t>
        </is>
      </c>
      <c r="AG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13" t="inlineStr">
        <is>
          <t>OPN BA2 &gt; BSA 2: Ship Sonars &gt; LI 2136 &gt; P-3a TI/Refresh BIP</t>
        </is>
      </c>
      <c r="AD2709" s="7" t="inlineStr">
        <is>
          <t>97</t>
        </is>
      </c>
      <c r="AE2709" s="7" t="inlineStr">
        <is>
          <t>2136</t>
        </is>
      </c>
      <c r="AG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13" t="inlineStr">
        <is>
          <t>OPN BA2 &gt; BSA 2: Ship Sonars &gt; LI 2150 SSN Acoustic Equipment</t>
        </is>
      </c>
      <c r="AD2710" s="7" t="inlineStr">
        <is>
          <t>101</t>
        </is>
      </c>
      <c r="AE2710" s="7" t="inlineStr">
        <is>
          <t>2150</t>
        </is>
      </c>
      <c r="AF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13" t="inlineStr">
        <is>
          <t>OPN BA2 &gt; BSA 2: Ship Sonars &gt; LI 2150 &gt; LWWAA</t>
        </is>
      </c>
      <c r="AD2711" s="7" t="inlineStr">
        <is>
          <t>109</t>
        </is>
      </c>
      <c r="AE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 / SSGN</t>
        </is>
      </c>
      <c r="O2712" s="15" t="n"/>
      <c r="P2712" s="16" t="n">
        <v>5250</v>
      </c>
      <c r="Q2712" s="16" t="n">
        <v>0</v>
      </c>
      <c r="S2712" s="16" t="n">
        <v>0</v>
      </c>
      <c r="AC2712" s="13" t="inlineStr">
        <is>
          <t>OPN BA2 &gt; BSA 2: Ship Sonars &gt; LI 2150 &gt; SSBN Legacy</t>
        </is>
      </c>
      <c r="AD2712" s="7" t="inlineStr">
        <is>
          <t>112</t>
        </is>
      </c>
      <c r="AE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13" t="inlineStr">
        <is>
          <t>OPN BA2 &gt; BSA 2: Ship Sonars &gt; LI 2150 &gt; LCCA</t>
        </is>
      </c>
      <c r="AD2713" s="7" t="inlineStr">
        <is>
          <t>115</t>
        </is>
      </c>
      <c r="AE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13" t="inlineStr">
        <is>
          <t>OPN BA2 &gt; BSA 2: Ship Sonars &gt; LI 2150 &gt; HFSA</t>
        </is>
      </c>
      <c r="AD2714" s="7" t="inlineStr">
        <is>
          <t>118</t>
        </is>
      </c>
      <c r="AE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 / SSGN</t>
        </is>
      </c>
      <c r="O2715" s="15" t="n"/>
      <c r="P2715" s="16" t="n">
        <v>20453</v>
      </c>
      <c r="Q2715" s="16" t="n">
        <v>41245</v>
      </c>
      <c r="S2715" s="16" t="n">
        <v>42070</v>
      </c>
      <c r="AC2715" s="13" t="inlineStr">
        <is>
          <t>OPN BA2 &gt; BSA 2: Ship Sonars &gt; LI 2150 &gt; LVA Ohio</t>
        </is>
      </c>
      <c r="AD2715" s="7" t="inlineStr">
        <is>
          <t>121</t>
        </is>
      </c>
      <c r="AE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13" t="inlineStr">
        <is>
          <t>OPN BA2 &gt; BSA 2: Ship Sonars &gt; LI 2150 &gt; LVA Virginia</t>
        </is>
      </c>
      <c r="AD2716" s="7" t="inlineStr">
        <is>
          <t>124</t>
        </is>
      </c>
      <c r="AE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13" t="inlineStr">
        <is>
          <t>OPN BA2 &gt; BSA 2: Ship Sonars &gt; LI 2150 &gt; ARCI 688</t>
        </is>
      </c>
      <c r="AD2717" s="7" t="inlineStr">
        <is>
          <t>127</t>
        </is>
      </c>
      <c r="AE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13" t="inlineStr">
        <is>
          <t>OPN BA2 &gt; BSA 2: Ship Sonars &gt; LI 2150 &gt; ARCI Seawolf</t>
        </is>
      </c>
      <c r="AD2718" s="7" t="inlineStr">
        <is>
          <t>130</t>
        </is>
      </c>
      <c r="AE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13" t="inlineStr">
        <is>
          <t>OPN BA2 &gt; BSA 2: Ship Sonars &gt; LI 2150 &gt; ARCI Virginia</t>
        </is>
      </c>
      <c r="AD2719" s="7" t="inlineStr">
        <is>
          <t>133</t>
        </is>
      </c>
      <c r="AE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 / SSGN</t>
        </is>
      </c>
      <c r="O2720" s="15" t="n"/>
      <c r="P2720" s="16" t="n">
        <v>22872</v>
      </c>
      <c r="Q2720" s="16" t="n">
        <v>35389</v>
      </c>
      <c r="S2720" s="16" t="n">
        <v>46823</v>
      </c>
      <c r="AC2720" s="13" t="inlineStr">
        <is>
          <t>OPN BA2 &gt; BSA 2: Ship Sonars &gt; LI 2150 &gt; SSBN TI Ohio</t>
        </is>
      </c>
      <c r="AD2720" s="7" t="inlineStr">
        <is>
          <t>137</t>
        </is>
      </c>
      <c r="AE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13" t="inlineStr">
        <is>
          <t>OPN BA2 &gt; BSA 2: Ship Sonars &gt; LI 2150 &gt; CRAW MK 58</t>
        </is>
      </c>
      <c r="AD2721" s="7" t="inlineStr">
        <is>
          <t>173</t>
        </is>
      </c>
      <c r="AE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13" t="inlineStr">
        <is>
          <t>OPN BA2 &gt; BSA 2: Ship Sonars &gt; LI 2176 Undersea Warfare Support Equipment</t>
        </is>
      </c>
      <c r="AD2722" s="7" t="inlineStr">
        <is>
          <t>141</t>
        </is>
      </c>
      <c r="AE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13" t="inlineStr">
        <is>
          <t>OPN BA2 &gt; BSA 3: ASW Electronic Equipment &gt; LI 2210 Submarine Acoustic Warfare System</t>
        </is>
      </c>
      <c r="AD2723" s="7" t="inlineStr">
        <is>
          <t>149</t>
        </is>
      </c>
      <c r="AE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13" t="inlineStr">
        <is>
          <t>OPN BA2 &gt; BSA 3: ASW Electronic Equipment &gt; LI 2213 Surface Ship Torpedo Def (SSTD)</t>
        </is>
      </c>
      <c r="AD2724" s="7" t="inlineStr">
        <is>
          <t>177</t>
        </is>
      </c>
      <c r="AE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13" t="inlineStr">
        <is>
          <t>OPN BA2 &gt; BSA 3: ASW Electronic Equipment &gt; LI 2225 Fixed Surveillance System</t>
        </is>
      </c>
      <c r="AD2725" s="7" t="inlineStr">
        <is>
          <t>187</t>
        </is>
      </c>
      <c r="AE2725" s="7" t="inlineStr">
        <is>
          <t>2225</t>
        </is>
      </c>
      <c r="AF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13" t="inlineStr">
        <is>
          <t>OPN BA2 &gt; BSA 3: ASW Electronic Equipment &gt; LI 2237 SURTASS</t>
        </is>
      </c>
      <c r="AD2726" s="7" t="inlineStr">
        <is>
          <t>191</t>
        </is>
      </c>
      <c r="AE2726" s="7" t="inlineStr">
        <is>
          <t>2237</t>
        </is>
      </c>
      <c r="AF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13" t="inlineStr">
        <is>
          <t>OPN BA2 &gt; BSA 3 &gt; LI 2237 SURTASS &gt; ICP</t>
        </is>
      </c>
      <c r="AD2727" s="7" t="inlineStr">
        <is>
          <t>195</t>
        </is>
      </c>
      <c r="AE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13" t="inlineStr">
        <is>
          <t>OPN BA2 &gt; BSA 3 &gt; LI 2237 SURTASS &gt; TL-29A</t>
        </is>
      </c>
      <c r="AD2728" s="7" t="inlineStr">
        <is>
          <t>199</t>
        </is>
      </c>
      <c r="AE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13" t="inlineStr">
        <is>
          <t>OPN BA2 &gt; BSA 3 &gt; LI 2237 SURTASS &gt; J-AOS</t>
        </is>
      </c>
      <c r="AD2729" s="7" t="inlineStr">
        <is>
          <t>208</t>
        </is>
      </c>
      <c r="AE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13" t="inlineStr">
        <is>
          <t>OPN BA2 &gt; BSA 4: Electronic Warfare Equipment &gt; LI 2312 AN/SLQ-32</t>
        </is>
      </c>
      <c r="AD2730" s="7" t="inlineStr">
        <is>
          <t>213</t>
        </is>
      </c>
      <c r="AE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13" t="inlineStr">
        <is>
          <t>OPN BA2 &gt; BSA 4 &gt; LI 2312 &gt; SEWIP Block 1</t>
        </is>
      </c>
      <c r="AD2731" s="7" t="inlineStr">
        <is>
          <t>224</t>
        </is>
      </c>
      <c r="AE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13" t="inlineStr">
        <is>
          <t>OPN BA2 &gt; BSA 4 &gt; LI 2312 &gt; SEWIP Block 1B3</t>
        </is>
      </c>
      <c r="AD2732" s="7" t="inlineStr">
        <is>
          <t>228</t>
        </is>
      </c>
      <c r="AE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13" t="inlineStr">
        <is>
          <t>OPN BA2 &gt; BSA 4 &gt; LI 2312 &gt; SEWIP Block 2</t>
        </is>
      </c>
      <c r="AD2733" s="7" t="inlineStr">
        <is>
          <t>233</t>
        </is>
      </c>
      <c r="AE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13" t="inlineStr">
        <is>
          <t>OPN BA2 &gt; BSA 4 &gt; LI 2312 &gt; SEWIP Block 3</t>
        </is>
      </c>
      <c r="AD2734" s="7" t="inlineStr">
        <is>
          <t>242</t>
        </is>
      </c>
      <c r="AE2734" s="7" t="inlineStr">
        <is>
          <t>2312</t>
        </is>
      </c>
      <c r="AF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13" t="inlineStr">
        <is>
          <t>OPN BA2 &gt; BSA 4 &gt; LI 2312 &gt; SOEA</t>
        </is>
      </c>
      <c r="AD2735" s="7" t="inlineStr">
        <is>
          <t>251</t>
        </is>
      </c>
      <c r="AE2735" s="7" t="inlineStr">
        <is>
          <t>2312</t>
        </is>
      </c>
      <c r="AF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13" t="inlineStr">
        <is>
          <t>OPN BA2 &gt; BSA 5: Reconnaissance Equipment &gt; LI 2360 Shipboard IW Exploit</t>
        </is>
      </c>
      <c r="AD2736" s="7" t="inlineStr">
        <is>
          <t>255</t>
        </is>
      </c>
      <c r="AE2736" s="7" t="inlineStr">
        <is>
          <t>2360</t>
        </is>
      </c>
      <c r="AF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13" t="inlineStr">
        <is>
          <t>OPN BA2 &gt; BSA 5 &gt; LI 2360 &gt; SSEE Inc F</t>
        </is>
      </c>
      <c r="AD2737" s="7" t="inlineStr">
        <is>
          <t>267</t>
        </is>
      </c>
      <c r="AE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13" t="inlineStr">
        <is>
          <t>OPN BA2 &gt; BSA 5 &gt; LI 2360 &gt; RTSO</t>
        </is>
      </c>
      <c r="AD2738" s="7" t="inlineStr">
        <is>
          <t>278</t>
        </is>
      </c>
      <c r="AE2738" s="7" t="inlineStr">
        <is>
          <t>2360</t>
        </is>
      </c>
      <c r="AF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13" t="inlineStr">
        <is>
          <t>OPN BA2 &gt; BSA 5 &gt; LI 2360 &gt; Spectral</t>
        </is>
      </c>
      <c r="AD2739" s="7" t="inlineStr">
        <is>
          <t>289</t>
        </is>
      </c>
      <c r="AE2739" s="7" t="inlineStr">
        <is>
          <t>2360</t>
        </is>
      </c>
      <c r="AF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13" t="inlineStr">
        <is>
          <t>OPN BA2 &gt; BSA 5 &gt; LI 2360 &gt; CCOP (from LI 3501)</t>
        </is>
      </c>
      <c r="AD2740" s="7" t="inlineStr">
        <is>
          <t>256</t>
        </is>
      </c>
      <c r="AE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13" t="inlineStr">
        <is>
          <t>OPN BA2 &gt; BSA 5: Reconnaissance Equipment &gt; LI 2361 Automatic Identification System (AIS)</t>
        </is>
      </c>
      <c r="AD2741" s="7" t="inlineStr">
        <is>
          <t>297</t>
        </is>
      </c>
      <c r="AE2741" s="7" t="inlineStr">
        <is>
          <t>2361</t>
        </is>
      </c>
      <c r="AF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13" t="inlineStr">
        <is>
          <t>OPN BA2 &gt; BSA 7: Other Ship Electronic Equipment &gt; LI 2606 Cooperative Engagement Capability</t>
        </is>
      </c>
      <c r="AD2742" s="7" t="inlineStr">
        <is>
          <t>303</t>
        </is>
      </c>
      <c r="AE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13" t="inlineStr">
        <is>
          <t>OPN BA2 &gt; BSA 7: Other Ship Electronic Equipment &gt; LI 2611 Naval Tact Cmd Supt Sys (NTCSS)</t>
        </is>
      </c>
      <c r="AD2743" s="7" t="inlineStr">
        <is>
          <t>319</t>
        </is>
      </c>
      <c r="AE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13" t="inlineStr">
        <is>
          <t>OPN BA2 &gt; BSA 7: Other Ship Electronic Equipment &gt; LI 2614 Adv Tact Data Link Sys (ATDLS)</t>
        </is>
      </c>
      <c r="AD2744" s="7" t="inlineStr">
        <is>
          <t>337</t>
        </is>
      </c>
      <c r="AE2744" s="7" t="inlineStr">
        <is>
          <t>2614</t>
        </is>
      </c>
      <c r="AF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13" t="inlineStr">
        <is>
          <t>OPN BA2 &gt; BSA 7: Other Ship Electronic Equipment &gt; LI 2618 Navy Command and Control System (NCCS)</t>
        </is>
      </c>
      <c r="AD2745" s="7" t="inlineStr">
        <is>
          <t>351</t>
        </is>
      </c>
      <c r="AE2745" s="7" t="inlineStr">
        <is>
          <t>2618</t>
        </is>
      </c>
      <c r="AF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13" t="inlineStr">
        <is>
          <t>OPN BA2 &gt; BSA 7: Other Ship Electronic Equipment &gt; LI 2622 Minesweeping System Replacement</t>
        </is>
      </c>
      <c r="AD2746" s="7" t="inlineStr">
        <is>
          <t>359</t>
        </is>
      </c>
      <c r="AE2746" s="7" t="inlineStr">
        <is>
          <t>2622</t>
        </is>
      </c>
      <c r="AF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13" t="inlineStr">
        <is>
          <t>OPN BA2 &gt; BSA 7: Other Ship Electronic Equipment &gt; LI 2657 NAVSTAR GPS Receivers (Space)</t>
        </is>
      </c>
      <c r="AD2747" s="7" t="inlineStr">
        <is>
          <t>363</t>
        </is>
      </c>
      <c r="AE2747" s="7" t="inlineStr">
        <is>
          <t>2657</t>
        </is>
      </c>
      <c r="AF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13" t="inlineStr">
        <is>
          <t>OPN BA2 &gt; BSA 7: Other Ship Electronic Equipment &gt; LI 2666 American Forces Radio and TV Service (AFRTS)</t>
        </is>
      </c>
      <c r="AD2748" s="7" t="inlineStr">
        <is>
          <t>375</t>
        </is>
      </c>
      <c r="AE2748" s="7" t="inlineStr">
        <is>
          <t>2666</t>
        </is>
      </c>
      <c r="AF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 / SSGN</t>
        </is>
      </c>
      <c r="O2749" s="15" t="n"/>
      <c r="P2749" s="16" t="n">
        <v>6433</v>
      </c>
      <c r="Q2749" s="16" t="n">
        <v>0</v>
      </c>
      <c r="S2749" s="16" t="n">
        <v>0</v>
      </c>
      <c r="T2749" s="16" t="n">
        <v>0</v>
      </c>
      <c r="U2749" s="16" t="n">
        <v>0</v>
      </c>
      <c r="AC2749" s="13" t="inlineStr">
        <is>
          <t>OPN BA2 &gt; BSA 7: Other Ship Electronic Equipment &gt; LI 2676 Strategic Platform Support Equip</t>
        </is>
      </c>
      <c r="AD2749" s="7" t="inlineStr">
        <is>
          <t>381</t>
        </is>
      </c>
      <c r="AE2749" s="7" t="inlineStr">
        <is>
          <t>2676</t>
        </is>
      </c>
      <c r="AF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13" t="inlineStr">
        <is>
          <t>OPN BA2 &gt; BSA 9: Aviation Electronic Equipment &gt; LI 2820 Ashore ATC Equipment</t>
        </is>
      </c>
      <c r="AD2750" s="7" t="inlineStr">
        <is>
          <t>385</t>
        </is>
      </c>
      <c r="AE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13" t="inlineStr">
        <is>
          <t>OPN BA2 &gt; BSA 9: Aviation Electronic Equipment &gt; LI 2830 Afloat ATC Equipment</t>
        </is>
      </c>
      <c r="AD2751" s="7" t="inlineStr">
        <is>
          <t>449</t>
        </is>
      </c>
      <c r="AE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13" t="inlineStr">
        <is>
          <t>OPN BA2 &gt; BSA 9 &gt; LI 2830 &gt; SATR AN/SPN-50(V)</t>
        </is>
      </c>
      <c r="AD2752" s="7" t="inlineStr">
        <is>
          <t>457</t>
        </is>
      </c>
      <c r="AE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13" t="inlineStr">
        <is>
          <t>OPN BA2 &gt; BSA 9 &gt; LI 2830 &gt; AN/SPN-46 Block IV</t>
        </is>
      </c>
      <c r="AD2753" s="7" t="inlineStr">
        <is>
          <t>467</t>
        </is>
      </c>
      <c r="AE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13" t="inlineStr">
        <is>
          <t>OPN BA2 &gt; BSA 9: Aviation Electronic Equipment &gt; LI 2851 ID Systems</t>
        </is>
      </c>
      <c r="AD2754" s="7" t="inlineStr">
        <is>
          <t>473</t>
        </is>
      </c>
      <c r="AE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13" t="inlineStr">
        <is>
          <t>OPN BA2 &gt; BSA 9 &gt; LI 2851 &gt; Mode 5</t>
        </is>
      </c>
      <c r="AD2755" s="7" t="inlineStr">
        <is>
          <t>482</t>
        </is>
      </c>
      <c r="AE2755" s="7" t="inlineStr">
        <is>
          <t>2851</t>
        </is>
      </c>
      <c r="AF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13" t="inlineStr">
        <is>
          <t>OPN BA2 &gt; BSA 9 &gt; LI 2851 &gt; AN/UPX-34A</t>
        </is>
      </c>
      <c r="AD2756" s="7" t="inlineStr">
        <is>
          <t>495</t>
        </is>
      </c>
      <c r="AE2756" s="7" t="inlineStr">
        <is>
          <t>2851</t>
        </is>
      </c>
      <c r="AF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13" t="inlineStr">
        <is>
          <t>OPN BA2 &gt; BSA 9 &gt; LI 2851 &gt; DDG 1000 IFF</t>
        </is>
      </c>
      <c r="AD2757" s="7" t="inlineStr">
        <is>
          <t>501</t>
        </is>
      </c>
      <c r="AE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13" t="inlineStr">
        <is>
          <t>OPN BA2 &gt; BSA 9: Aviation Electronic Equipment &gt; LI 2867 Joint Precision Approach and Landing System (JPALS)</t>
        </is>
      </c>
      <c r="AD2758" s="7" t="inlineStr">
        <is>
          <t>507</t>
        </is>
      </c>
      <c r="AE2758" s="7" t="inlineStr">
        <is>
          <t>2867</t>
        </is>
      </c>
      <c r="AF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13" t="inlineStr">
        <is>
          <t>OPN BA2 &gt; BSA 9: Aviation Electronic Equipment &gt; LI 2876 Naval Mission Planning Systems</t>
        </is>
      </c>
      <c r="AD2759" s="7" t="inlineStr">
        <is>
          <t>513</t>
        </is>
      </c>
      <c r="AE2759" s="7" t="inlineStr">
        <is>
          <t>2876</t>
        </is>
      </c>
      <c r="AF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13" t="inlineStr">
        <is>
          <t>OPN BA2 &gt; BSA 10: Other Shore Electronic Equipment &gt; LI 2900 Maritime Integrated Broadcast System</t>
        </is>
      </c>
      <c r="AD2760" s="7" t="inlineStr">
        <is>
          <t>525</t>
        </is>
      </c>
      <c r="AE2760" s="7" t="inlineStr">
        <is>
          <t>2900</t>
        </is>
      </c>
      <c r="AF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13" t="inlineStr">
        <is>
          <t>OPN BA2 &gt; BSA 10: Other Shore Electronic Equipment &gt; LI 2906 Tactical/Mobile C4I Systems</t>
        </is>
      </c>
      <c r="AD2761" s="7" t="inlineStr">
        <is>
          <t>529</t>
        </is>
      </c>
      <c r="AE2761" s="7" t="inlineStr">
        <is>
          <t>2906</t>
        </is>
      </c>
      <c r="AF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13" t="inlineStr">
        <is>
          <t>OPN BA2 &gt; BSA 10: Other Shore Electronic Equipment &gt; LI 2914 ISR</t>
        </is>
      </c>
      <c r="AD2762" s="7" t="inlineStr">
        <is>
          <t>543</t>
        </is>
      </c>
      <c r="AE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13" t="inlineStr">
        <is>
          <t>OPN BA2 &gt; BSA 10: Other Shore Electronic Equipment &gt; LI 2915 CANES</t>
        </is>
      </c>
      <c r="AD2763" s="7" t="inlineStr">
        <is>
          <t>557</t>
        </is>
      </c>
      <c r="AE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13" t="inlineStr">
        <is>
          <t>OPN BA2 &gt; BSA 10: Other Shore Electronic Equipment &gt; LI 2920 RADIAC</t>
        </is>
      </c>
      <c r="AD2764" s="7" t="inlineStr">
        <is>
          <t>571</t>
        </is>
      </c>
      <c r="AE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13" t="inlineStr">
        <is>
          <t>OPN BA2 &gt; BSA 10: Other Shore Electronic Equipment &gt; LI 2925 CANES Intell</t>
        </is>
      </c>
      <c r="AD2765" s="7" t="inlineStr">
        <is>
          <t>583</t>
        </is>
      </c>
      <c r="AE2765" s="7" t="inlineStr">
        <is>
          <t>2925</t>
        </is>
      </c>
      <c r="AF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13" t="inlineStr">
        <is>
          <t>OPN BA2 &gt; BSA 10: Other Shore Electronic Equipment &gt; LI 2940 Gen Purp Elec Test Equip (GPETE)</t>
        </is>
      </c>
      <c r="AD2766" s="7" t="inlineStr">
        <is>
          <t>593</t>
        </is>
      </c>
      <c r="AE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13" t="inlineStr">
        <is>
          <t>OPN BA2 &gt; BSA 10: Other Shore Electronic Equipment &gt; LI 2950 Network Tactical CDL (MASF)</t>
        </is>
      </c>
      <c r="AD2767" s="7" t="inlineStr">
        <is>
          <t>603</t>
        </is>
      </c>
      <c r="AE2767" s="7" t="inlineStr">
        <is>
          <t>2950</t>
        </is>
      </c>
      <c r="AF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13" t="inlineStr">
        <is>
          <t>OPN BA2 &gt; BSA 10: Other Shore Electronic Equipment &gt; LI 2960 Integ Combat System Test Facility</t>
        </is>
      </c>
      <c r="AD2768" s="7" t="inlineStr">
        <is>
          <t>611</t>
        </is>
      </c>
      <c r="AE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13" t="inlineStr">
        <is>
          <t>OPN BA2 &gt; BSA 10: Other Shore Electronic Equipment &gt; LI 2970 EMI Control Instrumentation</t>
        </is>
      </c>
      <c r="AD2769" s="7" t="inlineStr">
        <is>
          <t>615</t>
        </is>
      </c>
      <c r="AE2769" s="7" t="inlineStr">
        <is>
          <t>2970</t>
        </is>
      </c>
      <c r="AF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13" t="inlineStr">
        <is>
          <t>OPN BA2 &gt; BSA 10: Other Shore Electronic Equipment &gt; LI 2981 In-Service Radars and Sensors</t>
        </is>
      </c>
      <c r="AD2770" s="7" t="inlineStr">
        <is>
          <t>619</t>
        </is>
      </c>
      <c r="AE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13" t="inlineStr">
        <is>
          <t>OPN BA2 &gt; BSA 10 &gt; LI 2981 &gt; AN/SPS-73</t>
        </is>
      </c>
      <c r="AD2771" s="7" t="inlineStr">
        <is>
          <t>626</t>
        </is>
      </c>
      <c r="AE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13" t="inlineStr">
        <is>
          <t>OPN BA2 &gt; BSA 10 &gt; LI 2981 &gt; AN/SPS-48G</t>
        </is>
      </c>
      <c r="AD2772" s="7" t="inlineStr">
        <is>
          <t>630</t>
        </is>
      </c>
      <c r="AE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13" t="inlineStr">
        <is>
          <t>OPN BA2 &gt; BSA 10 &gt; LI 2981 &gt; AN/SPY-1 RM&amp;A</t>
        </is>
      </c>
      <c r="AD2773" s="7" t="inlineStr">
        <is>
          <t>633</t>
        </is>
      </c>
      <c r="AE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13" t="inlineStr">
        <is>
          <t>OPN BA2 &gt; BSA 10 &gt; LI 2981 &gt; SPY-6 FoR</t>
        </is>
      </c>
      <c r="AD2774" s="7" t="inlineStr">
        <is>
          <t>637</t>
        </is>
      </c>
      <c r="AE2774" s="7" t="inlineStr">
        <is>
          <t>2981</t>
        </is>
      </c>
      <c r="AF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13" t="inlineStr">
        <is>
          <t>OPN BA2 &gt; BSA 10 &gt; LI 2981 &gt; SPEIR Block I</t>
        </is>
      </c>
      <c r="AD2775" s="7" t="inlineStr">
        <is>
          <t>640</t>
        </is>
      </c>
      <c r="AE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13" t="inlineStr">
        <is>
          <t>OPN BA2 &gt; BSA 11: Shipboard Communications &gt; LI 2437 Battle Force Tactical Network</t>
        </is>
      </c>
      <c r="AD2776" s="7" t="inlineStr">
        <is>
          <t>647</t>
        </is>
      </c>
      <c r="AE2776" s="7" t="inlineStr">
        <is>
          <t>2437</t>
        </is>
      </c>
      <c r="AF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13" t="inlineStr">
        <is>
          <t>OPN BA2 &gt; BSA 11: Shipboard Communications &gt; LI 3010 Shipboard Tactical Comms</t>
        </is>
      </c>
      <c r="AD2777" s="7" t="inlineStr">
        <is>
          <t>651</t>
        </is>
      </c>
      <c r="AE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13" t="inlineStr">
        <is>
          <t>OPN BA2 &gt; BSA 11: Shipboard Communications &gt; LI 3050 Ship Communications Automation</t>
        </is>
      </c>
      <c r="AD2778" s="7" t="inlineStr">
        <is>
          <t>661</t>
        </is>
      </c>
      <c r="AE2778" s="7" t="inlineStr">
        <is>
          <t>3050</t>
        </is>
      </c>
      <c r="AF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13" t="inlineStr">
        <is>
          <t>OPN BA2 &gt; BSA 11 &gt; LI 3050 &gt; ADNS</t>
        </is>
      </c>
      <c r="AD2779" s="7" t="inlineStr">
        <is>
          <t>670</t>
        </is>
      </c>
      <c r="AE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13" t="inlineStr">
        <is>
          <t>OPN BA2 &gt; BSA 11 &gt; LI 3050 &gt; STACC</t>
        </is>
      </c>
      <c r="AD2780" s="7" t="inlineStr">
        <is>
          <t>676</t>
        </is>
      </c>
      <c r="AE2780" s="7" t="inlineStr">
        <is>
          <t>3050</t>
        </is>
      </c>
      <c r="AF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13" t="inlineStr">
        <is>
          <t>OPN BA2 &gt; BSA 11 &gt; LI 3050 &gt; EPCA</t>
        </is>
      </c>
      <c r="AD2781" s="7" t="inlineStr">
        <is>
          <t>684</t>
        </is>
      </c>
      <c r="AE2781" s="7" t="inlineStr">
        <is>
          <t>3050</t>
        </is>
      </c>
      <c r="AF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13" t="inlineStr">
        <is>
          <t>OPN BA2 &gt; BSA 11 &gt; LI 3050 &gt; Amphib Comms</t>
        </is>
      </c>
      <c r="AD2782" s="7" t="inlineStr">
        <is>
          <t>687</t>
        </is>
      </c>
      <c r="AE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13" t="inlineStr">
        <is>
          <t>OPN BA2 &gt; BSA 11: Shipboard Communications &gt; LI 3057 Communications Items under $5M</t>
        </is>
      </c>
      <c r="AD2783" s="7" t="inlineStr">
        <is>
          <t>687</t>
        </is>
      </c>
      <c r="AE2783" s="7" t="inlineStr">
        <is>
          <t>3057</t>
        </is>
      </c>
      <c r="AF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13" t="inlineStr">
        <is>
          <t>OPN BA2 &gt; BSA 12: Submarine Communications &gt; LI 3107 Submarine Broadcast Support</t>
        </is>
      </c>
      <c r="AD2784" s="7" t="inlineStr">
        <is>
          <t>693</t>
        </is>
      </c>
      <c r="AE2784" s="7" t="inlineStr">
        <is>
          <t>3107</t>
        </is>
      </c>
      <c r="AF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13" t="inlineStr">
        <is>
          <t>OPN BA2 &gt; BSA 12: Submarine Communications &gt; LI 3130 Submarine Communication Equipment</t>
        </is>
      </c>
      <c r="AD2785" s="7" t="inlineStr">
        <is>
          <t>697</t>
        </is>
      </c>
      <c r="AE2785" s="7" t="inlineStr">
        <is>
          <t>3130</t>
        </is>
      </c>
      <c r="AF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13" t="inlineStr">
        <is>
          <t>OPN BA2 &gt; BSA 13: Satellite Communications &gt; LI 3215 Satellite Communications Systems</t>
        </is>
      </c>
      <c r="AD2786" s="7" t="inlineStr">
        <is>
          <t>701</t>
        </is>
      </c>
      <c r="AE2786" s="7" t="inlineStr">
        <is>
          <t>3215</t>
        </is>
      </c>
      <c r="AF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13" t="inlineStr">
        <is>
          <t>OPN BA2 &gt; BSA 13 &gt; LI 3215 &gt; GBS</t>
        </is>
      </c>
      <c r="AD2787" s="7" t="inlineStr">
        <is>
          <t>707</t>
        </is>
      </c>
      <c r="AE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13" t="inlineStr">
        <is>
          <t>OPN BA2 &gt; BSA 13 &gt; LI 3215 &gt; CBSP</t>
        </is>
      </c>
      <c r="AD2788" s="7" t="inlineStr">
        <is>
          <t>711</t>
        </is>
      </c>
      <c r="AE2788" s="7" t="inlineStr">
        <is>
          <t>3215</t>
        </is>
      </c>
      <c r="AF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13" t="inlineStr">
        <is>
          <t>OPN BA2 &gt; BSA 13 &gt; LI 3215 &gt; WAMS</t>
        </is>
      </c>
      <c r="AD2789" s="7" t="inlineStr">
        <is>
          <t>715</t>
        </is>
      </c>
      <c r="AE2789" s="7" t="inlineStr">
        <is>
          <t>3215</t>
        </is>
      </c>
      <c r="AF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13" t="inlineStr">
        <is>
          <t>OPN BA2 &gt; BSA 13: Satellite Communications &gt; LI 3216 Navy Multiband Terminal (NMT)</t>
        </is>
      </c>
      <c r="AD2790" s="7" t="inlineStr">
        <is>
          <t>719</t>
        </is>
      </c>
      <c r="AE2790" s="7" t="inlineStr">
        <is>
          <t>3216</t>
        </is>
      </c>
      <c r="AF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13" t="inlineStr">
        <is>
          <t>OPN BA2 &gt; BSA 13 &gt; LI 3216 &gt; NMT SLEMOD</t>
        </is>
      </c>
      <c r="AD2791" s="7" t="inlineStr">
        <is>
          <t>724</t>
        </is>
      </c>
      <c r="AE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13" t="inlineStr">
        <is>
          <t>OPN BA2 &gt; BSA 13: Satellite Communications &gt; LI 3222 Mobile Advanced EHF Terminal (MAT)</t>
        </is>
      </c>
      <c r="AD2792" s="7" t="inlineStr">
        <is>
          <t>737</t>
        </is>
      </c>
      <c r="AE2792" s="7" t="inlineStr">
        <is>
          <t>3222</t>
        </is>
      </c>
      <c r="AF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13" t="inlineStr">
        <is>
          <t>OPN BA2 &gt; BSA 14: Shore Communications &gt; LI 3302 Joint Communications Support Element (JCSE)</t>
        </is>
      </c>
      <c r="AD2793" s="7" t="inlineStr">
        <is>
          <t>743</t>
        </is>
      </c>
      <c r="AE2793" s="7" t="inlineStr">
        <is>
          <t>3302</t>
        </is>
      </c>
      <c r="AF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13" t="inlineStr">
        <is>
          <t>OPN BA2 &gt; BSA 15: Cryptographic Equipment &gt; LI 3415 Info Systems Security Program (ISSP)</t>
        </is>
      </c>
      <c r="AD2794" s="7" t="inlineStr">
        <is>
          <t>747</t>
        </is>
      </c>
      <c r="AE2794" s="7" t="inlineStr">
        <is>
          <t>3415</t>
        </is>
      </c>
      <c r="AF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13" t="inlineStr">
        <is>
          <t>OPN BA2 &gt; BSA 15 &gt; LI 3415 &gt; CND</t>
        </is>
      </c>
      <c r="AD2795" s="7" t="inlineStr">
        <is>
          <t>755</t>
        </is>
      </c>
      <c r="AE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13" t="inlineStr">
        <is>
          <t>OPN BA2 &gt; BSA 15 &gt; LI 3415 &gt; Crypto Afloat</t>
        </is>
      </c>
      <c r="AD2796" s="7" t="inlineStr">
        <is>
          <t>759</t>
        </is>
      </c>
      <c r="AE2796" s="7" t="inlineStr">
        <is>
          <t>3415</t>
        </is>
      </c>
      <c r="AF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13" t="inlineStr">
        <is>
          <t>OPN BA2 &gt; BSA 15 &gt; LI 3415 &gt; KM Afloat</t>
        </is>
      </c>
      <c r="AD2797" s="7" t="inlineStr">
        <is>
          <t>767</t>
        </is>
      </c>
      <c r="AE2797" s="7" t="inlineStr">
        <is>
          <t>3415</t>
        </is>
      </c>
      <c r="AF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13" t="inlineStr">
        <is>
          <t>OPN BA2 &gt; BSA 15 &gt; LI 3415 &gt; SHARKCAGE</t>
        </is>
      </c>
      <c r="AD2798" s="7" t="inlineStr">
        <is>
          <t>775</t>
        </is>
      </c>
      <c r="AE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13" t="inlineStr">
        <is>
          <t>OPN BA2 &gt; BSA 15: Cryptographic Equipment &gt; LI 3417 MIO Intel Exploitation Team</t>
        </is>
      </c>
      <c r="AD2799" s="7" t="inlineStr">
        <is>
          <t>781</t>
        </is>
      </c>
      <c r="AE2799" s="7" t="inlineStr">
        <is>
          <t>3417</t>
        </is>
      </c>
      <c r="AF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13" t="inlineStr">
        <is>
          <t>OPN BA2 &gt; BSA 16: Cryptologic Equipment &gt; LI 3501 Cryptologic Communications Equip</t>
        </is>
      </c>
      <c r="AD2800" s="7" t="inlineStr">
        <is>
          <t>785</t>
        </is>
      </c>
      <c r="AE2800" s="7" t="inlineStr">
        <is>
          <t>3501</t>
        </is>
      </c>
      <c r="AF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13" t="inlineStr">
        <is>
          <t>OPN BA2 &gt; BSA 17: Other Electronic Support &gt; LI 3620 Coast Guard Equipment</t>
        </is>
      </c>
      <c r="AD2801" s="7" t="inlineStr">
        <is>
          <t>797</t>
        </is>
      </c>
      <c r="AE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13" t="inlineStr">
        <is>
          <t>OPN BA2 &gt; BSA 17 &gt; LI 3620 &gt; CG001 SPQ-9B</t>
        </is>
      </c>
      <c r="AD2802" s="7" t="inlineStr">
        <is>
          <t>797</t>
        </is>
      </c>
      <c r="AE2802" s="7" t="inlineStr">
        <is>
          <t>3620</t>
        </is>
      </c>
      <c r="AF2802" s="7" t="inlineStr">
        <is>
          <t>CG001 - SPQ-9B RADAR</t>
        </is>
      </c>
      <c r="AG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13" t="inlineStr">
        <is>
          <t>OPN BA2 &gt; BSA 17 &gt; LI 3620 &gt; CG002 IFF</t>
        </is>
      </c>
      <c r="AD2803" s="7" t="inlineStr">
        <is>
          <t>797</t>
        </is>
      </c>
      <c r="AE2803" s="7" t="inlineStr">
        <is>
          <t>3620</t>
        </is>
      </c>
      <c r="AF2803" s="7" t="inlineStr">
        <is>
          <t>CG002 IFF AIMS</t>
        </is>
      </c>
      <c r="AG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13" t="inlineStr">
        <is>
          <t>OPN BA2 &gt; BSA 17 &gt; LI 3620 &gt; CG003 Decoys</t>
        </is>
      </c>
      <c r="AD2804" s="7" t="inlineStr">
        <is>
          <t>797</t>
        </is>
      </c>
      <c r="AE2804" s="7" t="inlineStr">
        <is>
          <t>3620</t>
        </is>
      </c>
      <c r="AF2804" s="7" t="inlineStr">
        <is>
          <t>CG003 DECOYS MK 53</t>
        </is>
      </c>
      <c r="AG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13" t="inlineStr">
        <is>
          <t>OPN BA2 &gt; BSA 17 &gt; LI 3620 &gt; CG004 SLQ-32</t>
        </is>
      </c>
      <c r="AD2805" s="7" t="inlineStr">
        <is>
          <t>797</t>
        </is>
      </c>
      <c r="AE2805" s="7" t="inlineStr">
        <is>
          <t>3620</t>
        </is>
      </c>
      <c r="AG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13" t="inlineStr">
        <is>
          <t>OPN BA2 &gt; BSA 17 &gt; LI 3620 &gt; CG007 MMR</t>
        </is>
      </c>
      <c r="AD2806" s="7" t="inlineStr">
        <is>
          <t>798</t>
        </is>
      </c>
      <c r="AE2806" s="7" t="inlineStr">
        <is>
          <t>3620</t>
        </is>
      </c>
      <c r="AF2806" s="7" t="inlineStr">
        <is>
          <t>CG007 MULTI-MODE RADAR</t>
        </is>
      </c>
      <c r="AG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13" t="inlineStr">
        <is>
          <t>OPN BA2 &gt; BSA 17 &gt; LI 3620 &gt; CG008 ATHENA CCD</t>
        </is>
      </c>
      <c r="AD2807" s="7" t="inlineStr">
        <is>
          <t>798</t>
        </is>
      </c>
      <c r="AE2807" s="7" t="inlineStr">
        <is>
          <t>3620</t>
        </is>
      </c>
      <c r="AF2807" s="7" t="inlineStr">
        <is>
          <t>CG008 ATHENA CCD</t>
        </is>
      </c>
      <c r="AG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13" t="inlineStr">
        <is>
          <t>OPN BA2 &gt; BSA 17 &gt; LI 3620 &gt; OPC C4I</t>
        </is>
      </c>
      <c r="AD2808" s="7" t="inlineStr">
        <is>
          <t>798</t>
        </is>
      </c>
      <c r="AE2808" s="7" t="inlineStr">
        <is>
          <t>3620</t>
        </is>
      </c>
      <c r="AF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13" t="inlineStr">
        <is>
          <t>OPN BA2 &gt; BSA 17 &gt; LI 3620 &gt; CG006 CSI</t>
        </is>
      </c>
      <c r="AD2809" s="7" t="inlineStr">
        <is>
          <t>798</t>
        </is>
      </c>
      <c r="AE2809" s="7" t="inlineStr">
        <is>
          <t>3620</t>
        </is>
      </c>
      <c r="AF2809" s="7" t="inlineStr">
        <is>
          <t>CG006 COMBAT SYSTEM INTEGRATION</t>
        </is>
      </c>
      <c r="AG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13" t="inlineStr">
        <is>
          <t>P-40 / BA03 / BSA01 Sonobuoys / LI 4048</t>
        </is>
      </c>
      <c r="AD2810" s="7" t="inlineStr">
        <is>
          <t>57</t>
        </is>
      </c>
      <c r="AE2810" s="7" t="inlineStr">
        <is>
          <t>4048</t>
        </is>
      </c>
      <c r="AF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13" t="inlineStr">
        <is>
          <t>P-5 Cost Analysis / LI 4048 / Hardware - Sonobuoys (Common)</t>
        </is>
      </c>
      <c r="AD2811" s="7" t="inlineStr">
        <is>
          <t>60</t>
        </is>
      </c>
      <c r="AE2811" s="7" t="inlineStr">
        <is>
          <t>4048</t>
        </is>
      </c>
      <c r="AF2811" s="7" t="inlineStr">
        <is>
          <t>Sonobuoys, All Types</t>
        </is>
      </c>
      <c r="AG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13" t="inlineStr">
        <is>
          <t>P-5 Cost Analysis / LI 4048 / Hardware - Sonobuoys (Common)</t>
        </is>
      </c>
      <c r="AD2812" s="7" t="inlineStr">
        <is>
          <t>60</t>
        </is>
      </c>
      <c r="AE2812" s="7" t="inlineStr">
        <is>
          <t>4048</t>
        </is>
      </c>
      <c r="AF2812" s="7" t="inlineStr">
        <is>
          <t>Sonobuoys, All Types</t>
        </is>
      </c>
      <c r="AG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13" t="inlineStr">
        <is>
          <t>P-5 Cost Analysis / LI 4048 / Hardware - Sonobuoys (Common)</t>
        </is>
      </c>
      <c r="AD2813" s="7" t="inlineStr">
        <is>
          <t>60</t>
        </is>
      </c>
      <c r="AE2813" s="7" t="inlineStr">
        <is>
          <t>4048</t>
        </is>
      </c>
      <c r="AF2813" s="7" t="inlineStr">
        <is>
          <t>Sonobuoys, All Types</t>
        </is>
      </c>
      <c r="AG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13" t="inlineStr">
        <is>
          <t>P-5 Cost Analysis / LI 4048 / Hardware - Sonobuoys (Multistatic)</t>
        </is>
      </c>
      <c r="AD2814" s="7" t="inlineStr">
        <is>
          <t>60</t>
        </is>
      </c>
      <c r="AE2814" s="7" t="inlineStr">
        <is>
          <t>4048</t>
        </is>
      </c>
      <c r="AF2814" s="7" t="inlineStr">
        <is>
          <t>Sonobuoys, All Types</t>
        </is>
      </c>
      <c r="AG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13" t="inlineStr">
        <is>
          <t>P-5 Cost Analysis / LI 4048 / Hardware - Sonobuoys (Multistatic)</t>
        </is>
      </c>
      <c r="AD2815" s="7" t="inlineStr">
        <is>
          <t>60</t>
        </is>
      </c>
      <c r="AE2815" s="7" t="inlineStr">
        <is>
          <t>4048</t>
        </is>
      </c>
      <c r="AF2815" s="7" t="inlineStr">
        <is>
          <t>Sonobuoys, All Types</t>
        </is>
      </c>
      <c r="AG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13" t="inlineStr">
        <is>
          <t>P-5 Cost Analysis / LI 4048 / Hardware - Sonobuoys (Multistatic)</t>
        </is>
      </c>
      <c r="AD2816" s="7" t="inlineStr">
        <is>
          <t>61</t>
        </is>
      </c>
      <c r="AE2816" s="7" t="inlineStr">
        <is>
          <t>4048</t>
        </is>
      </c>
      <c r="AF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13" t="inlineStr">
        <is>
          <t>P-5 Cost Analysis / LI 4048 / Hardware - Sonobuoys (Other)</t>
        </is>
      </c>
      <c r="AD2817" s="7" t="inlineStr">
        <is>
          <t>61</t>
        </is>
      </c>
      <c r="AE2817" s="7" t="inlineStr">
        <is>
          <t>4048</t>
        </is>
      </c>
      <c r="AF2817" s="7" t="inlineStr">
        <is>
          <t>Sonobuoys, All Types</t>
        </is>
      </c>
      <c r="AG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13" t="inlineStr">
        <is>
          <t>P-5 Cost Analysis / LI 4048 / Hardware - Acceptance Testing</t>
        </is>
      </c>
      <c r="AD2818" s="7" t="inlineStr">
        <is>
          <t>61</t>
        </is>
      </c>
      <c r="AE2818" s="7" t="inlineStr">
        <is>
          <t>4048</t>
        </is>
      </c>
      <c r="AF2818" s="7" t="inlineStr">
        <is>
          <t>Sonobuoys, All Types</t>
        </is>
      </c>
      <c r="AG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13" t="inlineStr">
        <is>
          <t>P-5 Cost Analysis / LI 4048 / Hardware - Acceptance Testing</t>
        </is>
      </c>
      <c r="AD2819" s="7" t="inlineStr">
        <is>
          <t>61</t>
        </is>
      </c>
      <c r="AE2819" s="7" t="inlineStr">
        <is>
          <t>4048</t>
        </is>
      </c>
      <c r="AF2819" s="7" t="inlineStr">
        <is>
          <t>Sonobuoys, All Types</t>
        </is>
      </c>
      <c r="AG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13" t="inlineStr">
        <is>
          <t>P-5 Cost Analysis / LI 4048 / Hardware - Acceptance Testing</t>
        </is>
      </c>
      <c r="AD2820" s="7" t="inlineStr">
        <is>
          <t>61</t>
        </is>
      </c>
      <c r="AE2820" s="7" t="inlineStr">
        <is>
          <t>4048</t>
        </is>
      </c>
      <c r="AF2820" s="7" t="inlineStr">
        <is>
          <t>Sonobuoys, All Types</t>
        </is>
      </c>
      <c r="AG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13" t="inlineStr">
        <is>
          <t>P-5 Cost Analysis / LI 4048 / Support - Production Engineering</t>
        </is>
      </c>
      <c r="AD2821" s="7" t="inlineStr">
        <is>
          <t>62</t>
        </is>
      </c>
      <c r="AE2821" s="7" t="inlineStr">
        <is>
          <t>4048</t>
        </is>
      </c>
      <c r="AF2821" s="7" t="inlineStr">
        <is>
          <t>Sonobuoys, All Types</t>
        </is>
      </c>
      <c r="AG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13" t="inlineStr">
        <is>
          <t>P-5 Cost Analysis / LI 4048 / Support - Production Engineering</t>
        </is>
      </c>
      <c r="AD2822" s="7" t="inlineStr">
        <is>
          <t>62</t>
        </is>
      </c>
      <c r="AE2822" s="7" t="inlineStr">
        <is>
          <t>4048</t>
        </is>
      </c>
      <c r="AF2822" s="7" t="inlineStr">
        <is>
          <t>Sonobuoys, All Types</t>
        </is>
      </c>
      <c r="AG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13" t="inlineStr">
        <is>
          <t>P-40 / BA03 / BSA03 Aircraft Support Equipment / LI 3640</t>
        </is>
      </c>
      <c r="AD2823" s="7" t="inlineStr">
        <is>
          <t>85</t>
        </is>
      </c>
      <c r="AE2823" s="7" t="inlineStr">
        <is>
          <t>3640</t>
        </is>
      </c>
      <c r="AF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13" t="inlineStr">
        <is>
          <t>P-5 Cost Analysis / LI 3640 / Hardware (Recurring)</t>
        </is>
      </c>
      <c r="AD2824" s="7" t="inlineStr">
        <is>
          <t>87</t>
        </is>
      </c>
      <c r="AE2824" s="7" t="inlineStr">
        <is>
          <t>3640</t>
        </is>
      </c>
      <c r="AF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13" t="inlineStr">
        <is>
          <t>P-5 Cost Analysis / LI 3640 / Hardware (Recurring)</t>
        </is>
      </c>
      <c r="AD2825" s="7" t="inlineStr">
        <is>
          <t>87</t>
        </is>
      </c>
      <c r="AE2825" s="7" t="inlineStr">
        <is>
          <t>3640</t>
        </is>
      </c>
      <c r="AF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13" t="inlineStr">
        <is>
          <t>P-5 Cost Analysis / LI 3640 / Support</t>
        </is>
      </c>
      <c r="AD2826" s="7" t="inlineStr">
        <is>
          <t>87</t>
        </is>
      </c>
      <c r="AE2826" s="7" t="inlineStr">
        <is>
          <t>3640</t>
        </is>
      </c>
      <c r="AF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13" t="inlineStr">
        <is>
          <t>P-5 Cost Analysis / LI 3640 / Support</t>
        </is>
      </c>
      <c r="AD2827" s="7" t="inlineStr">
        <is>
          <t>87</t>
        </is>
      </c>
      <c r="AE2827" s="7" t="inlineStr">
        <is>
          <t>3640</t>
        </is>
      </c>
      <c r="AF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13" t="inlineStr">
        <is>
          <t>P-5 Cost Analysis / LI 3640 / Support</t>
        </is>
      </c>
      <c r="AD2828" s="7" t="inlineStr">
        <is>
          <t>87</t>
        </is>
      </c>
      <c r="AE2828" s="7" t="inlineStr">
        <is>
          <t>3640</t>
        </is>
      </c>
      <c r="AF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13" t="inlineStr">
        <is>
          <t>P-5 Cost Analysis / LI 3640 / Support</t>
        </is>
      </c>
      <c r="AD2829" s="7" t="inlineStr">
        <is>
          <t>87</t>
        </is>
      </c>
      <c r="AE2829" s="7" t="inlineStr">
        <is>
          <t>3640</t>
        </is>
      </c>
      <c r="AF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13" t="inlineStr">
        <is>
          <t>P-5 Cost Analysis / LI 3640 / Support</t>
        </is>
      </c>
      <c r="AD2830" s="7" t="inlineStr">
        <is>
          <t>87</t>
        </is>
      </c>
      <c r="AE2830" s="7" t="inlineStr">
        <is>
          <t>3640</t>
        </is>
      </c>
      <c r="AF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13" t="inlineStr">
        <is>
          <t>P-40 / BA03 / BSA03 Aircraft Support Equipment / LI 4204</t>
        </is>
      </c>
      <c r="AD2831" s="7" t="inlineStr">
        <is>
          <t>89</t>
        </is>
      </c>
      <c r="AE2831" s="7" t="inlineStr">
        <is>
          <t>4204</t>
        </is>
      </c>
      <c r="AF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13" t="inlineStr">
        <is>
          <t>P-5 Cost Analysis / LI 4204 / Hardware - Systems Replacement</t>
        </is>
      </c>
      <c r="AD2832" s="7" t="inlineStr">
        <is>
          <t>92</t>
        </is>
      </c>
      <c r="AE2832" s="7" t="inlineStr">
        <is>
          <t>4204</t>
        </is>
      </c>
      <c r="AF2832" s="7" t="inlineStr">
        <is>
          <t>Weapons Range Support Equipment</t>
        </is>
      </c>
      <c r="AG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13" t="inlineStr">
        <is>
          <t>P-5 Cost Analysis / LI 4204 / Hardware - Ocean Systems</t>
        </is>
      </c>
      <c r="AD2833" s="7" t="inlineStr">
        <is>
          <t>92</t>
        </is>
      </c>
      <c r="AE2833" s="7" t="inlineStr">
        <is>
          <t>4204</t>
        </is>
      </c>
      <c r="AF2833" s="7" t="inlineStr">
        <is>
          <t>Weapons Range Support Equipment</t>
        </is>
      </c>
      <c r="AG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13" t="inlineStr">
        <is>
          <t>P-5 Cost Analysis / LI 4204 / Hardware - Ocean Systems</t>
        </is>
      </c>
      <c r="AD2834" s="7" t="inlineStr">
        <is>
          <t>92</t>
        </is>
      </c>
      <c r="AE2834" s="7" t="inlineStr">
        <is>
          <t>4204</t>
        </is>
      </c>
      <c r="AF2834" s="7" t="inlineStr">
        <is>
          <t>Weapons Range Support Equipment</t>
        </is>
      </c>
      <c r="AG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13" t="inlineStr">
        <is>
          <t>P-5 Cost Analysis / LI 4204 / Hardware - Large Area Tracking Range</t>
        </is>
      </c>
      <c r="AD2835" s="7" t="inlineStr">
        <is>
          <t>92</t>
        </is>
      </c>
      <c r="AE2835" s="7" t="inlineStr">
        <is>
          <t>4204</t>
        </is>
      </c>
      <c r="AF2835" s="7" t="inlineStr">
        <is>
          <t>Weapons Range Support Equipment</t>
        </is>
      </c>
      <c r="AG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13" t="inlineStr">
        <is>
          <t>P-5 Cost Analysis / LI 4204 / Hardware - Large Area Tracking Range</t>
        </is>
      </c>
      <c r="AD2836" s="7" t="inlineStr">
        <is>
          <t>93</t>
        </is>
      </c>
      <c r="AE2836" s="7" t="inlineStr">
        <is>
          <t>4204</t>
        </is>
      </c>
      <c r="AF2836" s="7" t="inlineStr">
        <is>
          <t>Weapons Range Support Equipment</t>
        </is>
      </c>
      <c r="AG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13" t="inlineStr">
        <is>
          <t>P-5 Cost Analysis / LI 4204 / Hardware - TCTS</t>
        </is>
      </c>
      <c r="AD2837" s="7" t="inlineStr">
        <is>
          <t>93</t>
        </is>
      </c>
      <c r="AE2837" s="7" t="inlineStr">
        <is>
          <t>4204</t>
        </is>
      </c>
      <c r="AF2837" s="7" t="inlineStr">
        <is>
          <t>Weapons Range Support Equipment</t>
        </is>
      </c>
      <c r="AG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13" t="inlineStr">
        <is>
          <t>P-5 Cost Analysis / LI 4204 / Hardware - TCTS</t>
        </is>
      </c>
      <c r="AD2838" s="7" t="inlineStr">
        <is>
          <t>93</t>
        </is>
      </c>
      <c r="AE2838" s="7" t="inlineStr">
        <is>
          <t>4204</t>
        </is>
      </c>
      <c r="AF2838" s="7" t="inlineStr">
        <is>
          <t>Weapons Range Support Equipment</t>
        </is>
      </c>
      <c r="AG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13" t="inlineStr">
        <is>
          <t>P-5 Cost Analysis / LI 4204 / Hardware - TCTS</t>
        </is>
      </c>
      <c r="AD2839" s="7" t="inlineStr">
        <is>
          <t>93</t>
        </is>
      </c>
      <c r="AE2839" s="7" t="inlineStr">
        <is>
          <t>4204</t>
        </is>
      </c>
      <c r="AF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13" t="inlineStr">
        <is>
          <t>P-5 Cost Analysis / LI 4204 / Hardware - TCTS</t>
        </is>
      </c>
      <c r="AD2840" s="7" t="inlineStr">
        <is>
          <t>93</t>
        </is>
      </c>
      <c r="AE2840" s="7" t="inlineStr">
        <is>
          <t>4204</t>
        </is>
      </c>
      <c r="AF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13" t="inlineStr">
        <is>
          <t>P-5 Cost Analysis / LI 4204 / Hardware - TCTS</t>
        </is>
      </c>
      <c r="AD2841" s="7" t="inlineStr">
        <is>
          <t>93</t>
        </is>
      </c>
      <c r="AE2841" s="7" t="inlineStr">
        <is>
          <t>4204</t>
        </is>
      </c>
      <c r="AF2841" s="7" t="inlineStr">
        <is>
          <t>Weapons Range Support Equipment</t>
        </is>
      </c>
      <c r="AG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13" t="inlineStr">
        <is>
          <t>P-5 Cost Analysis / LI 4204 / Hardware - EW Training</t>
        </is>
      </c>
      <c r="AD2842" s="7" t="inlineStr">
        <is>
          <t>94</t>
        </is>
      </c>
      <c r="AE2842" s="7" t="inlineStr">
        <is>
          <t>4204</t>
        </is>
      </c>
      <c r="AF2842" s="7" t="inlineStr">
        <is>
          <t>Weapons Range Support Equipment</t>
        </is>
      </c>
      <c r="AG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13" t="inlineStr">
        <is>
          <t>P-5 Cost Analysis / LI 4204 / Hardware - Aerial Targets</t>
        </is>
      </c>
      <c r="AD2843" s="7" t="inlineStr">
        <is>
          <t>94</t>
        </is>
      </c>
      <c r="AE2843" s="7" t="inlineStr">
        <is>
          <t>4204</t>
        </is>
      </c>
      <c r="AF2843" s="7" t="inlineStr">
        <is>
          <t>Weapons Range Support Equipment</t>
        </is>
      </c>
      <c r="AG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13" t="inlineStr">
        <is>
          <t>P-5 Cost Analysis / LI 4204 / Hardware - Aerial Targets</t>
        </is>
      </c>
      <c r="AD2844" s="7" t="inlineStr">
        <is>
          <t>95</t>
        </is>
      </c>
      <c r="AE2844" s="7" t="inlineStr">
        <is>
          <t>4204</t>
        </is>
      </c>
      <c r="AF2844" s="7" t="inlineStr">
        <is>
          <t>Weapons Range Support Equipment</t>
        </is>
      </c>
      <c r="AG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13" t="inlineStr">
        <is>
          <t>P-5 Cost Analysis / LI 4204 / Hardware - Aerial Targets</t>
        </is>
      </c>
      <c r="AD2845" s="7" t="inlineStr">
        <is>
          <t>95</t>
        </is>
      </c>
      <c r="AE2845" s="7" t="inlineStr">
        <is>
          <t>4204</t>
        </is>
      </c>
      <c r="AF2845" s="7" t="inlineStr">
        <is>
          <t>Weapons Range Support Equipment</t>
        </is>
      </c>
      <c r="AG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13" t="inlineStr">
        <is>
          <t>P-5 Cost Analysis / LI 4204 / Hardware - LVC</t>
        </is>
      </c>
      <c r="AD2846" s="7" t="inlineStr">
        <is>
          <t>95</t>
        </is>
      </c>
      <c r="AE2846" s="7" t="inlineStr">
        <is>
          <t>4204</t>
        </is>
      </c>
      <c r="AF2846" s="7" t="inlineStr">
        <is>
          <t>Weapons Range Support Equipment</t>
        </is>
      </c>
      <c r="AG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13" t="inlineStr">
        <is>
          <t>P-5 Cost Analysis / LI 4204 / Support - Production Support</t>
        </is>
      </c>
      <c r="AD2847" s="7" t="inlineStr">
        <is>
          <t>96</t>
        </is>
      </c>
      <c r="AE2847" s="7" t="inlineStr">
        <is>
          <t>4204</t>
        </is>
      </c>
      <c r="AF2847" s="7" t="inlineStr">
        <is>
          <t>Weapons Range Support Equipment</t>
        </is>
      </c>
      <c r="AG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13" t="inlineStr">
        <is>
          <t>P-5 Cost Analysis / LI 4204 / Support - Production Support</t>
        </is>
      </c>
      <c r="AD2848" s="7" t="inlineStr">
        <is>
          <t>96</t>
        </is>
      </c>
      <c r="AE2848" s="7" t="inlineStr">
        <is>
          <t>4204</t>
        </is>
      </c>
      <c r="AF2848" s="7" t="inlineStr">
        <is>
          <t>Weapons Range Support Equipment</t>
        </is>
      </c>
      <c r="AG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13" t="inlineStr">
        <is>
          <t>P-5 Cost Analysis / LI 4204 / Support - Production Support</t>
        </is>
      </c>
      <c r="AD2849" s="7" t="inlineStr">
        <is>
          <t>96</t>
        </is>
      </c>
      <c r="AE2849" s="7" t="inlineStr">
        <is>
          <t>4204</t>
        </is>
      </c>
      <c r="AF2849" s="7" t="inlineStr">
        <is>
          <t>Weapons Range Support Equipment</t>
        </is>
      </c>
      <c r="AG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13" t="inlineStr">
        <is>
          <t>P-5 Cost Analysis / LI 4204 / Support - Production Support</t>
        </is>
      </c>
      <c r="AD2850" s="7" t="inlineStr">
        <is>
          <t>96</t>
        </is>
      </c>
      <c r="AE2850" s="7" t="inlineStr">
        <is>
          <t>4204</t>
        </is>
      </c>
      <c r="AF2850" s="7" t="inlineStr">
        <is>
          <t>Weapons Range Support Equipment</t>
        </is>
      </c>
      <c r="AG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13" t="inlineStr">
        <is>
          <t>P-5 Cost Analysis / LI 4204 / Support - Production Support</t>
        </is>
      </c>
      <c r="AD2851" s="7" t="inlineStr">
        <is>
          <t>96</t>
        </is>
      </c>
      <c r="AE2851" s="7" t="inlineStr">
        <is>
          <t>4204</t>
        </is>
      </c>
      <c r="AF2851" s="7" t="inlineStr">
        <is>
          <t>Weapons Range Support Equipment</t>
        </is>
      </c>
      <c r="AG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13" t="inlineStr">
        <is>
          <t>P-5 Cost Analysis / LI 4204 / Support - Production Engineering</t>
        </is>
      </c>
      <c r="AD2852" s="7" t="inlineStr">
        <is>
          <t>97</t>
        </is>
      </c>
      <c r="AE2852" s="7" t="inlineStr">
        <is>
          <t>4204</t>
        </is>
      </c>
      <c r="AF2852" s="7" t="inlineStr">
        <is>
          <t>Weapons Range Support Equipment</t>
        </is>
      </c>
      <c r="AG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13" t="inlineStr">
        <is>
          <t>P-5 Cost Analysis / LI 4204 / Support - Production Engineering</t>
        </is>
      </c>
      <c r="AD2853" s="7" t="inlineStr">
        <is>
          <t>97</t>
        </is>
      </c>
      <c r="AE2853" s="7" t="inlineStr">
        <is>
          <t>4204</t>
        </is>
      </c>
      <c r="AF2853" s="7" t="inlineStr">
        <is>
          <t>Weapons Range Support Equipment</t>
        </is>
      </c>
      <c r="AG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13" t="inlineStr">
        <is>
          <t>P-5 Cost Analysis / LI 4204 / Support - Production Engineering</t>
        </is>
      </c>
      <c r="AD2854" s="7" t="inlineStr">
        <is>
          <t>97</t>
        </is>
      </c>
      <c r="AE2854" s="7" t="inlineStr">
        <is>
          <t>4204</t>
        </is>
      </c>
      <c r="AF2854" s="7" t="inlineStr">
        <is>
          <t>Weapons Range Support Equipment</t>
        </is>
      </c>
      <c r="AG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13" t="inlineStr">
        <is>
          <t>P-5 Cost Analysis / LI 4204 / Support - Production Engineering</t>
        </is>
      </c>
      <c r="AD2855" s="7" t="inlineStr">
        <is>
          <t>97</t>
        </is>
      </c>
      <c r="AE2855" s="7" t="inlineStr">
        <is>
          <t>4204</t>
        </is>
      </c>
      <c r="AF2855" s="7" t="inlineStr">
        <is>
          <t>Weapons Range Support Equipment</t>
        </is>
      </c>
      <c r="AG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13" t="inlineStr">
        <is>
          <t>P-5 Cost Analysis / LI 4204 / Support - Production Engineering</t>
        </is>
      </c>
      <c r="AD2856" s="7" t="inlineStr">
        <is>
          <t>97</t>
        </is>
      </c>
      <c r="AE2856" s="7" t="inlineStr">
        <is>
          <t>4204</t>
        </is>
      </c>
      <c r="AF2856" s="7" t="inlineStr">
        <is>
          <t>Weapons Range Support Equipment</t>
        </is>
      </c>
      <c r="AG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13" t="inlineStr">
        <is>
          <t>P-5 Cost Analysis / LI 4204 / Support - Production Engineering</t>
        </is>
      </c>
      <c r="AD2857" s="7" t="inlineStr">
        <is>
          <t>98</t>
        </is>
      </c>
      <c r="AE2857" s="7" t="inlineStr">
        <is>
          <t>4204</t>
        </is>
      </c>
      <c r="AF2857" s="7" t="inlineStr">
        <is>
          <t>Weapons Range Support Equipment</t>
        </is>
      </c>
      <c r="AG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13" t="inlineStr">
        <is>
          <t>P-40 / BA03 / BSA03 Aircraft Support Equipment / LI 4213</t>
        </is>
      </c>
      <c r="AD2858" s="7" t="inlineStr">
        <is>
          <t>105</t>
        </is>
      </c>
      <c r="AE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13" t="inlineStr">
        <is>
          <t>P-5 Cost Analysis / LI 4213 / Item 1 - Expeditionary Airfields</t>
        </is>
      </c>
      <c r="AD2859" s="7" t="inlineStr">
        <is>
          <t>109</t>
        </is>
      </c>
      <c r="AE2859" s="7" t="inlineStr">
        <is>
          <t>4213</t>
        </is>
      </c>
      <c r="AF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13" t="inlineStr">
        <is>
          <t>P-5 Cost Analysis / LI 4213 / Item 2 - Acft Rearming Equip</t>
        </is>
      </c>
      <c r="AD2860" s="7" t="inlineStr">
        <is>
          <t>115</t>
        </is>
      </c>
      <c r="AE2860" s="7" t="inlineStr">
        <is>
          <t>4213</t>
        </is>
      </c>
      <c r="AF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13" t="inlineStr">
        <is>
          <t>P-5 Cost Analysis / LI 4213 / Item 3 - Air Launch &amp; Recovery</t>
        </is>
      </c>
      <c r="AD2861" s="7" t="inlineStr">
        <is>
          <t>119</t>
        </is>
      </c>
      <c r="AE2861" s="7" t="inlineStr">
        <is>
          <t>4213</t>
        </is>
      </c>
      <c r="AF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13" t="inlineStr">
        <is>
          <t>P-5 / LI 4213 / Item 3 - Air Launch &amp; Recovery</t>
        </is>
      </c>
      <c r="AD2862" s="7" t="inlineStr">
        <is>
          <t>119</t>
        </is>
      </c>
      <c r="AE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13" t="inlineStr">
        <is>
          <t>P-5 / LI 4213 / Item 3 - Air Launch &amp; Recovery</t>
        </is>
      </c>
      <c r="AD2863" s="7" t="inlineStr">
        <is>
          <t>119</t>
        </is>
      </c>
      <c r="AE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13" t="inlineStr">
        <is>
          <t>P-5 / LI 4213 / Item 3 - Air Launch &amp; Recovery</t>
        </is>
      </c>
      <c r="AD2864" s="7" t="inlineStr">
        <is>
          <t>119</t>
        </is>
      </c>
      <c r="AE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13" t="inlineStr">
        <is>
          <t>P-5 / LI 4213 / Item 3 - Air Launch &amp; Recovery</t>
        </is>
      </c>
      <c r="AD2865" s="7" t="inlineStr">
        <is>
          <t>119</t>
        </is>
      </c>
      <c r="AE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13" t="inlineStr">
        <is>
          <t>P-5 / LI 4213 / Item 3 - Air Launch &amp; Recovery</t>
        </is>
      </c>
      <c r="AD2866" s="7" t="inlineStr">
        <is>
          <t>119</t>
        </is>
      </c>
      <c r="AE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13" t="inlineStr">
        <is>
          <t>P-5 / LI 4213 / Item 3 - Air Launch &amp; Recovery</t>
        </is>
      </c>
      <c r="AD2867" s="7" t="inlineStr">
        <is>
          <t>119</t>
        </is>
      </c>
      <c r="AE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13" t="inlineStr">
        <is>
          <t>P-5 / LI 4213 / Item 3 - Air Launch &amp; Recovery</t>
        </is>
      </c>
      <c r="AD2868" s="7" t="inlineStr">
        <is>
          <t>119</t>
        </is>
      </c>
      <c r="AE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13" t="inlineStr">
        <is>
          <t>P-5 / LI 4213 / Item 3 - Air Launch &amp; Recovery</t>
        </is>
      </c>
      <c r="AD2869" s="7" t="inlineStr">
        <is>
          <t>119</t>
        </is>
      </c>
      <c r="AE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13" t="inlineStr">
        <is>
          <t>P-5 / LI 4213 / Item 3 - Air Launch &amp; Recovery</t>
        </is>
      </c>
      <c r="AD2870" s="7" t="inlineStr">
        <is>
          <t>119</t>
        </is>
      </c>
      <c r="AE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13" t="inlineStr">
        <is>
          <t>P-5 / LI 4213 / Item 3 - Air Launch &amp; Recovery</t>
        </is>
      </c>
      <c r="AD2871" s="7" t="inlineStr">
        <is>
          <t>119</t>
        </is>
      </c>
      <c r="AE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13" t="inlineStr">
        <is>
          <t>P-5 / LI 4213 / Item 3 - Air Launch &amp; Recovery</t>
        </is>
      </c>
      <c r="AD2872" s="7" t="inlineStr">
        <is>
          <t>119</t>
        </is>
      </c>
      <c r="AE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13" t="inlineStr">
        <is>
          <t>P-5 / LI 4213 / Item 3 - Air Launch &amp; Recovery</t>
        </is>
      </c>
      <c r="AD2873" s="7" t="inlineStr">
        <is>
          <t>119</t>
        </is>
      </c>
      <c r="AE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13" t="inlineStr">
        <is>
          <t>P-5 / LI 4213 / Item 3 - Air Launch &amp; Recovery</t>
        </is>
      </c>
      <c r="AD2874" s="7" t="inlineStr">
        <is>
          <t>119</t>
        </is>
      </c>
      <c r="AE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13" t="inlineStr">
        <is>
          <t>P-5 / LI 4213 / Item 3 - Air Launch &amp; Recovery</t>
        </is>
      </c>
      <c r="AD2875" s="7" t="inlineStr">
        <is>
          <t>119</t>
        </is>
      </c>
      <c r="AE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13" t="inlineStr">
        <is>
          <t>P-5 / LI 4213 / Item 3 - Air Launch &amp; Recovery</t>
        </is>
      </c>
      <c r="AD2876" s="7" t="inlineStr">
        <is>
          <t>119</t>
        </is>
      </c>
      <c r="AE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13" t="inlineStr">
        <is>
          <t>P-5 / LI 4213 / Item 3 - Air Launch &amp; Recovery</t>
        </is>
      </c>
      <c r="AD2877" s="7" t="inlineStr">
        <is>
          <t>119</t>
        </is>
      </c>
      <c r="AE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13" t="inlineStr">
        <is>
          <t>P-5 / LI 4213 / Item 3 - Air Launch &amp; Recovery</t>
        </is>
      </c>
      <c r="AD2878" s="7" t="inlineStr">
        <is>
          <t>119</t>
        </is>
      </c>
      <c r="AE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13" t="inlineStr">
        <is>
          <t>P-5 Cost Analysis / LI 4213 / Item 4 - Natural Disaster Recovery</t>
        </is>
      </c>
      <c r="AD2879" s="7" t="inlineStr">
        <is>
          <t>128</t>
        </is>
      </c>
      <c r="AE2879" s="7" t="inlineStr">
        <is>
          <t>4213</t>
        </is>
      </c>
      <c r="AF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13" t="inlineStr">
        <is>
          <t>P-3a / LI 4213 / Mod 1 - LAMPS MK III SRQ(KU)-4</t>
        </is>
      </c>
      <c r="AD2880" s="7" t="inlineStr">
        <is>
          <t>129</t>
        </is>
      </c>
      <c r="AE2880" s="7" t="inlineStr">
        <is>
          <t>4213</t>
        </is>
      </c>
      <c r="AG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13" t="inlineStr">
        <is>
          <t>P-3a / LI 4213 / Mod 1 - LAMPS</t>
        </is>
      </c>
      <c r="AD2881" s="7" t="inlineStr">
        <is>
          <t>129</t>
        </is>
      </c>
      <c r="AE2881" s="7" t="inlineStr">
        <is>
          <t>4213</t>
        </is>
      </c>
      <c r="AG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13" t="inlineStr">
        <is>
          <t>P-3a / LI 4213 / Mod 1 - LAMPS</t>
        </is>
      </c>
      <c r="AD2882" s="7" t="inlineStr">
        <is>
          <t>129</t>
        </is>
      </c>
      <c r="AE2882" s="7" t="inlineStr">
        <is>
          <t>4213</t>
        </is>
      </c>
      <c r="AG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13" t="inlineStr">
        <is>
          <t>P-3a / LI 4213 / Mod 1 - LAMPS</t>
        </is>
      </c>
      <c r="AD2883" s="7" t="inlineStr">
        <is>
          <t>129</t>
        </is>
      </c>
      <c r="AE2883" s="7" t="inlineStr">
        <is>
          <t>4213</t>
        </is>
      </c>
      <c r="AG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13" t="inlineStr">
        <is>
          <t>P-3a / LI 4213 / Mod 1 - LAMPS</t>
        </is>
      </c>
      <c r="AD2884" s="7" t="inlineStr">
        <is>
          <t>129</t>
        </is>
      </c>
      <c r="AE2884" s="7" t="inlineStr">
        <is>
          <t>4213</t>
        </is>
      </c>
      <c r="AG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13" t="inlineStr">
        <is>
          <t>P-3a / LI 4213 / Mod 1 - LAMPS</t>
        </is>
      </c>
      <c r="AD2885" s="7" t="inlineStr">
        <is>
          <t>129</t>
        </is>
      </c>
      <c r="AE2885" s="7" t="inlineStr">
        <is>
          <t>4213</t>
        </is>
      </c>
      <c r="AG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13" t="inlineStr">
        <is>
          <t>P-3a / LI 4213 / Mod 1 - LAMPS</t>
        </is>
      </c>
      <c r="AD2886" s="7" t="inlineStr">
        <is>
          <t>129</t>
        </is>
      </c>
      <c r="AE2886" s="7" t="inlineStr">
        <is>
          <t>4213</t>
        </is>
      </c>
      <c r="AG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13" t="inlineStr">
        <is>
          <t>P-3a / LI 4213 / Mod 1 - LAMPS</t>
        </is>
      </c>
      <c r="AD2887" s="7" t="inlineStr">
        <is>
          <t>129</t>
        </is>
      </c>
      <c r="AE2887" s="7" t="inlineStr">
        <is>
          <t>4213</t>
        </is>
      </c>
      <c r="AG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13" t="inlineStr">
        <is>
          <t>P-3a / LI 4213 / Mod 2 - CMV22</t>
        </is>
      </c>
      <c r="AD2888" s="7" t="inlineStr">
        <is>
          <t>133</t>
        </is>
      </c>
      <c r="AE2888" s="7" t="inlineStr">
        <is>
          <t>4213</t>
        </is>
      </c>
      <c r="AG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13" t="inlineStr">
        <is>
          <t>P-3a / LI 4213 / Mod 2 - CMV22</t>
        </is>
      </c>
      <c r="AD2889" s="7" t="inlineStr">
        <is>
          <t>133</t>
        </is>
      </c>
      <c r="AE2889" s="7" t="inlineStr">
        <is>
          <t>4213</t>
        </is>
      </c>
      <c r="AG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13" t="inlineStr">
        <is>
          <t>P-3a / LI 4213 / Mod 2 - CMV22</t>
        </is>
      </c>
      <c r="AD2890" s="7" t="inlineStr">
        <is>
          <t>133</t>
        </is>
      </c>
      <c r="AE2890" s="7" t="inlineStr">
        <is>
          <t>4213</t>
        </is>
      </c>
      <c r="AG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13" t="inlineStr">
        <is>
          <t>P-40 / BA03 / BSA03 Aircraft Support Equipment / LI 4217</t>
        </is>
      </c>
      <c r="AD2891" s="7" t="inlineStr">
        <is>
          <t>137</t>
        </is>
      </c>
      <c r="AE2891" s="7" t="inlineStr">
        <is>
          <t>4217</t>
        </is>
      </c>
      <c r="AF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13" t="inlineStr">
        <is>
          <t>P-3a / LI 4217 / Procurement</t>
        </is>
      </c>
      <c r="AD2892" s="7" t="inlineStr">
        <is>
          <t>139</t>
        </is>
      </c>
      <c r="AE2892" s="7" t="inlineStr">
        <is>
          <t>4217</t>
        </is>
      </c>
      <c r="AF2892" s="7" t="inlineStr">
        <is>
          <t>Advanced Arresting Gear (AAG)</t>
        </is>
      </c>
      <c r="AG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13" t="inlineStr">
        <is>
          <t>P-3a / LI 4217 / Procurement</t>
        </is>
      </c>
      <c r="AD2893" s="7" t="inlineStr">
        <is>
          <t>139</t>
        </is>
      </c>
      <c r="AE2893" s="7" t="inlineStr">
        <is>
          <t>4217</t>
        </is>
      </c>
      <c r="AF2893" s="7" t="inlineStr">
        <is>
          <t>Advanced Arresting Gear (AAG)</t>
        </is>
      </c>
      <c r="AG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13" t="inlineStr">
        <is>
          <t>P-3a / LI 4217 / Procurement</t>
        </is>
      </c>
      <c r="AD2894" s="7" t="inlineStr">
        <is>
          <t>139</t>
        </is>
      </c>
      <c r="AE2894" s="7" t="inlineStr">
        <is>
          <t>4217</t>
        </is>
      </c>
      <c r="AF2894" s="7" t="inlineStr">
        <is>
          <t>Advanced Arresting Gear (AAG)</t>
        </is>
      </c>
      <c r="AG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13" t="inlineStr">
        <is>
          <t>P-3a / LI 4217 / Support</t>
        </is>
      </c>
      <c r="AD2895" s="7" t="inlineStr">
        <is>
          <t>139</t>
        </is>
      </c>
      <c r="AE2895" s="7" t="inlineStr">
        <is>
          <t>4217</t>
        </is>
      </c>
      <c r="AF2895" s="7" t="inlineStr">
        <is>
          <t>Advanced Arresting Gear (AAG)</t>
        </is>
      </c>
      <c r="AG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13" t="inlineStr">
        <is>
          <t>P-3a / LI 4217 / Support</t>
        </is>
      </c>
      <c r="AD2896" s="7" t="inlineStr">
        <is>
          <t>139</t>
        </is>
      </c>
      <c r="AE2896" s="7" t="inlineStr">
        <is>
          <t>4217</t>
        </is>
      </c>
      <c r="AF2896" s="7" t="inlineStr">
        <is>
          <t>Advanced Arresting Gear (AAG)</t>
        </is>
      </c>
      <c r="AG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13" t="inlineStr">
        <is>
          <t>P-3a / LI 4217 / Support</t>
        </is>
      </c>
      <c r="AD2897" s="7" t="inlineStr">
        <is>
          <t>139</t>
        </is>
      </c>
      <c r="AE2897" s="7" t="inlineStr">
        <is>
          <t>4217</t>
        </is>
      </c>
      <c r="AF2897" s="7" t="inlineStr">
        <is>
          <t>Advanced Arresting Gear (AAG)</t>
        </is>
      </c>
      <c r="AG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13" t="inlineStr">
        <is>
          <t>P-3a / LI 4217 / Support</t>
        </is>
      </c>
      <c r="AD2898" s="7" t="inlineStr">
        <is>
          <t>139</t>
        </is>
      </c>
      <c r="AE2898" s="7" t="inlineStr">
        <is>
          <t>4217</t>
        </is>
      </c>
      <c r="AF2898" s="7" t="inlineStr">
        <is>
          <t>Advanced Arresting Gear (AAG)</t>
        </is>
      </c>
      <c r="AG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13" t="inlineStr">
        <is>
          <t>P-3a / LI 4217 / Installation</t>
        </is>
      </c>
      <c r="AD2899" s="7" t="inlineStr">
        <is>
          <t>139</t>
        </is>
      </c>
      <c r="AE2899" s="7" t="inlineStr">
        <is>
          <t>4217</t>
        </is>
      </c>
      <c r="AF2899" s="7" t="inlineStr">
        <is>
          <t>Advanced Arresting Gear (AAG)</t>
        </is>
      </c>
      <c r="AG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13" t="inlineStr">
        <is>
          <t>P-3a / LI 4217 / Installation</t>
        </is>
      </c>
      <c r="AD2900" s="7" t="inlineStr">
        <is>
          <t>139</t>
        </is>
      </c>
      <c r="AE2900" s="7" t="inlineStr">
        <is>
          <t>4217</t>
        </is>
      </c>
      <c r="AF2900" s="7" t="inlineStr">
        <is>
          <t>Advanced Arresting Gear (AAG)</t>
        </is>
      </c>
      <c r="AG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13" t="inlineStr">
        <is>
          <t>P-3a / LI 4217 / Installation</t>
        </is>
      </c>
      <c r="AD2901" s="7" t="inlineStr">
        <is>
          <t>139</t>
        </is>
      </c>
      <c r="AE2901" s="7" t="inlineStr">
        <is>
          <t>4217</t>
        </is>
      </c>
      <c r="AF2901" s="7" t="inlineStr">
        <is>
          <t>Advanced Arresting Gear (AAG)</t>
        </is>
      </c>
      <c r="AG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13" t="inlineStr">
        <is>
          <t>P-40 / BA03 / BSA03 Aircraft Support Equipment / LI 4219</t>
        </is>
      </c>
      <c r="AD2902" s="7" t="inlineStr">
        <is>
          <t>145</t>
        </is>
      </c>
      <c r="AE2902" s="7" t="inlineStr">
        <is>
          <t>4219</t>
        </is>
      </c>
      <c r="AF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13" t="inlineStr">
        <is>
          <t>P-3a / LI 4219 / Procurement</t>
        </is>
      </c>
      <c r="AD2903" s="7" t="inlineStr">
        <is>
          <t>147</t>
        </is>
      </c>
      <c r="AE2903" s="7" t="inlineStr">
        <is>
          <t>4219</t>
        </is>
      </c>
      <c r="AF2903" s="7" t="inlineStr">
        <is>
          <t>Electromagnetic Aircraft Launch System (EMALS)</t>
        </is>
      </c>
      <c r="AG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13" t="inlineStr">
        <is>
          <t>P-3a / LI 4219 / Procurement</t>
        </is>
      </c>
      <c r="AD2904" s="7" t="inlineStr">
        <is>
          <t>147</t>
        </is>
      </c>
      <c r="AE2904" s="7" t="inlineStr">
        <is>
          <t>4219</t>
        </is>
      </c>
      <c r="AF2904" s="7" t="inlineStr">
        <is>
          <t>Electromagnetic Aircraft Launch System (EMALS)</t>
        </is>
      </c>
      <c r="AG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13" t="inlineStr">
        <is>
          <t>P-3a / LI 4219 / Procurement NRE</t>
        </is>
      </c>
      <c r="AD2905" s="7" t="inlineStr">
        <is>
          <t>147</t>
        </is>
      </c>
      <c r="AE2905" s="7" t="inlineStr">
        <is>
          <t>4219</t>
        </is>
      </c>
      <c r="AF2905" s="7" t="inlineStr">
        <is>
          <t>Electromagnetic Aircraft Launch System (EMALS)</t>
        </is>
      </c>
      <c r="AG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13" t="inlineStr">
        <is>
          <t>P-3a / LI 4219 / Procurement NRE</t>
        </is>
      </c>
      <c r="AD2906" s="7" t="inlineStr">
        <is>
          <t>147</t>
        </is>
      </c>
      <c r="AE2906" s="7" t="inlineStr">
        <is>
          <t>4219</t>
        </is>
      </c>
      <c r="AF2906" s="7" t="inlineStr">
        <is>
          <t>Electromagnetic Aircraft Launch System (EMALS)</t>
        </is>
      </c>
      <c r="AG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13" t="inlineStr">
        <is>
          <t>P-3a / LI 4219 / Procurement Obsolescence</t>
        </is>
      </c>
      <c r="AD2907" s="7" t="inlineStr">
        <is>
          <t>147</t>
        </is>
      </c>
      <c r="AE2907" s="7" t="inlineStr">
        <is>
          <t>4219</t>
        </is>
      </c>
      <c r="AF2907" s="7" t="inlineStr">
        <is>
          <t>Electromagnetic Aircraft Launch System (EMALS)</t>
        </is>
      </c>
      <c r="AG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13" t="inlineStr">
        <is>
          <t>P-3a / LI 4219 / Support</t>
        </is>
      </c>
      <c r="AD2908" s="7" t="inlineStr">
        <is>
          <t>147</t>
        </is>
      </c>
      <c r="AE2908" s="7" t="inlineStr">
        <is>
          <t>4219</t>
        </is>
      </c>
      <c r="AF2908" s="7" t="inlineStr">
        <is>
          <t>Electromagnetic Aircraft Launch System (EMALS)</t>
        </is>
      </c>
      <c r="AG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13" t="inlineStr">
        <is>
          <t>P-3a / LI 4219 / Support</t>
        </is>
      </c>
      <c r="AD2909" s="7" t="inlineStr">
        <is>
          <t>147</t>
        </is>
      </c>
      <c r="AE2909" s="7" t="inlineStr">
        <is>
          <t>4219</t>
        </is>
      </c>
      <c r="AF2909" s="7" t="inlineStr">
        <is>
          <t>Electromagnetic Aircraft Launch System (EMALS)</t>
        </is>
      </c>
      <c r="AG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13" t="inlineStr">
        <is>
          <t>P-3a / LI 4219 / Support</t>
        </is>
      </c>
      <c r="AD2910" s="7" t="inlineStr">
        <is>
          <t>147</t>
        </is>
      </c>
      <c r="AE2910" s="7" t="inlineStr">
        <is>
          <t>4219</t>
        </is>
      </c>
      <c r="AF2910" s="7" t="inlineStr">
        <is>
          <t>Electromagnetic Aircraft Launch System (EMALS)</t>
        </is>
      </c>
      <c r="AG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13" t="inlineStr">
        <is>
          <t>P-3a / LI 4219 / Installation</t>
        </is>
      </c>
      <c r="AD2911" s="7" t="inlineStr">
        <is>
          <t>147</t>
        </is>
      </c>
      <c r="AE2911" s="7" t="inlineStr">
        <is>
          <t>4219</t>
        </is>
      </c>
      <c r="AF2911" s="7" t="inlineStr">
        <is>
          <t>Electromagnetic Aircraft Launch System (EMALS)</t>
        </is>
      </c>
      <c r="AG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13" t="inlineStr">
        <is>
          <t>P-3a / LI 4219 / Installation</t>
        </is>
      </c>
      <c r="AD2912" s="7" t="inlineStr">
        <is>
          <t>147</t>
        </is>
      </c>
      <c r="AE2912" s="7" t="inlineStr">
        <is>
          <t>4219</t>
        </is>
      </c>
      <c r="AF2912" s="7" t="inlineStr">
        <is>
          <t>Electromagnetic Aircraft Launch System (EMALS)</t>
        </is>
      </c>
      <c r="AG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inlineStr">
        <is>
          <t>4/6</t>
        </is>
      </c>
      <c r="K2913" s="15" t="n"/>
      <c r="O2913" s="15" t="n"/>
      <c r="P2913" s="16" t="n">
        <v>19690</v>
      </c>
      <c r="Q2913" s="16" t="n">
        <v>17982</v>
      </c>
      <c r="S2913" s="16" t="n">
        <v>13806</v>
      </c>
      <c r="U2913" s="16" t="n">
        <v>13806</v>
      </c>
      <c r="X2913" s="16" t="n">
        <v>13806</v>
      </c>
      <c r="Y2913" s="16" t="n">
        <v>13806</v>
      </c>
      <c r="Z2913" s="16" t="n">
        <v>7477</v>
      </c>
      <c r="AB2913" s="16" t="n">
        <v>7477</v>
      </c>
      <c r="AC2913" s="13" t="inlineStr">
        <is>
          <t>P-40a / BA03 / BSA03 Aircraft Support Equipment / LI 4226</t>
        </is>
      </c>
      <c r="AD2913" s="7" t="inlineStr">
        <is>
          <t>153</t>
        </is>
      </c>
      <c r="AE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13" t="inlineStr">
        <is>
          <t>P-40a / LI 4226 / SP051</t>
        </is>
      </c>
      <c r="AD2914" s="7" t="inlineStr">
        <is>
          <t>155</t>
        </is>
      </c>
      <c r="AE2914" s="7" t="inlineStr">
        <is>
          <t>4226</t>
        </is>
      </c>
      <c r="AF2914" s="7" t="inlineStr">
        <is>
          <t>SP051 Satellite Receiver Upgrades (Space)</t>
        </is>
      </c>
      <c r="AG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13" t="inlineStr">
        <is>
          <t>P-40a / LI 4226 / SP550</t>
        </is>
      </c>
      <c r="AD2915" s="7" t="inlineStr">
        <is>
          <t>155</t>
        </is>
      </c>
      <c r="AE2915" s="7" t="inlineStr">
        <is>
          <t>4226</t>
        </is>
      </c>
      <c r="AF2915" s="7" t="inlineStr">
        <is>
          <t>SP550 METOC SASC Upgrades</t>
        </is>
      </c>
      <c r="AG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13" t="inlineStr">
        <is>
          <t>P-40a / LI 4226 / SP550</t>
        </is>
      </c>
      <c r="AD2916" s="7" t="inlineStr">
        <is>
          <t>155</t>
        </is>
      </c>
      <c r="AE2916" s="7" t="inlineStr">
        <is>
          <t>4226</t>
        </is>
      </c>
      <c r="AF2916" s="7" t="inlineStr">
        <is>
          <t>SP550 METOC SASC Upgrades</t>
        </is>
      </c>
      <c r="AG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13" t="inlineStr">
        <is>
          <t>P-40a / LI 4226 / SP600</t>
        </is>
      </c>
      <c r="AD2917" s="7" t="inlineStr">
        <is>
          <t>155</t>
        </is>
      </c>
      <c r="AE2917" s="7" t="inlineStr">
        <is>
          <t>4226</t>
        </is>
      </c>
      <c r="AF2917" s="7" t="inlineStr">
        <is>
          <t>SP600 Littoral Battlespace Sensing - Unmanned Undersea Vehicles (LBS-UUV)</t>
        </is>
      </c>
      <c r="AG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13" t="inlineStr">
        <is>
          <t>P-40a / LI 4226 / SP600</t>
        </is>
      </c>
      <c r="AD2918" s="7" t="inlineStr">
        <is>
          <t>155</t>
        </is>
      </c>
      <c r="AE2918" s="7" t="inlineStr">
        <is>
          <t>4226</t>
        </is>
      </c>
      <c r="AF2918" s="7" t="inlineStr">
        <is>
          <t>SP600 Littoral Battlespace Sensing - Unmanned Undersea Vehicles (LBS-UUV)</t>
        </is>
      </c>
      <c r="AG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13" t="inlineStr">
        <is>
          <t>P-40a / LI 4226 / SP660</t>
        </is>
      </c>
      <c r="AD2919" s="7" t="inlineStr">
        <is>
          <t>156</t>
        </is>
      </c>
      <c r="AE2919" s="7" t="inlineStr">
        <is>
          <t>4226</t>
        </is>
      </c>
      <c r="AF2919" s="7" t="inlineStr">
        <is>
          <t>SP660 Tactical METOC Applications</t>
        </is>
      </c>
      <c r="AG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13" t="inlineStr">
        <is>
          <t>P-40a / LI 4226 / SP220</t>
        </is>
      </c>
      <c r="AD2920" s="7" t="inlineStr">
        <is>
          <t>156</t>
        </is>
      </c>
      <c r="AE2920" s="7" t="inlineStr">
        <is>
          <t>4226</t>
        </is>
      </c>
      <c r="AF2920" s="7" t="inlineStr">
        <is>
          <t>SP220 Hazardous Weather Detection and Display Capability (HWDDC)</t>
        </is>
      </c>
      <c r="AG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13" t="inlineStr">
        <is>
          <t>P-40a / LI 4226 / SP555</t>
        </is>
      </c>
      <c r="AD2921" s="7" t="inlineStr">
        <is>
          <t>157</t>
        </is>
      </c>
      <c r="AE2921" s="7" t="inlineStr">
        <is>
          <t>4226</t>
        </is>
      </c>
      <c r="AF2921" s="7" t="inlineStr">
        <is>
          <t>SP555 Production Support</t>
        </is>
      </c>
      <c r="AG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13" t="inlineStr">
        <is>
          <t>P-40a / LI 4226 / SP555</t>
        </is>
      </c>
      <c r="AD2922" s="7" t="inlineStr">
        <is>
          <t>157</t>
        </is>
      </c>
      <c r="AE2922" s="7" t="inlineStr">
        <is>
          <t>4226</t>
        </is>
      </c>
      <c r="AF2922" s="7" t="inlineStr">
        <is>
          <t>SP555 Production Support</t>
        </is>
      </c>
      <c r="AG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13" t="inlineStr">
        <is>
          <t>P-40a / LI 4226 / SP777</t>
        </is>
      </c>
      <c r="AD2923" s="7" t="inlineStr">
        <is>
          <t>157</t>
        </is>
      </c>
      <c r="AE2923" s="7" t="inlineStr">
        <is>
          <t>4226</t>
        </is>
      </c>
      <c r="AF2923" s="7" t="inlineStr">
        <is>
          <t>SP777 FMP</t>
        </is>
      </c>
      <c r="AG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13" t="inlineStr">
        <is>
          <t>P-40a / LI 4226 / SP777</t>
        </is>
      </c>
      <c r="AD2924" s="7" t="inlineStr">
        <is>
          <t>157</t>
        </is>
      </c>
      <c r="AE2924" s="7" t="inlineStr">
        <is>
          <t>4226</t>
        </is>
      </c>
      <c r="AF2924" s="7" t="inlineStr">
        <is>
          <t>SP777 FMP</t>
        </is>
      </c>
      <c r="AG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13" t="inlineStr">
        <is>
          <t>P-40a / LI 4226 / DSA</t>
        </is>
      </c>
      <c r="AD2925" s="7" t="inlineStr">
        <is>
          <t>157</t>
        </is>
      </c>
      <c r="AE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13" t="inlineStr">
        <is>
          <t>P-40 / BA03 / BSA03 Aircraft Support Equipment / LI 4248</t>
        </is>
      </c>
      <c r="AD2926" s="7" t="inlineStr">
        <is>
          <t>161</t>
        </is>
      </c>
      <c r="AE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13" t="inlineStr">
        <is>
          <t>P-5 / LI 4248 / Hardware</t>
        </is>
      </c>
      <c r="AD2927" s="7" t="inlineStr">
        <is>
          <t>163</t>
        </is>
      </c>
      <c r="AE2927" s="7" t="inlineStr">
        <is>
          <t>4248</t>
        </is>
      </c>
      <c r="AF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13" t="inlineStr">
        <is>
          <t>P-5 / LI 4248 / Hardware</t>
        </is>
      </c>
      <c r="AD2928" s="7" t="inlineStr">
        <is>
          <t>163</t>
        </is>
      </c>
      <c r="AE2928" s="7" t="inlineStr">
        <is>
          <t>4248</t>
        </is>
      </c>
      <c r="AF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13" t="inlineStr">
        <is>
          <t>P-5 / LI 4248 / Hardware</t>
        </is>
      </c>
      <c r="AD2929" s="7" t="inlineStr">
        <is>
          <t>163</t>
        </is>
      </c>
      <c r="AE2929" s="7" t="inlineStr">
        <is>
          <t>4248</t>
        </is>
      </c>
      <c r="AF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13" t="inlineStr">
        <is>
          <t>P-5 / LI 4248 / Hardware</t>
        </is>
      </c>
      <c r="AD2930" s="7" t="inlineStr">
        <is>
          <t>163</t>
        </is>
      </c>
      <c r="AE2930" s="7" t="inlineStr">
        <is>
          <t>4248</t>
        </is>
      </c>
      <c r="AF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inlineStr">
        <is>
          <t>4/6</t>
        </is>
      </c>
      <c r="K2931" s="15" t="n"/>
      <c r="O2931" s="15" t="n"/>
      <c r="P2931" s="16" t="n">
        <v>82061</v>
      </c>
      <c r="Q2931" s="16" t="n">
        <v>105981</v>
      </c>
      <c r="S2931" s="16" t="n">
        <v>111334</v>
      </c>
      <c r="U2931" s="16" t="n">
        <v>111334</v>
      </c>
      <c r="X2931" s="16" t="n">
        <v>111334</v>
      </c>
      <c r="Y2931" s="16" t="n">
        <v>111334</v>
      </c>
      <c r="Z2931" s="16" t="n">
        <v>116873</v>
      </c>
      <c r="AB2931" s="16" t="n">
        <v>116873</v>
      </c>
      <c r="AC2931" s="13" t="inlineStr">
        <is>
          <t>P-40 / BA03 / BSA03 Aircraft Support Equipment / LI 4268</t>
        </is>
      </c>
      <c r="AD2931" s="7" t="inlineStr">
        <is>
          <t>169</t>
        </is>
      </c>
      <c r="AE2931" s="7" t="inlineStr">
        <is>
          <t>4268</t>
        </is>
      </c>
      <c r="AF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13" t="inlineStr">
        <is>
          <t>P-5 / LI 4268 / Item 1 - Aviation Life Support</t>
        </is>
      </c>
      <c r="AD2932" s="7" t="inlineStr">
        <is>
          <t>174</t>
        </is>
      </c>
      <c r="AE2932" s="7" t="inlineStr">
        <is>
          <t>4268</t>
        </is>
      </c>
      <c r="AF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13" t="inlineStr">
        <is>
          <t>P-5 / LI 4268 / Item 1 - Aviation Life Support</t>
        </is>
      </c>
      <c r="AD2933" s="7" t="inlineStr">
        <is>
          <t>174</t>
        </is>
      </c>
      <c r="AE2933" s="7" t="inlineStr">
        <is>
          <t>4268</t>
        </is>
      </c>
      <c r="AG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13" t="inlineStr">
        <is>
          <t>P-5 / LI 4268 / Item 1 - Aviation Life Support</t>
        </is>
      </c>
      <c r="AD2934" s="7" t="inlineStr">
        <is>
          <t>174</t>
        </is>
      </c>
      <c r="AE2934" s="7" t="inlineStr">
        <is>
          <t>4268</t>
        </is>
      </c>
      <c r="AG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13" t="inlineStr">
        <is>
          <t>P-5 / LI 4268 / Item 1 - Aviation Life Support</t>
        </is>
      </c>
      <c r="AD2935" s="7" t="inlineStr">
        <is>
          <t>174</t>
        </is>
      </c>
      <c r="AE2935" s="7" t="inlineStr">
        <is>
          <t>4268</t>
        </is>
      </c>
      <c r="AG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13" t="inlineStr">
        <is>
          <t>P-5 / LI 4268 / Item 1 - Aviation Life Support</t>
        </is>
      </c>
      <c r="AD2936" s="7" t="inlineStr">
        <is>
          <t>174</t>
        </is>
      </c>
      <c r="AE2936" s="7" t="inlineStr">
        <is>
          <t>4268</t>
        </is>
      </c>
      <c r="AG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13" t="inlineStr">
        <is>
          <t>P-5 / LI 4268 / Item 1 - Aviation Life Support</t>
        </is>
      </c>
      <c r="AD2937" s="7" t="inlineStr">
        <is>
          <t>174</t>
        </is>
      </c>
      <c r="AE2937" s="7" t="inlineStr">
        <is>
          <t>4268</t>
        </is>
      </c>
      <c r="AG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13" t="inlineStr">
        <is>
          <t>P-5 / LI 4268 / Item 1 - Aviation Life Support</t>
        </is>
      </c>
      <c r="AD2938" s="7" t="inlineStr">
        <is>
          <t>174</t>
        </is>
      </c>
      <c r="AE2938" s="7" t="inlineStr">
        <is>
          <t>4268</t>
        </is>
      </c>
      <c r="AG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13" t="inlineStr">
        <is>
          <t>P-5 / LI 4268 / Item 1 - Aviation Life Support</t>
        </is>
      </c>
      <c r="AD2939" s="7" t="inlineStr">
        <is>
          <t>174</t>
        </is>
      </c>
      <c r="AE2939" s="7" t="inlineStr">
        <is>
          <t>4268</t>
        </is>
      </c>
      <c r="AG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13" t="inlineStr">
        <is>
          <t>P-5 / LI 4268 / Item 2 - AMAS</t>
        </is>
      </c>
      <c r="AD2940" s="7" t="inlineStr">
        <is>
          <t>184</t>
        </is>
      </c>
      <c r="AE2940" s="7" t="inlineStr">
        <is>
          <t>4268</t>
        </is>
      </c>
      <c r="AF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13" t="inlineStr">
        <is>
          <t>P-5 / LI 4268 / Item 2 - AMAS</t>
        </is>
      </c>
      <c r="AD2941" s="7" t="inlineStr">
        <is>
          <t>184</t>
        </is>
      </c>
      <c r="AE2941" s="7" t="inlineStr">
        <is>
          <t>4268</t>
        </is>
      </c>
      <c r="AF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13" t="inlineStr">
        <is>
          <t>P-5 / LI 4268 / Item 2 - AMAS</t>
        </is>
      </c>
      <c r="AD2942" s="7" t="inlineStr">
        <is>
          <t>184</t>
        </is>
      </c>
      <c r="AE2942" s="7" t="inlineStr">
        <is>
          <t>4268</t>
        </is>
      </c>
      <c r="AF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13" t="inlineStr">
        <is>
          <t>P-3a / LI 4268 / Mod 1 - ALIS SHIP INSTALLATION</t>
        </is>
      </c>
      <c r="AD2943" s="7" t="inlineStr">
        <is>
          <t>189</t>
        </is>
      </c>
      <c r="AE2943" s="7" t="inlineStr">
        <is>
          <t>4268</t>
        </is>
      </c>
      <c r="AG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13" t="inlineStr">
        <is>
          <t>P-3a / LI 4268 / ALIS Ship Installation</t>
        </is>
      </c>
      <c r="AD2944" s="7" t="inlineStr">
        <is>
          <t>189</t>
        </is>
      </c>
      <c r="AE2944" s="7" t="inlineStr">
        <is>
          <t>4268</t>
        </is>
      </c>
      <c r="AG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13" t="inlineStr">
        <is>
          <t>P-3a / LI 4268 / ALIS Ship Installation</t>
        </is>
      </c>
      <c r="AD2945" s="7" t="inlineStr">
        <is>
          <t>189</t>
        </is>
      </c>
      <c r="AE2945" s="7" t="inlineStr">
        <is>
          <t>4268</t>
        </is>
      </c>
      <c r="AG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13" t="inlineStr">
        <is>
          <t>P-3a / LI 4268 / ALIS Ship Installation</t>
        </is>
      </c>
      <c r="AD2946" s="7" t="inlineStr">
        <is>
          <t>189</t>
        </is>
      </c>
      <c r="AE2946" s="7" t="inlineStr">
        <is>
          <t>4268</t>
        </is>
      </c>
      <c r="AG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13" t="inlineStr">
        <is>
          <t>P-3a / LI 4268 / ALIS Ship Installation</t>
        </is>
      </c>
      <c r="AD2947" s="7" t="inlineStr">
        <is>
          <t>189</t>
        </is>
      </c>
      <c r="AE2947" s="7" t="inlineStr">
        <is>
          <t>4268</t>
        </is>
      </c>
      <c r="AG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13" t="inlineStr">
        <is>
          <t>P-40 / BA03 / BSA03 Aircraft Support Equipment / LI 4269</t>
        </is>
      </c>
      <c r="AD2948" s="7" t="inlineStr">
        <is>
          <t>197</t>
        </is>
      </c>
      <c r="AE2948" s="7" t="inlineStr">
        <is>
          <t>4269</t>
        </is>
      </c>
      <c r="AF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13" t="inlineStr">
        <is>
          <t>P-5 / LI 4269 / Hardware Recurring</t>
        </is>
      </c>
      <c r="AD2949" s="7" t="inlineStr">
        <is>
          <t>200</t>
        </is>
      </c>
      <c r="AE2949" s="7" t="inlineStr">
        <is>
          <t>4269</t>
        </is>
      </c>
      <c r="AF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13" t="inlineStr">
        <is>
          <t>P-5 / LI 4269 / Hardware Recurring</t>
        </is>
      </c>
      <c r="AD2950" s="7" t="inlineStr">
        <is>
          <t>200</t>
        </is>
      </c>
      <c r="AE2950" s="7" t="inlineStr">
        <is>
          <t>4269</t>
        </is>
      </c>
      <c r="AF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13" t="inlineStr">
        <is>
          <t>P-5 / LI 4269 / Hardware Recurring</t>
        </is>
      </c>
      <c r="AD2951" s="7" t="inlineStr">
        <is>
          <t>200</t>
        </is>
      </c>
      <c r="AE2951" s="7" t="inlineStr">
        <is>
          <t>4269</t>
        </is>
      </c>
      <c r="AF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13" t="inlineStr">
        <is>
          <t>P-5 / LI 4269 / Hardware Recurring</t>
        </is>
      </c>
      <c r="AD2952" s="7" t="inlineStr">
        <is>
          <t>200</t>
        </is>
      </c>
      <c r="AE2952" s="7" t="inlineStr">
        <is>
          <t>4269</t>
        </is>
      </c>
      <c r="AF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13" t="inlineStr">
        <is>
          <t>P-5 / LI 4269 / Hardware Recurring</t>
        </is>
      </c>
      <c r="AD2953" s="7" t="inlineStr">
        <is>
          <t>200</t>
        </is>
      </c>
      <c r="AE2953" s="7" t="inlineStr">
        <is>
          <t>4269</t>
        </is>
      </c>
      <c r="AF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13" t="inlineStr">
        <is>
          <t>P-5 / LI 4269 / Hardware Recurring</t>
        </is>
      </c>
      <c r="AD2954" s="7" t="inlineStr">
        <is>
          <t>200</t>
        </is>
      </c>
      <c r="AE2954" s="7" t="inlineStr">
        <is>
          <t>4269</t>
        </is>
      </c>
      <c r="AF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13" t="inlineStr">
        <is>
          <t>P-5 / LI 4269 / Hardware Recurring</t>
        </is>
      </c>
      <c r="AD2955" s="7" t="inlineStr">
        <is>
          <t>200</t>
        </is>
      </c>
      <c r="AE2955" s="7" t="inlineStr">
        <is>
          <t>4269</t>
        </is>
      </c>
      <c r="AF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13" t="inlineStr">
        <is>
          <t>P-5 / LI 4269 / Hardware Recurring</t>
        </is>
      </c>
      <c r="AD2956" s="7" t="inlineStr">
        <is>
          <t>200</t>
        </is>
      </c>
      <c r="AE2956" s="7" t="inlineStr">
        <is>
          <t>4269</t>
        </is>
      </c>
      <c r="AF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13" t="inlineStr">
        <is>
          <t>P-5 / LI 4269 / Hardware Recurring</t>
        </is>
      </c>
      <c r="AD2957" s="7" t="inlineStr">
        <is>
          <t>200</t>
        </is>
      </c>
      <c r="AE2957" s="7" t="inlineStr">
        <is>
          <t>4269</t>
        </is>
      </c>
      <c r="AF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13" t="inlineStr">
        <is>
          <t>P-5 / LI 4269 / Hardware Recurring</t>
        </is>
      </c>
      <c r="AD2958" s="7" t="inlineStr">
        <is>
          <t>200</t>
        </is>
      </c>
      <c r="AE2958" s="7" t="inlineStr">
        <is>
          <t>4269</t>
        </is>
      </c>
      <c r="AF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13" t="inlineStr">
        <is>
          <t>P-5 / LI 4269 / Hardware Recurring</t>
        </is>
      </c>
      <c r="AD2959" s="7" t="inlineStr">
        <is>
          <t>200</t>
        </is>
      </c>
      <c r="AE2959" s="7" t="inlineStr">
        <is>
          <t>4269</t>
        </is>
      </c>
      <c r="AF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13" t="inlineStr">
        <is>
          <t>P-5 / LI 4269 / Hardware Recurring</t>
        </is>
      </c>
      <c r="AD2960" s="7" t="inlineStr">
        <is>
          <t>200</t>
        </is>
      </c>
      <c r="AE2960" s="7" t="inlineStr">
        <is>
          <t>4269</t>
        </is>
      </c>
      <c r="AF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13" t="inlineStr">
        <is>
          <t>P-5 / LI 4269 / Hardware Recurring</t>
        </is>
      </c>
      <c r="AD2961" s="7" t="inlineStr">
        <is>
          <t>200</t>
        </is>
      </c>
      <c r="AE2961" s="7" t="inlineStr">
        <is>
          <t>4269</t>
        </is>
      </c>
      <c r="AF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13" t="inlineStr">
        <is>
          <t>P-5 / LI 4269 / Hardware Recurring</t>
        </is>
      </c>
      <c r="AD2962" s="7" t="inlineStr">
        <is>
          <t>200</t>
        </is>
      </c>
      <c r="AE2962" s="7" t="inlineStr">
        <is>
          <t>4269</t>
        </is>
      </c>
      <c r="AF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13" t="inlineStr">
        <is>
          <t>P-5 / LI 4269 / Hardware Non-Recurring</t>
        </is>
      </c>
      <c r="AD2963" s="7" t="inlineStr">
        <is>
          <t>200</t>
        </is>
      </c>
      <c r="AE2963" s="7" t="inlineStr">
        <is>
          <t>4269</t>
        </is>
      </c>
      <c r="AF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13" t="inlineStr">
        <is>
          <t>P-5 / LI 4269 / Hardware Non-Recurring</t>
        </is>
      </c>
      <c r="AD2964" s="7" t="inlineStr">
        <is>
          <t>200</t>
        </is>
      </c>
      <c r="AE2964" s="7" t="inlineStr">
        <is>
          <t>4269</t>
        </is>
      </c>
      <c r="AF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13" t="inlineStr">
        <is>
          <t>P-5 / LI 4269 / Hardware Non-Recurring</t>
        </is>
      </c>
      <c r="AD2965" s="7" t="inlineStr">
        <is>
          <t>200</t>
        </is>
      </c>
      <c r="AE2965" s="7" t="inlineStr">
        <is>
          <t>4269</t>
        </is>
      </c>
      <c r="AF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13" t="inlineStr">
        <is>
          <t>P-5 / LI 4269 / Hardware Non-Recurring</t>
        </is>
      </c>
      <c r="AD2966" s="7" t="inlineStr">
        <is>
          <t>200</t>
        </is>
      </c>
      <c r="AE2966" s="7" t="inlineStr">
        <is>
          <t>4269</t>
        </is>
      </c>
      <c r="AF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13" t="inlineStr">
        <is>
          <t>P-5 / LI 4269 / Hardware Non-Recurring</t>
        </is>
      </c>
      <c r="AD2967" s="7" t="inlineStr">
        <is>
          <t>200</t>
        </is>
      </c>
      <c r="AE2967" s="7" t="inlineStr">
        <is>
          <t>4269</t>
        </is>
      </c>
      <c r="AF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13" t="inlineStr">
        <is>
          <t>P-5 / LI 4269 / Hardware Non-Recurring</t>
        </is>
      </c>
      <c r="AD2968" s="7" t="inlineStr">
        <is>
          <t>200</t>
        </is>
      </c>
      <c r="AE2968" s="7" t="inlineStr">
        <is>
          <t>4269</t>
        </is>
      </c>
      <c r="AF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13" t="inlineStr">
        <is>
          <t>P-5 / LI 4269 / Hardware Non-Recurring</t>
        </is>
      </c>
      <c r="AD2969" s="7" t="inlineStr">
        <is>
          <t>200</t>
        </is>
      </c>
      <c r="AE2969" s="7" t="inlineStr">
        <is>
          <t>4269</t>
        </is>
      </c>
      <c r="AF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13" t="inlineStr">
        <is>
          <t>P-5 / LI 4269 / Software Recurring</t>
        </is>
      </c>
      <c r="AD2970" s="7" t="inlineStr">
        <is>
          <t>200</t>
        </is>
      </c>
      <c r="AE2970" s="7" t="inlineStr">
        <is>
          <t>4269</t>
        </is>
      </c>
      <c r="AF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13" t="inlineStr">
        <is>
          <t>P-5 / LI 4269 / Support</t>
        </is>
      </c>
      <c r="AD2971" s="7" t="inlineStr">
        <is>
          <t>200</t>
        </is>
      </c>
      <c r="AE2971" s="7" t="inlineStr">
        <is>
          <t>4269</t>
        </is>
      </c>
      <c r="AF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13" t="inlineStr">
        <is>
          <t>P-5 / LI 4269 / Support</t>
        </is>
      </c>
      <c r="AD2972" s="7" t="inlineStr">
        <is>
          <t>200</t>
        </is>
      </c>
      <c r="AE2972" s="7" t="inlineStr">
        <is>
          <t>4269</t>
        </is>
      </c>
      <c r="AF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13" t="inlineStr">
        <is>
          <t>P-40a / BA03 / BSA03 Aircraft Support Equipment / LI 4604</t>
        </is>
      </c>
      <c r="AD2973" s="7" t="inlineStr">
        <is>
          <t>217</t>
        </is>
      </c>
      <c r="AE2973" s="7" t="inlineStr">
        <is>
          <t>4604</t>
        </is>
      </c>
      <c r="AF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13" t="inlineStr">
        <is>
          <t>P-1 Detail / BA08 / BSA01 Spares and Repair Parts</t>
        </is>
      </c>
      <c r="AD2974" s="7" t="inlineStr">
        <is>
          <t>32</t>
        </is>
      </c>
      <c r="AE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13" t="inlineStr">
        <is>
          <t>P-1 Detail / BA08 / BSA01 Spares and Repair Parts</t>
        </is>
      </c>
      <c r="AD2975" s="7" t="inlineStr">
        <is>
          <t>32</t>
        </is>
      </c>
      <c r="AE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13" t="inlineStr">
        <is>
          <t>OPN BA4 / BSA 2: Ship Gun System Equipment / Ship Gun Systems Equipment</t>
        </is>
      </c>
      <c r="AD2976" s="7" t="inlineStr">
        <is>
          <t>57</t>
        </is>
      </c>
      <c r="AE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13" t="inlineStr">
        <is>
          <t>OPN BA4 / BSA 2 / Ship Gun Systems Equipment / Naval Fires Control Sys</t>
        </is>
      </c>
      <c r="AD2977" s="7" t="inlineStr">
        <is>
          <t>58</t>
        </is>
      </c>
      <c r="AE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13" t="inlineStr">
        <is>
          <t>OPN BA4 / BSA 2 / Ship Gun Systems Equipment / Naval Fires Control Sys / Product Improvement</t>
        </is>
      </c>
      <c r="AD2978" s="7" t="inlineStr">
        <is>
          <t>58</t>
        </is>
      </c>
      <c r="AE2978" s="7" t="inlineStr">
        <is>
          <t>5111</t>
        </is>
      </c>
      <c r="AG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13" t="inlineStr">
        <is>
          <t>OPN BA4 / BSA 2 / Ship Gun Systems Equipment / Naval Fires Control Sys / Installation</t>
        </is>
      </c>
      <c r="AD2979" s="7" t="inlineStr">
        <is>
          <t>58</t>
        </is>
      </c>
      <c r="AE2979" s="7" t="inlineStr">
        <is>
          <t>5111</t>
        </is>
      </c>
      <c r="AG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13" t="inlineStr">
        <is>
          <t>OPN BA4 / BSA 2 / Ship Gun Systems Equipment / Naval Fires Control Sys / Prod Eng</t>
        </is>
      </c>
      <c r="AD2980" s="7" t="inlineStr">
        <is>
          <t>59</t>
        </is>
      </c>
      <c r="AE2980" s="7" t="inlineStr">
        <is>
          <t>5111</t>
        </is>
      </c>
      <c r="AG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13" t="inlineStr">
        <is>
          <t>OPN BA4 / BSA 2 / Ship Gun Systems Equipment / Gun Fire Control Equipment</t>
        </is>
      </c>
      <c r="AD2981" s="7" t="inlineStr">
        <is>
          <t>59</t>
        </is>
      </c>
      <c r="AE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13" t="inlineStr">
        <is>
          <t>OPN BA4 / BSA 2 / Ship Gun Systems Equipment / Gun Fire Control / OSS</t>
        </is>
      </c>
      <c r="AD2982" s="7" t="inlineStr">
        <is>
          <t>60</t>
        </is>
      </c>
      <c r="AE2982" s="7" t="inlineStr">
        <is>
          <t>5111</t>
        </is>
      </c>
      <c r="AG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13" t="inlineStr">
        <is>
          <t>OPN BA4 / BSA 2 / Ship Gun Systems Equipment / Gun Fire Control / NVD</t>
        </is>
      </c>
      <c r="AD2983" s="7" t="inlineStr">
        <is>
          <t>61</t>
        </is>
      </c>
      <c r="AE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13" t="inlineStr">
        <is>
          <t>OPN BA4 / BSA 2 / Ship Gun Systems Equipment / Gun Fire Control / NVD Helmet</t>
        </is>
      </c>
      <c r="AD2984" s="7" t="inlineStr">
        <is>
          <t>61</t>
        </is>
      </c>
      <c r="AE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13" t="inlineStr">
        <is>
          <t>OPN BA4 / BSA 2 / Ship Gun Systems Equipment / Gun Fire Control / NVD Shroud</t>
        </is>
      </c>
      <c r="AD2985" s="7" t="inlineStr">
        <is>
          <t>61</t>
        </is>
      </c>
      <c r="AE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13" t="inlineStr">
        <is>
          <t>OPN BA4 / BSA 3: Ship Missile Systems Equipment / HARPOON Support Equipment</t>
        </is>
      </c>
      <c r="AD2986" s="7" t="inlineStr">
        <is>
          <t>63</t>
        </is>
      </c>
      <c r="AE2986" s="7" t="inlineStr">
        <is>
          <t>5227</t>
        </is>
      </c>
      <c r="AF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13" t="inlineStr">
        <is>
          <t>OPN BA4 / BSA 3 / HARPOON Support Equipment / ILS</t>
        </is>
      </c>
      <c r="AD2987" s="7" t="inlineStr">
        <is>
          <t>64</t>
        </is>
      </c>
      <c r="AE2987" s="7" t="inlineStr">
        <is>
          <t>5227</t>
        </is>
      </c>
      <c r="AF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13" t="inlineStr">
        <is>
          <t>OPN BA4 / BSA 3: Ship Missile Systems Equipment / Ship Missile Support Equipment</t>
        </is>
      </c>
      <c r="AD2988" s="7" t="inlineStr">
        <is>
          <t>67</t>
        </is>
      </c>
      <c r="AE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13" t="inlineStr">
        <is>
          <t>OPN BA4 / BSA 3 / Ship Missile Support / NATO SEASPARROW</t>
        </is>
      </c>
      <c r="AD2989" s="7" t="inlineStr">
        <is>
          <t>74</t>
        </is>
      </c>
      <c r="AE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13" t="inlineStr">
        <is>
          <t>OPN BA4 / BSA 3 / Ship Missile Support / NATO SEASPARROW / BLK 2</t>
        </is>
      </c>
      <c r="AD2990" s="7" t="inlineStr">
        <is>
          <t>74</t>
        </is>
      </c>
      <c r="AE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13" t="inlineStr">
        <is>
          <t>OPN BA4 / BSA 3 / Ship Missile Support / NATO SEASPARROW / Engineering</t>
        </is>
      </c>
      <c r="AD2991" s="7" t="inlineStr">
        <is>
          <t>75</t>
        </is>
      </c>
      <c r="AE2991" s="7" t="inlineStr">
        <is>
          <t>5231</t>
        </is>
      </c>
      <c r="AF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13" t="inlineStr">
        <is>
          <t>OPN BA4 / BSA 3 / Ship Missile Support / NATO SEASPARROW / Logistics</t>
        </is>
      </c>
      <c r="AD2992" s="7" t="inlineStr">
        <is>
          <t>75</t>
        </is>
      </c>
      <c r="AE2992" s="7" t="inlineStr">
        <is>
          <t>5231</t>
        </is>
      </c>
      <c r="AF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13" t="inlineStr">
        <is>
          <t>OPN BA4 / BSA 3 / Ship Missile Support / NATO SEASPARROW / Depot</t>
        </is>
      </c>
      <c r="AD2993" s="7" t="inlineStr">
        <is>
          <t>75</t>
        </is>
      </c>
      <c r="AE2993" s="7" t="inlineStr">
        <is>
          <t>5231</t>
        </is>
      </c>
      <c r="AF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13" t="inlineStr">
        <is>
          <t>OPN BA4 / BSA 3 / Ship Missile Support / NATO SEASPARROW / Cyber</t>
        </is>
      </c>
      <c r="AD2994" s="7" t="inlineStr">
        <is>
          <t>75</t>
        </is>
      </c>
      <c r="AE2994" s="7" t="inlineStr">
        <is>
          <t>5231</t>
        </is>
      </c>
      <c r="AF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13" t="inlineStr">
        <is>
          <t>OPN BA4 / BSA 3 / Ship Missile Support / NATO SEASPARROW / Safety</t>
        </is>
      </c>
      <c r="AD2995" s="7" t="inlineStr">
        <is>
          <t>75</t>
        </is>
      </c>
      <c r="AE2995" s="7" t="inlineStr">
        <is>
          <t>5231</t>
        </is>
      </c>
      <c r="AF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13" t="inlineStr">
        <is>
          <t>OPN BA4 / BSA 3 / Ship Missile Support / Afloat C-UAS</t>
        </is>
      </c>
      <c r="AD2996" s="7" t="inlineStr">
        <is>
          <t>75</t>
        </is>
      </c>
      <c r="AE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13" t="inlineStr">
        <is>
          <t>OPN BA4 / BSA 3 / Ship Missile Support / RAM Launchers</t>
        </is>
      </c>
      <c r="AD2997" s="7" t="inlineStr">
        <is>
          <t>79</t>
        </is>
      </c>
      <c r="AE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13" t="inlineStr">
        <is>
          <t>OPN BA4 / BSA 3 / Ship Missile Support / RAM Launchers / Prod Support</t>
        </is>
      </c>
      <c r="AD2998" s="7" t="inlineStr">
        <is>
          <t>79</t>
        </is>
      </c>
      <c r="AE2998" s="7" t="inlineStr">
        <is>
          <t>5231</t>
        </is>
      </c>
      <c r="AF2998" s="7" t="inlineStr">
        <is>
          <t>UR006 RAM Launchers Production Support</t>
        </is>
      </c>
      <c r="AG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13" t="inlineStr">
        <is>
          <t>OPN BA4 / BSA 3 / Ship Missile Support / Ship Self Defense System</t>
        </is>
      </c>
      <c r="AD2999" s="7" t="inlineStr">
        <is>
          <t>80</t>
        </is>
      </c>
      <c r="AE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13" t="inlineStr">
        <is>
          <t>OPN BA4 / BSA 3 / Ship Missile Support / SSDS / Production Support</t>
        </is>
      </c>
      <c r="AD3000" s="7" t="inlineStr">
        <is>
          <t>80</t>
        </is>
      </c>
      <c r="AE3000" s="7" t="inlineStr">
        <is>
          <t>5231</t>
        </is>
      </c>
      <c r="AG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13" t="inlineStr">
        <is>
          <t>OPN BA4 / BSA 3 / Ship Missile Support / SSDS / ECP</t>
        </is>
      </c>
      <c r="AD3001" s="7" t="inlineStr">
        <is>
          <t>80</t>
        </is>
      </c>
      <c r="AE3001" s="7" t="inlineStr">
        <is>
          <t>5231</t>
        </is>
      </c>
      <c r="AG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13" t="inlineStr">
        <is>
          <t>OPN BA4 / BSA 3 / Ship Missile Support / SSDS / Training</t>
        </is>
      </c>
      <c r="AD3002" s="7" t="inlineStr">
        <is>
          <t>80</t>
        </is>
      </c>
      <c r="AE3002" s="7" t="inlineStr">
        <is>
          <t>5231</t>
        </is>
      </c>
      <c r="AG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13" t="inlineStr">
        <is>
          <t>OPN BA4 / BSA 3 / Ship Missile Support / SSDS / COTS Obsolescence</t>
        </is>
      </c>
      <c r="AD3003" s="7" t="inlineStr">
        <is>
          <t>80</t>
        </is>
      </c>
      <c r="AE3003" s="7" t="inlineStr">
        <is>
          <t>5231</t>
        </is>
      </c>
      <c r="AG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13" t="inlineStr">
        <is>
          <t>OPN BA4 / BSA 3 / Ship Missile Support / SSDS / CSSQT</t>
        </is>
      </c>
      <c r="AD3004" s="7" t="inlineStr">
        <is>
          <t>80</t>
        </is>
      </c>
      <c r="AE3004" s="7" t="inlineStr">
        <is>
          <t>5231</t>
        </is>
      </c>
      <c r="AG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13" t="inlineStr">
        <is>
          <t>OPN BA4 / BSA 3 / Ship Missile Support / SSDS / Doc Support</t>
        </is>
      </c>
      <c r="AD3005" s="7" t="inlineStr">
        <is>
          <t>81</t>
        </is>
      </c>
      <c r="AE3005" s="7" t="inlineStr">
        <is>
          <t>5231</t>
        </is>
      </c>
      <c r="AG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13" t="inlineStr">
        <is>
          <t>OPN BA4 / BSA 3 / Ship Missile Support / AEGIS Support Equipment</t>
        </is>
      </c>
      <c r="AD3006" s="7" t="inlineStr">
        <is>
          <t>81</t>
        </is>
      </c>
      <c r="AE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13" t="inlineStr">
        <is>
          <t>OPN BA4 / BSA 3 / Ship Missile Support / AEGIS / Depot Tooling</t>
        </is>
      </c>
      <c r="AD3007" s="7" t="inlineStr">
        <is>
          <t>81</t>
        </is>
      </c>
      <c r="AE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13" t="inlineStr">
        <is>
          <t>OPN BA4 / BSA 3 / Ship Missile Support / AEGIS / SCSC Equipment</t>
        </is>
      </c>
      <c r="AD3008" s="7" t="inlineStr">
        <is>
          <t>82</t>
        </is>
      </c>
      <c r="AE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13" t="inlineStr">
        <is>
          <t>OPN BA4 / BSA 3 / Ship Missile Support / AEGIS / ATRC</t>
        </is>
      </c>
      <c r="AD3009" s="7" t="inlineStr">
        <is>
          <t>82</t>
        </is>
      </c>
      <c r="AE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13" t="inlineStr">
        <is>
          <t>OPN BA4 / BSA 3 / Ship Missile Support / AEGIS / CSEDS</t>
        </is>
      </c>
      <c r="AD3010" s="7" t="inlineStr">
        <is>
          <t>82</t>
        </is>
      </c>
      <c r="AE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13" t="inlineStr">
        <is>
          <t>OPN BA4 / BSA 3 / Ship Missile Support / AEGIS / Ship Change Procurement</t>
        </is>
      </c>
      <c r="AD3011" s="7" t="inlineStr">
        <is>
          <t>82</t>
        </is>
      </c>
      <c r="AE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13" t="inlineStr">
        <is>
          <t>OPN BA4 / BSA 3 / Ship Missile Support / AEGIS / SPY ALPS</t>
        </is>
      </c>
      <c r="AD3012" s="7" t="inlineStr">
        <is>
          <t>82</t>
        </is>
      </c>
      <c r="AE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13" t="inlineStr">
        <is>
          <t>OPN BA4 / BSA 3 / Ship Missile Support / AEGIS / SPY Wholeness</t>
        </is>
      </c>
      <c r="AD3013" s="7" t="inlineStr">
        <is>
          <t>82</t>
        </is>
      </c>
      <c r="AE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13" t="inlineStr">
        <is>
          <t>OPN BA4 / BSA 3 / Ship Missile Support / AEGIS / ECS</t>
        </is>
      </c>
      <c r="AD3014" s="7" t="inlineStr">
        <is>
          <t>82</t>
        </is>
      </c>
      <c r="AE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13" t="inlineStr">
        <is>
          <t>OPN BA4 / BSA 3 / Ship Missile Support / AEGIS / Depot Maint</t>
        </is>
      </c>
      <c r="AD3015" s="7" t="inlineStr">
        <is>
          <t>82</t>
        </is>
      </c>
      <c r="AE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13" t="inlineStr">
        <is>
          <t>OPN BA4 / BSA 3 / Ship Missile Support / AEGIS / Installation</t>
        </is>
      </c>
      <c r="AD3016" s="7" t="inlineStr">
        <is>
          <t>82</t>
        </is>
      </c>
      <c r="AE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13" t="inlineStr">
        <is>
          <t>OPN BA4 / BSA 3 / Ship Missile Support / ICS Equipment</t>
        </is>
      </c>
      <c r="AD3017" s="7" t="inlineStr">
        <is>
          <t>83</t>
        </is>
      </c>
      <c r="AE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13" t="inlineStr">
        <is>
          <t>OPN BA4 / BSA 3 / Ship Missile Support / MK57 Support</t>
        </is>
      </c>
      <c r="AD3018" s="7" t="inlineStr">
        <is>
          <t>84</t>
        </is>
      </c>
      <c r="AE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13" t="inlineStr">
        <is>
          <t>OPN BA4 / BSA 3 / Ship Missile Support / MK57 / Prod Eng</t>
        </is>
      </c>
      <c r="AD3019" s="7" t="inlineStr">
        <is>
          <t>84</t>
        </is>
      </c>
      <c r="AE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13" t="inlineStr">
        <is>
          <t>OPN BA4 / BSA 3 / Ship Missile Support / VLS</t>
        </is>
      </c>
      <c r="AD3020" s="7" t="inlineStr">
        <is>
          <t>89</t>
        </is>
      </c>
      <c r="AE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13" t="inlineStr">
        <is>
          <t>OPN BA4 / BSA 3 / Ship Missile Support / VLS / ORDALTs</t>
        </is>
      </c>
      <c r="AD3021" s="7" t="inlineStr">
        <is>
          <t>89</t>
        </is>
      </c>
      <c r="AE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13" t="inlineStr">
        <is>
          <t>OPN BA4 / BSA 3 / Ship Missile Support / VLS / Prod Eng</t>
        </is>
      </c>
      <c r="AD3022" s="7" t="inlineStr">
        <is>
          <t>89</t>
        </is>
      </c>
      <c r="AE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13" t="inlineStr">
        <is>
          <t>OPN BA4 / BSA 3 / Ship Missile Support / VLS / Install</t>
        </is>
      </c>
      <c r="AD3023" s="7" t="inlineStr">
        <is>
          <t>89</t>
        </is>
      </c>
      <c r="AE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13" t="inlineStr">
        <is>
          <t>OPN BA4 / BSA 3 / Ship Missile Support / OTH Weapon System</t>
        </is>
      </c>
      <c r="AD3024" s="7" t="inlineStr">
        <is>
          <t>96</t>
        </is>
      </c>
      <c r="AE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13" t="inlineStr">
        <is>
          <t>OPN BA4 / BSA 3 / Ship Missile Support / OTH / Procurement</t>
        </is>
      </c>
      <c r="AD3025" s="7" t="inlineStr">
        <is>
          <t>96</t>
        </is>
      </c>
      <c r="AE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13" t="inlineStr">
        <is>
          <t>OPN BA4 / BSA 3 / Ship Missile Support / OTH / Installation</t>
        </is>
      </c>
      <c r="AD3026" s="7" t="inlineStr">
        <is>
          <t>97</t>
        </is>
      </c>
      <c r="AE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13" t="inlineStr">
        <is>
          <t>OPN BA4 / BSA 3 / Ship Missile Support / DRAKE</t>
        </is>
      </c>
      <c r="AD3027" s="7" t="inlineStr">
        <is>
          <t>98</t>
        </is>
      </c>
      <c r="AE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13" t="inlineStr">
        <is>
          <t>OPN BA4 / BSA 3 / Ship Missile Support / P-3a NATO SEASPARROW</t>
        </is>
      </c>
      <c r="AD3028" s="7" t="inlineStr">
        <is>
          <t>99</t>
        </is>
      </c>
      <c r="AE3028" s="7" t="inlineStr">
        <is>
          <t>5231</t>
        </is>
      </c>
      <c r="AG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13" t="inlineStr">
        <is>
          <t>OPN BA4 / BSA 3 / Ship Missile Support / P-3a NSSMS / Obj Config Backfit</t>
        </is>
      </c>
      <c r="AD3029" s="7" t="inlineStr">
        <is>
          <t>100</t>
        </is>
      </c>
      <c r="AE3029" s="7" t="inlineStr">
        <is>
          <t>5231</t>
        </is>
      </c>
      <c r="AG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13" t="inlineStr">
        <is>
          <t>OPN BA4 / BSA 3 / Ship Missile Support / P-3a NSSMS / BLK2 HW</t>
        </is>
      </c>
      <c r="AD3030" s="7" t="inlineStr">
        <is>
          <t>100</t>
        </is>
      </c>
      <c r="AE3030" s="7" t="inlineStr">
        <is>
          <t>5231</t>
        </is>
      </c>
      <c r="AG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13" t="inlineStr">
        <is>
          <t>OPN BA4 / BSA 3 / Ship Missile Support / P-3a NSSMS / CWTI</t>
        </is>
      </c>
      <c r="AD3031" s="7" t="inlineStr">
        <is>
          <t>101</t>
        </is>
      </c>
      <c r="AE3031" s="7" t="inlineStr">
        <is>
          <t>5231</t>
        </is>
      </c>
      <c r="AG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13" t="inlineStr">
        <is>
          <t>OPN BA4 / BSA 3 / Ship Missile Support / P-3a NSSMS / Installation</t>
        </is>
      </c>
      <c r="AD3032" s="7" t="inlineStr">
        <is>
          <t>102</t>
        </is>
      </c>
      <c r="AE3032" s="7" t="inlineStr">
        <is>
          <t>5231</t>
        </is>
      </c>
      <c r="AG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13" t="inlineStr">
        <is>
          <t>OPN BA4 / BSA 3 / Ship Missile Support / P-3a RAM Launchers</t>
        </is>
      </c>
      <c r="AD3033" s="7" t="inlineStr">
        <is>
          <t>105</t>
        </is>
      </c>
      <c r="AE3033" s="7" t="inlineStr">
        <is>
          <t>5231</t>
        </is>
      </c>
      <c r="AF3033" s="7" t="inlineStr">
        <is>
          <t>UR006 RAM Launchers Production Support</t>
        </is>
      </c>
      <c r="AG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13" t="inlineStr">
        <is>
          <t>OPN BA4 / BSA 3 / Ship Missile Support / P-3a RAM / Firepower ORDALT</t>
        </is>
      </c>
      <c r="AD3034" s="7" t="inlineStr">
        <is>
          <t>106</t>
        </is>
      </c>
      <c r="AE3034" s="7" t="inlineStr">
        <is>
          <t>5231</t>
        </is>
      </c>
      <c r="AG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13" t="inlineStr">
        <is>
          <t>OPN BA4 / BSA 3 / Ship Missile Support / P-3a RAM / Shock ORDALT</t>
        </is>
      </c>
      <c r="AD3035" s="7" t="inlineStr">
        <is>
          <t>106</t>
        </is>
      </c>
      <c r="AE3035" s="7" t="inlineStr">
        <is>
          <t>5231</t>
        </is>
      </c>
      <c r="AG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13" t="inlineStr">
        <is>
          <t>OPN BA4 / BSA 3 / Ship Missile Support / P-3a RAM / Phalanx Replacement</t>
        </is>
      </c>
      <c r="AD3036" s="7" t="inlineStr">
        <is>
          <t>107</t>
        </is>
      </c>
      <c r="AE3036" s="7" t="inlineStr">
        <is>
          <t>5231</t>
        </is>
      </c>
      <c r="AG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13" t="inlineStr">
        <is>
          <t>OPN BA4 / BSA 3 / Ship Missile Support / P-3a RAM / Installation</t>
        </is>
      </c>
      <c r="AD3037" s="7" t="inlineStr">
        <is>
          <t>109</t>
        </is>
      </c>
      <c r="AE3037" s="7" t="inlineStr">
        <is>
          <t>5231</t>
        </is>
      </c>
      <c r="AG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13" t="inlineStr">
        <is>
          <t>OPN BA4 / BSA 3 / Ship Missile Support / P-3a SSDS COTS</t>
        </is>
      </c>
      <c r="AD3038" s="7" t="inlineStr">
        <is>
          <t>111</t>
        </is>
      </c>
      <c r="AE3038" s="7" t="inlineStr">
        <is>
          <t>5231</t>
        </is>
      </c>
      <c r="AF3038" s="7" t="inlineStr">
        <is>
          <t>UQ005B - SSDS COTS CONVERSION KITS</t>
        </is>
      </c>
      <c r="AG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13" t="inlineStr">
        <is>
          <t>OPN BA4 / BSA 3 / Ship Missile Support / P-3a SSDS COTS / FMP Ships</t>
        </is>
      </c>
      <c r="AD3039" s="7" t="inlineStr">
        <is>
          <t>112</t>
        </is>
      </c>
      <c r="AE3039" s="7" t="inlineStr">
        <is>
          <t>5231</t>
        </is>
      </c>
      <c r="AG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13" t="inlineStr">
        <is>
          <t>OPN BA4 / BSA 3 / Ship Missile Support / P-3a SSDS COTS / Shore Sites</t>
        </is>
      </c>
      <c r="AD3040" s="7" t="inlineStr">
        <is>
          <t>112</t>
        </is>
      </c>
      <c r="AE3040" s="7" t="inlineStr">
        <is>
          <t>5231</t>
        </is>
      </c>
      <c r="AG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13" t="inlineStr">
        <is>
          <t>OPN BA4 / BSA 3 / Ship Missile Support / P-3a SSDS COTS / Installation</t>
        </is>
      </c>
      <c r="AD3041" s="7" t="inlineStr">
        <is>
          <t>114</t>
        </is>
      </c>
      <c r="AE3041" s="7" t="inlineStr">
        <is>
          <t>5231</t>
        </is>
      </c>
      <c r="AG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13" t="inlineStr">
        <is>
          <t>OPN BA4 / BSA 3: Ship Missile Systems Equipment / Tomahawk Support Equipment</t>
        </is>
      </c>
      <c r="AD3042" s="7" t="inlineStr">
        <is>
          <t>119</t>
        </is>
      </c>
      <c r="AE3042" s="7" t="inlineStr">
        <is>
          <t>5253</t>
        </is>
      </c>
      <c r="AF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13" t="inlineStr">
        <is>
          <t>OPN BA4 / BSA 3 / Tomahawk Support / TTWCS Hardware</t>
        </is>
      </c>
      <c r="AD3043" s="7" t="inlineStr">
        <is>
          <t>122</t>
        </is>
      </c>
      <c r="AE3043" s="7" t="inlineStr">
        <is>
          <t>5253</t>
        </is>
      </c>
      <c r="AF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13" t="inlineStr">
        <is>
          <t>OPN BA4 / BSA 3 / Tomahawk Support / TTWCS Product Improvement</t>
        </is>
      </c>
      <c r="AD3044" s="7" t="inlineStr">
        <is>
          <t>122</t>
        </is>
      </c>
      <c r="AE3044" s="7" t="inlineStr">
        <is>
          <t>5253</t>
        </is>
      </c>
      <c r="AF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13" t="inlineStr">
        <is>
          <t>OPN BA4 / BSA 3 / Tomahawk Support / TMPC Hardware</t>
        </is>
      </c>
      <c r="AD3045" s="7" t="inlineStr">
        <is>
          <t>123</t>
        </is>
      </c>
      <c r="AE3045" s="7" t="inlineStr">
        <is>
          <t>5253</t>
        </is>
      </c>
      <c r="AF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13" t="inlineStr">
        <is>
          <t>OPN BA4 / BSA 3 / Tomahawk Support / TMPC Product Improvements</t>
        </is>
      </c>
      <c r="AD3046" s="7" t="inlineStr">
        <is>
          <t>123</t>
        </is>
      </c>
      <c r="AE3046" s="7" t="inlineStr">
        <is>
          <t>5253</t>
        </is>
      </c>
      <c r="AF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13" t="inlineStr">
        <is>
          <t>OPN BA4 / BSA 3 / Tomahawk Support / TTWCS Prod Eng</t>
        </is>
      </c>
      <c r="AD3047" s="7" t="inlineStr">
        <is>
          <t>123</t>
        </is>
      </c>
      <c r="AE3047" s="7" t="inlineStr">
        <is>
          <t>5253</t>
        </is>
      </c>
      <c r="AF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13" t="inlineStr">
        <is>
          <t>OPN BA4 / BSA 3 / Tomahawk Support / TTWCS ILS</t>
        </is>
      </c>
      <c r="AD3048" s="7" t="inlineStr">
        <is>
          <t>123</t>
        </is>
      </c>
      <c r="AE3048" s="7" t="inlineStr">
        <is>
          <t>5253</t>
        </is>
      </c>
      <c r="AF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13" t="inlineStr">
        <is>
          <t>OPN BA4 / BSA 3 / Tomahawk Support / TMPC Prod Eng</t>
        </is>
      </c>
      <c r="AD3049" s="7" t="inlineStr">
        <is>
          <t>124</t>
        </is>
      </c>
      <c r="AE3049" s="7" t="inlineStr">
        <is>
          <t>5253</t>
        </is>
      </c>
      <c r="AF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13" t="inlineStr">
        <is>
          <t>OPN BA4 / BSA 3 / Tomahawk Support / TMPC Prod Support</t>
        </is>
      </c>
      <c r="AD3050" s="7" t="inlineStr">
        <is>
          <t>124</t>
        </is>
      </c>
      <c r="AE3050" s="7" t="inlineStr">
        <is>
          <t>5253</t>
        </is>
      </c>
      <c r="AF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13" t="inlineStr">
        <is>
          <t>OPN BA4 / BSA 3 / Tomahawk Support / TMPC ILS</t>
        </is>
      </c>
      <c r="AD3051" s="7" t="inlineStr">
        <is>
          <t>124</t>
        </is>
      </c>
      <c r="AE3051" s="7" t="inlineStr">
        <is>
          <t>5253</t>
        </is>
      </c>
      <c r="AF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13" t="inlineStr">
        <is>
          <t>OPN BA4 / BSA 4: FBM Support Equipment / CPS Support Equipment</t>
        </is>
      </c>
      <c r="AD3052" s="7" t="inlineStr">
        <is>
          <t>127</t>
        </is>
      </c>
      <c r="AE3052" s="7" t="inlineStr">
        <is>
          <t>5353</t>
        </is>
      </c>
      <c r="AF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13" t="inlineStr">
        <is>
          <t>OPN BA4 / BSA 4 / CPS Support / APM</t>
        </is>
      </c>
      <c r="AD3053" s="7" t="inlineStr">
        <is>
          <t>129</t>
        </is>
      </c>
      <c r="AE3053" s="7" t="inlineStr">
        <is>
          <t>5353</t>
        </is>
      </c>
      <c r="AF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13" t="inlineStr">
        <is>
          <t>OPN BA4 / BSA 4: FBM Support Equipment / Strategic Missile Systems Equip</t>
        </is>
      </c>
      <c r="AD3054" s="7" t="inlineStr">
        <is>
          <t>135</t>
        </is>
      </c>
      <c r="AE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13" t="inlineStr">
        <is>
          <t>OPN BA4 / BSA 4 / Strategic Missile / Launcher &amp; Handling</t>
        </is>
      </c>
      <c r="AD3055" s="7" t="inlineStr">
        <is>
          <t>140</t>
        </is>
      </c>
      <c r="AE3055" s="7" t="inlineStr">
        <is>
          <t>5358</t>
        </is>
      </c>
      <c r="AF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13" t="inlineStr">
        <is>
          <t>OPN BA4 / BSA 4 / Strategic Missile / Launcher &amp; Handling / Gas Gen</t>
        </is>
      </c>
      <c r="AD3056" s="7" t="inlineStr">
        <is>
          <t>140</t>
        </is>
      </c>
      <c r="AE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13" t="inlineStr">
        <is>
          <t>OPN BA4 / BSA 4 / Strategic Missile / Launcher &amp; Handling / Ballast Supt</t>
        </is>
      </c>
      <c r="AD3057" s="7" t="inlineStr">
        <is>
          <t>140</t>
        </is>
      </c>
      <c r="AE3057" s="7" t="inlineStr">
        <is>
          <t>5358</t>
        </is>
      </c>
      <c r="AF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13" t="inlineStr">
        <is>
          <t>OPN BA4 / BSA 4 / Strategic Missile / Fire Control</t>
        </is>
      </c>
      <c r="AD3058" s="7" t="inlineStr">
        <is>
          <t>141</t>
        </is>
      </c>
      <c r="AE3058" s="7" t="inlineStr">
        <is>
          <t>5358</t>
        </is>
      </c>
      <c r="AF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13" t="inlineStr">
        <is>
          <t>OPN BA4 / BSA 4 / Strategic Missile / Fire Control / NIROP</t>
        </is>
      </c>
      <c r="AD3059" s="7" t="inlineStr">
        <is>
          <t>141</t>
        </is>
      </c>
      <c r="AE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13" t="inlineStr">
        <is>
          <t>OPN BA4 / BSA 4 / Strategic Missile / Fire Control / Aux Support</t>
        </is>
      </c>
      <c r="AD3060" s="7" t="inlineStr">
        <is>
          <t>141</t>
        </is>
      </c>
      <c r="AE3060" s="7" t="inlineStr">
        <is>
          <t>5358</t>
        </is>
      </c>
      <c r="AF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13" t="inlineStr">
        <is>
          <t>OPN BA4 / BSA 4 / Strategic Missile / Fire Control / Targeting HW</t>
        </is>
      </c>
      <c r="AD3061" s="7" t="inlineStr">
        <is>
          <t>141</t>
        </is>
      </c>
      <c r="AE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13" t="inlineStr">
        <is>
          <t>OPN BA4 / BSA 4 / Strategic Missile / Fire Control / SAIL</t>
        </is>
      </c>
      <c r="AD3062" s="7" t="inlineStr">
        <is>
          <t>141</t>
        </is>
      </c>
      <c r="AE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13" t="inlineStr">
        <is>
          <t>OPN BA4 / BSA 4 / Strategic Missile / Fire Control / SW Refresh</t>
        </is>
      </c>
      <c r="AD3063" s="7" t="inlineStr">
        <is>
          <t>141</t>
        </is>
      </c>
      <c r="AE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13" t="inlineStr">
        <is>
          <t>OPN BA4 / BSA 4 / Strategic Missile / Navigation</t>
        </is>
      </c>
      <c r="AD3064" s="7" t="inlineStr">
        <is>
          <t>142</t>
        </is>
      </c>
      <c r="AE3064" s="7" t="inlineStr">
        <is>
          <t>5358</t>
        </is>
      </c>
      <c r="AF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13" t="inlineStr">
        <is>
          <t>OPN BA4 / BSA 4 / Strategic Missile / Navigation / ESGN</t>
        </is>
      </c>
      <c r="AD3065" s="7" t="inlineStr">
        <is>
          <t>142</t>
        </is>
      </c>
      <c r="AE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13" t="inlineStr">
        <is>
          <t>OPN BA4 / BSA 4 / Strategic Missile / Instrumentation</t>
        </is>
      </c>
      <c r="AD3066" s="7" t="inlineStr">
        <is>
          <t>143</t>
        </is>
      </c>
      <c r="AE3066" s="7" t="inlineStr">
        <is>
          <t>5358</t>
        </is>
      </c>
      <c r="AF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13" t="inlineStr">
        <is>
          <t>OPN BA4 / BSA 4 / Strategic Missile / Instrumentation / Umbilicals</t>
        </is>
      </c>
      <c r="AD3067" s="7" t="inlineStr">
        <is>
          <t>143</t>
        </is>
      </c>
      <c r="AE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13" t="inlineStr">
        <is>
          <t>OPN BA4 / BSA 4 / Strategic Missile / Instrumentation / FTI</t>
        </is>
      </c>
      <c r="AD3068" s="7" t="inlineStr">
        <is>
          <t>143</t>
        </is>
      </c>
      <c r="AE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13" t="inlineStr">
        <is>
          <t>OPN BA4 / BSA 4 / Strategic Missile / IT</t>
        </is>
      </c>
      <c r="AD3069" s="7" t="inlineStr">
        <is>
          <t>144</t>
        </is>
      </c>
      <c r="AE3069" s="7" t="inlineStr">
        <is>
          <t>5358</t>
        </is>
      </c>
      <c r="AF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13" t="inlineStr">
        <is>
          <t>OPN BA4 / BSA 4 / Strategic Missile / Launcher Alterations</t>
        </is>
      </c>
      <c r="AD3070" s="7" t="inlineStr">
        <is>
          <t>145</t>
        </is>
      </c>
      <c r="AE3070" s="7" t="inlineStr">
        <is>
          <t>5358</t>
        </is>
      </c>
      <c r="AF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13" t="inlineStr">
        <is>
          <t>OPN BA4 / BSA 4 / Strategic Missile / Launcher Alterations / Hoist</t>
        </is>
      </c>
      <c r="AD3071" s="7" t="inlineStr">
        <is>
          <t>145</t>
        </is>
      </c>
      <c r="AE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13" t="inlineStr">
        <is>
          <t>OPN BA4 / BSA 4 / Strategic Missile / Launcher Alterations / SPALTs</t>
        </is>
      </c>
      <c r="AD3072" s="7" t="inlineStr">
        <is>
          <t>145</t>
        </is>
      </c>
      <c r="AE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13" t="inlineStr">
        <is>
          <t>OPN BA4 / BSA 4 / Strategic Missile / FC Alterations</t>
        </is>
      </c>
      <c r="AD3073" s="7" t="inlineStr">
        <is>
          <t>146</t>
        </is>
      </c>
      <c r="AE3073" s="7" t="inlineStr">
        <is>
          <t>5358</t>
        </is>
      </c>
      <c r="AF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13" t="inlineStr">
        <is>
          <t>OPN BA4 / BSA 4 / Strategic Missile / FC Alterations / PCD</t>
        </is>
      </c>
      <c r="AD3074" s="7" t="inlineStr">
        <is>
          <t>146</t>
        </is>
      </c>
      <c r="AE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13" t="inlineStr">
        <is>
          <t>OPN BA4 / BSA 4 / Strategic Missile / FC Alterations / Minor SPALTs</t>
        </is>
      </c>
      <c r="AD3075" s="7" t="inlineStr">
        <is>
          <t>146</t>
        </is>
      </c>
      <c r="AE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13" t="inlineStr">
        <is>
          <t>OPN BA4 / BSA 4 / Strategic Missile / Nav Alterations</t>
        </is>
      </c>
      <c r="AD3076" s="7" t="inlineStr">
        <is>
          <t>147</t>
        </is>
      </c>
      <c r="AE3076" s="7" t="inlineStr">
        <is>
          <t>5358</t>
        </is>
      </c>
      <c r="AF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13" t="inlineStr">
        <is>
          <t>OPN BA4 / BSA 4 / Strategic Missile / Nav Alterations / ESGN SPALTs</t>
        </is>
      </c>
      <c r="AD3077" s="7" t="inlineStr">
        <is>
          <t>147</t>
        </is>
      </c>
      <c r="AE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13" t="inlineStr">
        <is>
          <t>OPN BA4 / BSA 4 / Strategic Missile / Nav Alterations / Transducer SPALTs</t>
        </is>
      </c>
      <c r="AD3078" s="7" t="inlineStr">
        <is>
          <t>147</t>
        </is>
      </c>
      <c r="AE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13" t="inlineStr">
        <is>
          <t>OPN BA4 / BSA 4 / Strategic Missile / Nav Alterations / BB Nav Sonar</t>
        </is>
      </c>
      <c r="AD3079" s="7" t="inlineStr">
        <is>
          <t>147</t>
        </is>
      </c>
      <c r="AE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13" t="inlineStr">
        <is>
          <t>OPN BA4 / BSA 4 / Strategic Missile / Instrumentation Alterations</t>
        </is>
      </c>
      <c r="AD3080" s="7" t="inlineStr">
        <is>
          <t>148</t>
        </is>
      </c>
      <c r="AE3080" s="7" t="inlineStr">
        <is>
          <t>5358</t>
        </is>
      </c>
      <c r="AF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13" t="inlineStr">
        <is>
          <t>OPN BA4 / BSA 4 / Strategic Missile / SSI Inc 8</t>
        </is>
      </c>
      <c r="AD3081" s="7" t="inlineStr">
        <is>
          <t>149</t>
        </is>
      </c>
      <c r="AE3081" s="7" t="inlineStr">
        <is>
          <t>5358</t>
        </is>
      </c>
      <c r="AF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13" t="inlineStr">
        <is>
          <t>OPN BA4 / BSA 4 / Strategic Missile / SSI Inc 8 / SHIPALT</t>
        </is>
      </c>
      <c r="AD3082" s="7" t="inlineStr">
        <is>
          <t>149</t>
        </is>
      </c>
      <c r="AE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13" t="inlineStr">
        <is>
          <t>OPN BA4 / BSA 4 / Strategic Missile / SSI Inc 8 / Gyro Fault Iso</t>
        </is>
      </c>
      <c r="AD3083" s="7" t="inlineStr">
        <is>
          <t>149</t>
        </is>
      </c>
      <c r="AE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13" t="inlineStr">
        <is>
          <t>OPN BA4 / BSA 4 / Strategic Missile / SSI Inc 15</t>
        </is>
      </c>
      <c r="AD3084" s="7" t="inlineStr">
        <is>
          <t>152</t>
        </is>
      </c>
      <c r="AE3084" s="7" t="inlineStr">
        <is>
          <t>5358</t>
        </is>
      </c>
      <c r="AF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13" t="inlineStr">
        <is>
          <t>OPN BA4 / BSA 4 / Strategic Missile / SSI Inc 15 / FC Production</t>
        </is>
      </c>
      <c r="AD3085" s="7" t="inlineStr">
        <is>
          <t>152</t>
        </is>
      </c>
      <c r="AE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13" t="inlineStr">
        <is>
          <t>OPN BA4 / BSA 4 / Strategic Missile / SSI Inc 15 / FC Installation</t>
        </is>
      </c>
      <c r="AD3086" s="7" t="inlineStr">
        <is>
          <t>152</t>
        </is>
      </c>
      <c r="AE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13" t="inlineStr">
        <is>
          <t>OPN BA4 / BSA 4 / Strategic Missile / SSMP</t>
        </is>
      </c>
      <c r="AD3087" s="7" t="inlineStr">
        <is>
          <t>153</t>
        </is>
      </c>
      <c r="AE3087" s="7" t="inlineStr">
        <is>
          <t>5358</t>
        </is>
      </c>
      <c r="AF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13" t="inlineStr">
        <is>
          <t>OPN BA4 / BSA 4 / Strategic Missile / SSMP / Adv Dev</t>
        </is>
      </c>
      <c r="AD3088" s="7" t="inlineStr">
        <is>
          <t>153</t>
        </is>
      </c>
      <c r="AE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13" t="inlineStr">
        <is>
          <t>OPN BA4 / BSA 4 / Strategic Missile / SSMP / Re-Arch</t>
        </is>
      </c>
      <c r="AD3089" s="7" t="inlineStr">
        <is>
          <t>153</t>
        </is>
      </c>
      <c r="AE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13" t="inlineStr">
        <is>
          <t>OPN BA4 / BSA 4 / Strategic Missile / SSMP / Obsolescence</t>
        </is>
      </c>
      <c r="AD3090" s="7" t="inlineStr">
        <is>
          <t>153</t>
        </is>
      </c>
      <c r="AE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13" t="inlineStr">
        <is>
          <t>OPN BA4 / BSA 4 / Strategic Missile / SSMP / Capability Insertion</t>
        </is>
      </c>
      <c r="AD3091" s="7" t="inlineStr">
        <is>
          <t>153</t>
        </is>
      </c>
      <c r="AE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13" t="inlineStr">
        <is>
          <t>OPN BA4 / BSA 4 / Strategic Missile / SSMP / Prod HW</t>
        </is>
      </c>
      <c r="AD3092" s="7" t="inlineStr">
        <is>
          <t>153</t>
        </is>
      </c>
      <c r="AE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13" t="inlineStr">
        <is>
          <t>OPN BA4 / BSA 4 / Strategic Missile / Training Support</t>
        </is>
      </c>
      <c r="AD3093" s="7" t="inlineStr">
        <is>
          <t>154</t>
        </is>
      </c>
      <c r="AE3093" s="7" t="inlineStr">
        <is>
          <t>5358</t>
        </is>
      </c>
      <c r="AF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13" t="inlineStr">
        <is>
          <t>OPN BA4 / BSA 4 / Strategic Missile / Columbia Class</t>
        </is>
      </c>
      <c r="AD3094" s="7" t="inlineStr">
        <is>
          <t>155</t>
        </is>
      </c>
      <c r="AE3094" s="7" t="inlineStr">
        <is>
          <t>5358</t>
        </is>
      </c>
      <c r="AF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13" t="inlineStr">
        <is>
          <t>OPN BA4 / BSA 4 / Strategic Missile / Columbia / TRIPER spares</t>
        </is>
      </c>
      <c r="AD3095" s="7" t="inlineStr">
        <is>
          <t>155</t>
        </is>
      </c>
      <c r="AE3095" s="7" t="inlineStr">
        <is>
          <t>5358</t>
        </is>
      </c>
      <c r="AF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13" t="inlineStr">
        <is>
          <t>OPN BA4 / BSA 4 / Strategic Missile / Columbia / SWSS Trainer</t>
        </is>
      </c>
      <c r="AD3096" s="7" t="inlineStr">
        <is>
          <t>155</t>
        </is>
      </c>
      <c r="AE3096" s="7" t="inlineStr">
        <is>
          <t>5358</t>
        </is>
      </c>
      <c r="AF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13" t="inlineStr">
        <is>
          <t>OPN BA4 / BSA 5: ASW Support Equipment / SSN Combat Control Systems</t>
        </is>
      </c>
      <c r="AD3097" s="7" t="inlineStr">
        <is>
          <t>163</t>
        </is>
      </c>
      <c r="AE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13" t="inlineStr">
        <is>
          <t>OPN BA4 / BSA 5 / SSN Combat Control / Tech Refresh</t>
        </is>
      </c>
      <c r="AD3098" s="7" t="inlineStr">
        <is>
          <t>169</t>
        </is>
      </c>
      <c r="AE3098" s="7" t="inlineStr">
        <is>
          <t>5420</t>
        </is>
      </c>
      <c r="AF3098" s="7" t="inlineStr">
        <is>
          <t>VB011: COMBAT SYSTEM TECH REFRESH/LEGACY INTEGRATION</t>
        </is>
      </c>
      <c r="AG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13" t="inlineStr">
        <is>
          <t>OPN BA4 / BSA 5 / SSN Combat Control / Tech Refresh / WLS</t>
        </is>
      </c>
      <c r="AD3099" s="7" t="inlineStr">
        <is>
          <t>169</t>
        </is>
      </c>
      <c r="AE3099" s="7" t="inlineStr">
        <is>
          <t>5420</t>
        </is>
      </c>
      <c r="AF3099" s="7" t="inlineStr">
        <is>
          <t>VB011: COMBAT SYSTEM TECH REFRESH/LEGACY INTEGRATION</t>
        </is>
      </c>
      <c r="AG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13" t="inlineStr">
        <is>
          <t>OPN BA4 / BSA 5 / SSN Combat Control / Tech Refresh / COTS HW</t>
        </is>
      </c>
      <c r="AD3100" s="7" t="inlineStr">
        <is>
          <t>169</t>
        </is>
      </c>
      <c r="AE3100" s="7" t="inlineStr">
        <is>
          <t>5420</t>
        </is>
      </c>
      <c r="AF3100" s="7" t="inlineStr">
        <is>
          <t>VB011: COMBAT SYSTEM TECH REFRESH/LEGACY INTEGRATION</t>
        </is>
      </c>
      <c r="AG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13" t="inlineStr">
        <is>
          <t>OPN BA4 / BSA 5 / SSN Combat Control / Tech Refresh / TIH Mod</t>
        </is>
      </c>
      <c r="AD3101" s="7" t="inlineStr">
        <is>
          <t>169</t>
        </is>
      </c>
      <c r="AE3101" s="7" t="inlineStr">
        <is>
          <t>5420</t>
        </is>
      </c>
      <c r="AF3101" s="7" t="inlineStr">
        <is>
          <t>VB011: COMBAT SYSTEM TECH REFRESH/LEGACY INTEGRATION</t>
        </is>
      </c>
      <c r="AG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13" t="inlineStr">
        <is>
          <t>OPN BA4 / BSA 5 / SSN Combat Control / Prod Eng &amp; Training</t>
        </is>
      </c>
      <c r="AD3102" s="7" t="inlineStr">
        <is>
          <t>171</t>
        </is>
      </c>
      <c r="AE3102" s="7" t="inlineStr">
        <is>
          <t>5420</t>
        </is>
      </c>
      <c r="AF3102" s="7" t="inlineStr">
        <is>
          <t>VB995: PRODUCTION ENGINEERING AND INITIAL TRAINING</t>
        </is>
      </c>
      <c r="AG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 / SSGN</t>
        </is>
      </c>
      <c r="O3103" s="17" t="n">
        <v>0</v>
      </c>
      <c r="P3103" s="16" t="n">
        <v>9680</v>
      </c>
      <c r="Q3103" s="16" t="n">
        <v>16735</v>
      </c>
      <c r="S3103" s="16" t="n">
        <v>13870</v>
      </c>
      <c r="U3103" s="16" t="n">
        <v>13870</v>
      </c>
      <c r="AC3103" s="13" t="inlineStr">
        <is>
          <t>OPN BA4 / BSA 5 / SSN Combat Control / P-3a SSBN OHIO TI</t>
        </is>
      </c>
      <c r="AD3103" s="7" t="inlineStr">
        <is>
          <t>175</t>
        </is>
      </c>
      <c r="AE3103" s="7" t="inlineStr">
        <is>
          <t>5420</t>
        </is>
      </c>
      <c r="AF3103" s="7" t="inlineStr">
        <is>
          <t>VB034 SSN774 BLK V AND OUT W/ CWL TECH INSERT- PSA INSTALL</t>
        </is>
      </c>
      <c r="AG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13" t="inlineStr">
        <is>
          <t>OPN BA4 / BSA 5 / SSN Combat Control / P-3a SSN21 TI</t>
        </is>
      </c>
      <c r="AD3104" s="7" t="inlineStr">
        <is>
          <t>177</t>
        </is>
      </c>
      <c r="AE3104" s="7" t="inlineStr">
        <is>
          <t>5420</t>
        </is>
      </c>
      <c r="AF3104" s="7" t="inlineStr">
        <is>
          <t>VB034 SSN774 BLK V AND OUT W/ CWL TECH INSERT- PSA INSTALL</t>
        </is>
      </c>
      <c r="AG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13" t="inlineStr">
        <is>
          <t>OPN BA4 / BSA 5 / SSN Combat Control / P-3a SSN688 TI</t>
        </is>
      </c>
      <c r="AD3105" s="7" t="inlineStr">
        <is>
          <t>179</t>
        </is>
      </c>
      <c r="AE3105" s="7" t="inlineStr">
        <is>
          <t>5420</t>
        </is>
      </c>
      <c r="AF3105" s="7" t="inlineStr">
        <is>
          <t>VB034 SSN774 BLK V AND OUT W/ CWL TECH INSERT- PSA INSTALL</t>
        </is>
      </c>
      <c r="AG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13" t="inlineStr">
        <is>
          <t>OPN BA4 / BSA 5 / SSN Combat Control / P-3a SSN774 TI</t>
        </is>
      </c>
      <c r="AD3106" s="7" t="inlineStr">
        <is>
          <t>181</t>
        </is>
      </c>
      <c r="AE3106" s="7" t="inlineStr">
        <is>
          <t>5420</t>
        </is>
      </c>
      <c r="AF3106" s="7" t="inlineStr">
        <is>
          <t>VB034 SSN774 BLK V AND OUT W/ CWL TECH INSERT- PSA INSTALL</t>
        </is>
      </c>
      <c r="AG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13" t="inlineStr">
        <is>
          <t>OPN BA4 / BSA 5 / SSN Combat Control / P-3a SSN774 CWL TI</t>
        </is>
      </c>
      <c r="AD3107" s="7" t="inlineStr">
        <is>
          <t>183</t>
        </is>
      </c>
      <c r="AE3107" s="7" t="inlineStr">
        <is>
          <t>5420</t>
        </is>
      </c>
      <c r="AF3107" s="7" t="inlineStr">
        <is>
          <t>VB034 SSN774 BLK V AND OUT W/ CWL TECH INSERT- PSA INSTALL</t>
        </is>
      </c>
      <c r="AG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13" t="inlineStr">
        <is>
          <t>OPN BA4 / BSA 5 / SSN Combat Control / P-3a COLUMBIA TI</t>
        </is>
      </c>
      <c r="AD3108" s="7" t="inlineStr">
        <is>
          <t>185</t>
        </is>
      </c>
      <c r="AE3108" s="7" t="inlineStr">
        <is>
          <t>5420</t>
        </is>
      </c>
      <c r="AF3108" s="7" t="inlineStr">
        <is>
          <t>VB034 SSN774 BLK V AND OUT W/ CWL TECH INSERT- PSA INSTALL</t>
        </is>
      </c>
      <c r="AG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13" t="inlineStr">
        <is>
          <t>OPN BA4 / BSA 5 / SSN Combat Control / P-3a SSN774 PSA</t>
        </is>
      </c>
      <c r="AD3109" s="7" t="inlineStr">
        <is>
          <t>187</t>
        </is>
      </c>
      <c r="AE3109" s="7" t="inlineStr">
        <is>
          <t>5420</t>
        </is>
      </c>
      <c r="AF3109" s="7" t="inlineStr">
        <is>
          <t>VB034 SSN774 BLK V AND OUT W/ CWL TECH INSERT- PSA INSTALL</t>
        </is>
      </c>
      <c r="AG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13" t="inlineStr">
        <is>
          <t>OPN BA4 / BSA 5: ASW Support Equipment / ASW Support Equipment</t>
        </is>
      </c>
      <c r="AD3110" s="7" t="inlineStr">
        <is>
          <t>191</t>
        </is>
      </c>
      <c r="AE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13" t="inlineStr">
        <is>
          <t>OPN BA4 / BSA 5 / ASW Support / Surface ASW Support</t>
        </is>
      </c>
      <c r="AD3111" s="7" t="inlineStr">
        <is>
          <t>196</t>
        </is>
      </c>
      <c r="AE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13" t="inlineStr">
        <is>
          <t>OPN BA4 / BSA 5 / ASW Support / Surface / ASWCS ORDALTs</t>
        </is>
      </c>
      <c r="AD3112" s="7" t="inlineStr">
        <is>
          <t>197</t>
        </is>
      </c>
      <c r="AE3112" s="7" t="inlineStr">
        <is>
          <t>5429</t>
        </is>
      </c>
      <c r="AG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13" t="inlineStr">
        <is>
          <t>OPN BA4 / BSA 5 / ASW Support / Surface / Torpedo Tube ORDALTs</t>
        </is>
      </c>
      <c r="AD3113" s="7" t="inlineStr">
        <is>
          <t>197</t>
        </is>
      </c>
      <c r="AE3113" s="7" t="inlineStr">
        <is>
          <t>5429</t>
        </is>
      </c>
      <c r="AG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13" t="inlineStr">
        <is>
          <t>OPN BA4 / BSA 5 / ASW Support / Surface / Consulting</t>
        </is>
      </c>
      <c r="AD3114" s="7" t="inlineStr">
        <is>
          <t>198</t>
        </is>
      </c>
      <c r="AE3114" s="7" t="inlineStr">
        <is>
          <t>5429</t>
        </is>
      </c>
      <c r="AG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13" t="inlineStr">
        <is>
          <t>OPN BA4 / BSA 5 / ASW Support / Surface / Installation</t>
        </is>
      </c>
      <c r="AD3115" s="7" t="inlineStr">
        <is>
          <t>198</t>
        </is>
      </c>
      <c r="AE3115" s="7" t="inlineStr">
        <is>
          <t>5429</t>
        </is>
      </c>
      <c r="AF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13" t="inlineStr">
        <is>
          <t>OPN BA4 / BSA 5 / ASW Support / ASW Range Support</t>
        </is>
      </c>
      <c r="AD3116" s="7" t="inlineStr">
        <is>
          <t>199</t>
        </is>
      </c>
      <c r="AE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13" t="inlineStr">
        <is>
          <t>OPN BA4 / BSA 5 / ASW Support / Range / SSRNM FORACS</t>
        </is>
      </c>
      <c r="AD3117" s="7" t="inlineStr">
        <is>
          <t>199</t>
        </is>
      </c>
      <c r="AE3117" s="7" t="inlineStr">
        <is>
          <t>5429</t>
        </is>
      </c>
      <c r="AG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13" t="inlineStr">
        <is>
          <t>OPN BA4 / BSA 5 / ASW Support / Range / UTRE</t>
        </is>
      </c>
      <c r="AD3118" s="7" t="inlineStr">
        <is>
          <t>199</t>
        </is>
      </c>
      <c r="AE3118" s="7" t="inlineStr">
        <is>
          <t>5429</t>
        </is>
      </c>
      <c r="AG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13" t="inlineStr">
        <is>
          <t>OPN BA4 / BSA 5 / ASW Support / Range / Towed Targets</t>
        </is>
      </c>
      <c r="AD3119" s="7" t="inlineStr">
        <is>
          <t>199</t>
        </is>
      </c>
      <c r="AE3119" s="7" t="inlineStr">
        <is>
          <t>5429</t>
        </is>
      </c>
      <c r="AG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13" t="inlineStr">
        <is>
          <t>OPN BA4 / BSA 5 / ASW Support / Range / Instrumentation</t>
        </is>
      </c>
      <c r="AD3120" s="7" t="inlineStr">
        <is>
          <t>199</t>
        </is>
      </c>
      <c r="AE3120" s="7" t="inlineStr">
        <is>
          <t>5429</t>
        </is>
      </c>
      <c r="AG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13" t="inlineStr">
        <is>
          <t>OPN BA4 / BSA 5 / ASW Support / Range / HSMST</t>
        </is>
      </c>
      <c r="AD3121" s="7" t="inlineStr">
        <is>
          <t>199</t>
        </is>
      </c>
      <c r="AE3121" s="7" t="inlineStr">
        <is>
          <t>5429</t>
        </is>
      </c>
      <c r="AG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13" t="inlineStr">
        <is>
          <t>OPN BA4 / BSA 5 / ASW Support / Range / Prod Eng</t>
        </is>
      </c>
      <c r="AD3122" s="7" t="inlineStr">
        <is>
          <t>199</t>
        </is>
      </c>
      <c r="AE3122" s="7" t="inlineStr">
        <is>
          <t>5429</t>
        </is>
      </c>
      <c r="AF3122" s="7" t="inlineStr">
        <is>
          <t>VC831/2 - PRODUCTION ENGINEERING</t>
        </is>
      </c>
      <c r="AG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13" t="inlineStr">
        <is>
          <t>OPN BA4 / BSA 5 / ASW Support / Range / ILS</t>
        </is>
      </c>
      <c r="AD3123" s="7" t="inlineStr">
        <is>
          <t>199</t>
        </is>
      </c>
      <c r="AE3123" s="7" t="inlineStr">
        <is>
          <t>5429</t>
        </is>
      </c>
      <c r="AF3123" s="7" t="inlineStr">
        <is>
          <t>VC970 - INTEGRATED LOGISTICS SUPPORT</t>
        </is>
      </c>
      <c r="AG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13" t="inlineStr">
        <is>
          <t>OPN BA4 / BSA 5 / ASW Support / P-3a AN/UQN-10 Fathometer</t>
        </is>
      </c>
      <c r="AD3124" s="7" t="inlineStr">
        <is>
          <t>201</t>
        </is>
      </c>
      <c r="AE3124" s="7" t="inlineStr">
        <is>
          <t>5429</t>
        </is>
      </c>
      <c r="AF3124" s="7" t="inlineStr">
        <is>
          <t>VC010 - AN/UQN-10 SONAR SOUNDING SET FATHOMETER</t>
        </is>
      </c>
      <c r="AG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13" t="inlineStr">
        <is>
          <t>OPN BA4 / BSA 6: Other Ordnance Support Equipment / EOD Equipment</t>
        </is>
      </c>
      <c r="AD3125" s="7" t="inlineStr">
        <is>
          <t>205</t>
        </is>
      </c>
      <c r="AE3125" s="7" t="inlineStr">
        <is>
          <t>5509</t>
        </is>
      </c>
      <c r="AF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13" t="inlineStr">
        <is>
          <t>OPN BA4 / BSA 6 / EOD Equipment / Navy EOD Equipment</t>
        </is>
      </c>
      <c r="AD3126" s="7" t="inlineStr">
        <is>
          <t>209</t>
        </is>
      </c>
      <c r="AE3126" s="7" t="inlineStr">
        <is>
          <t>5509</t>
        </is>
      </c>
      <c r="AF3126" s="7" t="inlineStr">
        <is>
          <t>EOD - CREW Equipment</t>
        </is>
      </c>
      <c r="AG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13" t="inlineStr">
        <is>
          <t>OPN BA4 / BSA 6 / EOD Equipment / JCREW Tech Insertion</t>
        </is>
      </c>
      <c r="AD3127" s="7" t="inlineStr">
        <is>
          <t>210</t>
        </is>
      </c>
      <c r="AE3127" s="7" t="inlineStr">
        <is>
          <t>5509</t>
        </is>
      </c>
      <c r="AF3127" s="7" t="inlineStr">
        <is>
          <t>EOD - CREW Equipment</t>
        </is>
      </c>
      <c r="AG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13" t="inlineStr">
        <is>
          <t>OPN BA4 / BSA 6 / EOD Equipment / CUAS DRAKE</t>
        </is>
      </c>
      <c r="AD3128" s="7" t="inlineStr">
        <is>
          <t>212</t>
        </is>
      </c>
      <c r="AE3128" s="7" t="inlineStr">
        <is>
          <t>5509</t>
        </is>
      </c>
      <c r="AF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13" t="inlineStr">
        <is>
          <t>OPN BA4 / BSA 6 / EOD Equipment / DRAKE Undersea</t>
        </is>
      </c>
      <c r="AD3129" s="7" t="inlineStr">
        <is>
          <t>212</t>
        </is>
      </c>
      <c r="AE3129" s="7" t="inlineStr">
        <is>
          <t>5509</t>
        </is>
      </c>
      <c r="AF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13" t="inlineStr">
        <is>
          <t>OPN BA4 / BSA 6 / EOD Equipment / DRAKE Air Enterprise</t>
        </is>
      </c>
      <c r="AD3130" s="7" t="inlineStr">
        <is>
          <t>212</t>
        </is>
      </c>
      <c r="AE3130" s="7" t="inlineStr">
        <is>
          <t>5509</t>
        </is>
      </c>
      <c r="AF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13" t="inlineStr">
        <is>
          <t>OPN BA4 / BSA 6: Other Ordnance Support Equipment / Directed Energy Systems</t>
        </is>
      </c>
      <c r="AD3131" s="7" t="inlineStr">
        <is>
          <t>219</t>
        </is>
      </c>
      <c r="AE3131" s="7" t="inlineStr">
        <is>
          <t>5510</t>
        </is>
      </c>
      <c r="AF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13" t="inlineStr">
        <is>
          <t>OPN BA4 / BSA 6 / Directed Energy / ILS Prod Support</t>
        </is>
      </c>
      <c r="AD3132" s="7" t="inlineStr">
        <is>
          <t>220</t>
        </is>
      </c>
      <c r="AE3132" s="7" t="inlineStr">
        <is>
          <t>5510</t>
        </is>
      </c>
      <c r="AF3132" s="7" t="inlineStr">
        <is>
          <t>DE001 - DIRECTED ENERGY SYSTEMS</t>
        </is>
      </c>
      <c r="AG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13" t="inlineStr">
        <is>
          <t>OPN BA4 / BSA 6 / Directed Energy / ECPs</t>
        </is>
      </c>
      <c r="AD3133" s="7" t="inlineStr">
        <is>
          <t>220</t>
        </is>
      </c>
      <c r="AE3133" s="7" t="inlineStr">
        <is>
          <t>5510</t>
        </is>
      </c>
      <c r="AF3133" s="7" t="inlineStr">
        <is>
          <t>DE001 - DIRECTED ENERGY SYSTEMS</t>
        </is>
      </c>
      <c r="AG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13" t="inlineStr">
        <is>
          <t>OPN BA4 / BSA 6 / Directed Energy / Spares</t>
        </is>
      </c>
      <c r="AD3134" s="7" t="inlineStr">
        <is>
          <t>220</t>
        </is>
      </c>
      <c r="AE3134" s="7" t="inlineStr">
        <is>
          <t>5510</t>
        </is>
      </c>
      <c r="AF3134" s="7" t="inlineStr">
        <is>
          <t>DE001 - DIRECTED ENERGY SYSTEMS</t>
        </is>
      </c>
      <c r="AG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13" t="inlineStr">
        <is>
          <t>OPN BA4 / BSA 6 / Directed Energy / Tech Refresh</t>
        </is>
      </c>
      <c r="AD3135" s="7" t="inlineStr">
        <is>
          <t>220</t>
        </is>
      </c>
      <c r="AE3135" s="7" t="inlineStr">
        <is>
          <t>5510</t>
        </is>
      </c>
      <c r="AF3135" s="7" t="inlineStr">
        <is>
          <t>DE001 - DIRECTED ENERGY SYSTEMS</t>
        </is>
      </c>
      <c r="AG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13" t="inlineStr">
        <is>
          <t>OPN BA4 / BSA 6: Other Ordnance Support Equipment / Items Less Than $5 Million</t>
        </is>
      </c>
      <c r="AD3136" s="7" t="inlineStr">
        <is>
          <t>223</t>
        </is>
      </c>
      <c r="AE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13" t="inlineStr">
        <is>
          <t>OPN BA4 / BSA 6 / Items &lt;$5M / Fleet Mine Support</t>
        </is>
      </c>
      <c r="AD3137" s="7" t="inlineStr">
        <is>
          <t>224</t>
        </is>
      </c>
      <c r="AE3137" s="7" t="inlineStr">
        <is>
          <t>5543</t>
        </is>
      </c>
      <c r="AG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13" t="inlineStr">
        <is>
          <t>OPN BA4 / BSA 6 / Items &lt;$5M / NIROP ABL</t>
        </is>
      </c>
      <c r="AD3138" s="7" t="inlineStr">
        <is>
          <t>225</t>
        </is>
      </c>
      <c r="AE3138" s="7" t="inlineStr">
        <is>
          <t>5543</t>
        </is>
      </c>
      <c r="AG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13" t="inlineStr">
        <is>
          <t>OPN BA4 / BSA 7: Other Expendable Ordnance / Anti-ship Missile Decoy System</t>
        </is>
      </c>
      <c r="AD3139" s="7" t="inlineStr">
        <is>
          <t>227</t>
        </is>
      </c>
      <c r="AE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13" t="inlineStr">
        <is>
          <t>OPN BA4 / BSA 7 / Anti-ship Missile Decoy / ECPs</t>
        </is>
      </c>
      <c r="AD3140" s="7" t="inlineStr">
        <is>
          <t>229</t>
        </is>
      </c>
      <c r="AE3140" s="7" t="inlineStr">
        <is>
          <t>5530</t>
        </is>
      </c>
      <c r="AF3140" s="7" t="inlineStr">
        <is>
          <t>VV003 - ENG CHANGE PROPOSALS (ECPs)/ILS SUPPORT</t>
        </is>
      </c>
      <c r="AG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13" t="inlineStr">
        <is>
          <t>OPN BA4 / BSA 7 / Anti-ship Missile Decoy / Logistics</t>
        </is>
      </c>
      <c r="AD3141" s="7" t="inlineStr">
        <is>
          <t>229</t>
        </is>
      </c>
      <c r="AE3141" s="7" t="inlineStr">
        <is>
          <t>5530</t>
        </is>
      </c>
      <c r="AF3141" s="7" t="inlineStr">
        <is>
          <t>VV003 - ENG CHANGE PROPOSALS (ECPs)/ILS SUPPORT</t>
        </is>
      </c>
      <c r="AG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13" t="inlineStr">
        <is>
          <t>OPN BA4 / BSA 7 / Anti-ship Missile Decoy / Prod Eng</t>
        </is>
      </c>
      <c r="AD3142" s="7" t="inlineStr">
        <is>
          <t>230</t>
        </is>
      </c>
      <c r="AE3142" s="7" t="inlineStr">
        <is>
          <t>5530</t>
        </is>
      </c>
      <c r="AF3142" s="7" t="inlineStr">
        <is>
          <t>VV830 - PRODUCTION ENGINEERING</t>
        </is>
      </c>
      <c r="AG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13" t="inlineStr">
        <is>
          <t>OPN BA4 / BSA 7 / Anti-ship Missile Decoy / AOEW</t>
        </is>
      </c>
      <c r="AD3143" s="7" t="inlineStr">
        <is>
          <t>230</t>
        </is>
      </c>
      <c r="AE3143" s="7" t="inlineStr">
        <is>
          <t>5530</t>
        </is>
      </c>
      <c r="AF3143" s="7" t="inlineStr">
        <is>
          <t>VV500 - ADVANCED OFFBOARD/EW</t>
        </is>
      </c>
      <c r="AG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13" t="inlineStr">
        <is>
          <t>OPN BA4 / BSA 7 / Anti-ship Missile Decoy / Nulka Kits</t>
        </is>
      </c>
      <c r="AD3144" s="7" t="inlineStr">
        <is>
          <t>231</t>
        </is>
      </c>
      <c r="AE3144" s="7" t="inlineStr">
        <is>
          <t>5530</t>
        </is>
      </c>
      <c r="AF3144" s="7" t="inlineStr">
        <is>
          <t>VV200 - NULKA KIT ASSEMBLIES</t>
        </is>
      </c>
      <c r="AG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13" t="inlineStr">
        <is>
          <t>OPN BA4 / BSA 7 / Anti-ship Missile Decoy / RMA</t>
        </is>
      </c>
      <c r="AD3145" s="7" t="inlineStr">
        <is>
          <t>231</t>
        </is>
      </c>
      <c r="AE3145" s="7" t="inlineStr">
        <is>
          <t>5530</t>
        </is>
      </c>
      <c r="AF3145" s="7" t="inlineStr">
        <is>
          <t>VV201 - ROCKET MOTOR ASSEMBLY (RMA)</t>
        </is>
      </c>
      <c r="AG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13" t="inlineStr">
        <is>
          <t>OPN BA4 / BSA 7 / Anti-ship Missile Decoy / MK 59</t>
        </is>
      </c>
      <c r="AD3146" s="7" t="inlineStr">
        <is>
          <t>232</t>
        </is>
      </c>
      <c r="AE3146" s="7" t="inlineStr">
        <is>
          <t>5530</t>
        </is>
      </c>
      <c r="AF3146" s="7" t="inlineStr">
        <is>
          <t>VV600 - MK 59</t>
        </is>
      </c>
      <c r="AG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13" t="inlineStr">
        <is>
          <t>OPN BA4 / BSA 7 / Anti-ship Missile Decoy / MK 59 / Procurement</t>
        </is>
      </c>
      <c r="AD3147" s="7" t="inlineStr">
        <is>
          <t>232</t>
        </is>
      </c>
      <c r="AE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13" t="inlineStr">
        <is>
          <t>OPN BA4 / BSA 7 / Anti-ship Missile Decoy / MK 59 / Installation</t>
        </is>
      </c>
      <c r="AD3148" s="7" t="inlineStr">
        <is>
          <t>232</t>
        </is>
      </c>
      <c r="AE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13" t="inlineStr">
        <is>
          <t>OPN BA4 / BSA 7 / Anti-ship Missile Decoy / LEED</t>
        </is>
      </c>
      <c r="AD3149" s="7" t="inlineStr">
        <is>
          <t>233</t>
        </is>
      </c>
      <c r="AE3149" s="7" t="inlineStr">
        <is>
          <t>5530</t>
        </is>
      </c>
      <c r="AF3149" s="7" t="inlineStr">
        <is>
          <t>VV700 - Long Endurance Electronic Decoy (LEED)</t>
        </is>
      </c>
      <c r="AG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13" t="inlineStr">
        <is>
          <t>OPN BA4 / BSA 7 / Anti-ship Missile Decoy / LEED / Prod Support</t>
        </is>
      </c>
      <c r="AD3150" s="7" t="inlineStr">
        <is>
          <t>233</t>
        </is>
      </c>
      <c r="AE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13" t="inlineStr">
        <is>
          <t>OPN BA4 / BSA 7 / Anti-ship Missile Decoy / LEED / Installation</t>
        </is>
      </c>
      <c r="AD3151" s="7" t="inlineStr">
        <is>
          <t>233</t>
        </is>
      </c>
      <c r="AE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13" t="inlineStr">
        <is>
          <t>OPN BA4 / BSA 7 / Anti-ship Missile Decoy / LEED / Engineering</t>
        </is>
      </c>
      <c r="AD3152" s="7" t="inlineStr">
        <is>
          <t>233</t>
        </is>
      </c>
      <c r="AE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13" t="inlineStr">
        <is>
          <t>OPN BA4 / BSA 7: Other Expendable Ordnance / Submarine Training Device Mods</t>
        </is>
      </c>
      <c r="AD3153" s="7" t="inlineStr">
        <is>
          <t>235</t>
        </is>
      </c>
      <c r="AE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13" t="inlineStr">
        <is>
          <t>OPN BA4 / BSA 7 / Sub Training Device Mods / P-40a</t>
        </is>
      </c>
      <c r="AD3154" s="7" t="inlineStr">
        <is>
          <t>238</t>
        </is>
      </c>
      <c r="AE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13" t="inlineStr">
        <is>
          <t>OPN BA4 / BSA 7 / Sub Training / HM&amp;E Trainers</t>
        </is>
      </c>
      <c r="AD3155" s="7" t="inlineStr">
        <is>
          <t>239</t>
        </is>
      </c>
      <c r="AE3155" s="7" t="inlineStr">
        <is>
          <t>5661</t>
        </is>
      </c>
      <c r="AF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13" t="inlineStr">
        <is>
          <t>OPN BA4 / BSA 7 / Sub Training / HM&amp;E / High Risk</t>
        </is>
      </c>
      <c r="AD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13" t="inlineStr">
        <is>
          <t>OPN BA4 / BSA 7 / Sub Training / HM&amp;E / Sub Training Dev</t>
        </is>
      </c>
      <c r="AD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13" t="inlineStr">
        <is>
          <t>OPN BA4 / BSA 7 / Sub Training / HM&amp;E / Ship Control</t>
        </is>
      </c>
      <c r="AD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13" t="inlineStr">
        <is>
          <t>OPN BA4 / BSA 7 / Sub Training / Engineering Trainers</t>
        </is>
      </c>
      <c r="AD3159" s="7" t="inlineStr">
        <is>
          <t>240</t>
        </is>
      </c>
      <c r="AE3159" s="7" t="inlineStr">
        <is>
          <t>5661</t>
        </is>
      </c>
      <c r="AF3159" s="7" t="inlineStr">
        <is>
          <t>TD200 ENGINEERING TRAINERS</t>
        </is>
      </c>
      <c r="AG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13" t="inlineStr">
        <is>
          <t>OPN BA4 / BSA 7 / Sub Training / Eng Trainers / FIDE</t>
        </is>
      </c>
      <c r="AD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13" t="inlineStr">
        <is>
          <t>OPN BA4 / BSA 7 / Sub Training / Eng Trainers / VFTD</t>
        </is>
      </c>
      <c r="AD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13" t="inlineStr">
        <is>
          <t>OPN BA4 / BSA 7 / Sub Training / Eng Trainers / Curricula</t>
        </is>
      </c>
      <c r="AD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13" t="inlineStr">
        <is>
          <t>OPN BA4 / BSA 7 / Sub Training / Navigation Trainers</t>
        </is>
      </c>
      <c r="AD3163" s="7" t="inlineStr">
        <is>
          <t>241</t>
        </is>
      </c>
      <c r="AE3163" s="7" t="inlineStr">
        <is>
          <t>5661</t>
        </is>
      </c>
      <c r="AF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13" t="inlineStr">
        <is>
          <t>OPN BA4 / BSA 7 / Sub Training / Nav Trainers / NSST</t>
        </is>
      </c>
      <c r="AD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13" t="inlineStr">
        <is>
          <t>OPN BA4 / BSA 7 / Sub Training / Nav Trainers / SSBN SST</t>
        </is>
      </c>
      <c r="AD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13" t="inlineStr">
        <is>
          <t>OPN BA4 / BSA 7 / Sub Training / Nav Trainers / Columbia SST</t>
        </is>
      </c>
      <c r="AD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13" t="inlineStr">
        <is>
          <t>OPN BA4 / BSA 7 / Sub Training / Nav Trainers / Eng Support</t>
        </is>
      </c>
      <c r="AD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13" t="inlineStr">
        <is>
          <t>OPN BA4 / BSA 7 / Sub Training / Combat Control Acoustic</t>
        </is>
      </c>
      <c r="AD3168" s="7" t="inlineStr">
        <is>
          <t>242</t>
        </is>
      </c>
      <c r="AE3168" s="7" t="inlineStr">
        <is>
          <t>5661</t>
        </is>
      </c>
      <c r="AF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13" t="inlineStr">
        <is>
          <t>OPN BA4 / BSA 7 / Sub Training / Acoustic / FRTT</t>
        </is>
      </c>
      <c r="AD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13" t="inlineStr">
        <is>
          <t>OPN BA4 / BSA 7 / Sub Training / Acoustic / Eng Tech Support</t>
        </is>
      </c>
      <c r="AD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13" t="inlineStr">
        <is>
          <t>OPN BA4 / BSA 7 / Sub Training / Attack Center Trainers</t>
        </is>
      </c>
      <c r="AD3171" s="7" t="inlineStr">
        <is>
          <t>243</t>
        </is>
      </c>
      <c r="AE3171" s="7" t="inlineStr">
        <is>
          <t>5661</t>
        </is>
      </c>
      <c r="AF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13" t="inlineStr">
        <is>
          <t>OPN BA4 / BSA 7 / Sub Training / Attack Center / SAC</t>
        </is>
      </c>
      <c r="AD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13" t="inlineStr">
        <is>
          <t>OPN BA4 / BSA 7 / Sub Training / Attack Center / EPM</t>
        </is>
      </c>
      <c r="AD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13" t="inlineStr">
        <is>
          <t>OPN BA4 / BSA 7 / Sub Training / Attack Center / SMMTT</t>
        </is>
      </c>
      <c r="AD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13" t="inlineStr">
        <is>
          <t>OPN BA4 / BSA 7 / Sub Training / P-3a Attack Center Mods</t>
        </is>
      </c>
      <c r="AD3175" s="7" t="inlineStr">
        <is>
          <t>245</t>
        </is>
      </c>
      <c r="AE3175" s="7" t="inlineStr">
        <is>
          <t>5661</t>
        </is>
      </c>
      <c r="AG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13" t="inlineStr">
        <is>
          <t>OPN BA4 / BSA 7 / Sub Training / P-3a Attack Center / Procurement</t>
        </is>
      </c>
      <c r="AD3176" s="7" t="inlineStr">
        <is>
          <t>245</t>
        </is>
      </c>
      <c r="AG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13" t="inlineStr">
        <is>
          <t>OPN BA4 / BSA 7 / Sub Training / P-3a Attack Center / Installation</t>
        </is>
      </c>
      <c r="AD3177" s="7" t="inlineStr">
        <is>
          <t>245</t>
        </is>
      </c>
      <c r="AG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13" t="inlineStr">
        <is>
          <t>OPN BA4 / BSA 7: Other Expendable Ordnance / Surface Training Equipment</t>
        </is>
      </c>
      <c r="AD3178" s="7" t="inlineStr">
        <is>
          <t>247</t>
        </is>
      </c>
      <c r="AE3178" s="7" t="inlineStr">
        <is>
          <t>5664</t>
        </is>
      </c>
      <c r="AF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13" t="inlineStr">
        <is>
          <t>OPN BA4 / BSA 7 / Surface Training / STAVE</t>
        </is>
      </c>
      <c r="AD3179" s="7" t="inlineStr">
        <is>
          <t>252</t>
        </is>
      </c>
      <c r="AE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13" t="inlineStr">
        <is>
          <t>OPN BA4 / BSA 7 / Surface Training / STAVE / VR Labs</t>
        </is>
      </c>
      <c r="AD3180" s="7" t="inlineStr">
        <is>
          <t>252</t>
        </is>
      </c>
      <c r="AE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13" t="inlineStr">
        <is>
          <t>OPN BA4 / BSA 7 / Surface Training / STAVE / Mission Bay</t>
        </is>
      </c>
      <c r="AD3181" s="7" t="inlineStr">
        <is>
          <t>252</t>
        </is>
      </c>
      <c r="AE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13" t="inlineStr">
        <is>
          <t>OPN BA4 / BSA 7 / Surface Training / STAVE / ITT</t>
        </is>
      </c>
      <c r="AD3182" s="7" t="inlineStr">
        <is>
          <t>252</t>
        </is>
      </c>
      <c r="AE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13" t="inlineStr">
        <is>
          <t>OPN BA4 / BSA 7 / Surface Training / STAVE / BPTT</t>
        </is>
      </c>
      <c r="AD3183" s="7" t="inlineStr">
        <is>
          <t>252</t>
        </is>
      </c>
      <c r="AE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13" t="inlineStr">
        <is>
          <t>OPN BA4 / BSA 7 / Surface Training / STAVE / CS VOT</t>
        </is>
      </c>
      <c r="AD3184" s="7" t="inlineStr">
        <is>
          <t>252</t>
        </is>
      </c>
      <c r="AE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13" t="inlineStr">
        <is>
          <t>OPN BA4 / BSA 7 / Surface Training / STAVE / Courseware</t>
        </is>
      </c>
      <c r="AD3185" s="7" t="inlineStr">
        <is>
          <t>252</t>
        </is>
      </c>
      <c r="AE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13" t="inlineStr">
        <is>
          <t>OPN BA4 / BSA 7 / Surface Training / TSTC</t>
        </is>
      </c>
      <c r="AD3186" s="7" t="inlineStr">
        <is>
          <t>253</t>
        </is>
      </c>
      <c r="AE3186" s="7" t="inlineStr">
        <is>
          <t>5664</t>
        </is>
      </c>
      <c r="AF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13" t="inlineStr">
        <is>
          <t>OPN BA4 / BSA 7 / Surface Training / TSTC / CIAT</t>
        </is>
      </c>
      <c r="AD3187" s="7" t="inlineStr">
        <is>
          <t>253</t>
        </is>
      </c>
      <c r="AE3187" s="7" t="inlineStr">
        <is>
          <t>5664</t>
        </is>
      </c>
      <c r="AF3187" s="7" t="inlineStr">
        <is>
          <t>MB040 BFTT/ATD/TSTC Upgrade Kits</t>
        </is>
      </c>
      <c r="AG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13" t="inlineStr">
        <is>
          <t>OPN BA4 / BSA 7 / Surface Training / TSTC / STAVE</t>
        </is>
      </c>
      <c r="AD3188" s="7" t="inlineStr">
        <is>
          <t>253</t>
        </is>
      </c>
      <c r="AE3188" s="7" t="inlineStr">
        <is>
          <t>5664</t>
        </is>
      </c>
      <c r="AF3188" s="7" t="inlineStr">
        <is>
          <t>MB040 BFTT/ATD/TSTC Upgrade Kits</t>
        </is>
      </c>
      <c r="AG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13" t="inlineStr">
        <is>
          <t>OPN BA4 / BSA 7 / Surface Training / TSTC / LVC</t>
        </is>
      </c>
      <c r="AD3189" s="7" t="inlineStr">
        <is>
          <t>253</t>
        </is>
      </c>
      <c r="AE3189" s="7" t="inlineStr">
        <is>
          <t>5664</t>
        </is>
      </c>
      <c r="AF3189" s="7" t="inlineStr">
        <is>
          <t>MB040 BFTT/ATD/TSTC Upgrade Kits</t>
        </is>
      </c>
      <c r="AG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13" t="inlineStr">
        <is>
          <t>OPN BA4 / BSA 7 / Surface Training / CVN 78 Training</t>
        </is>
      </c>
      <c r="AD3190" s="7" t="inlineStr">
        <is>
          <t>254</t>
        </is>
      </c>
      <c r="AE3190" s="7" t="inlineStr">
        <is>
          <t>5664</t>
        </is>
      </c>
      <c r="AF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13" t="inlineStr">
        <is>
          <t>OPN BA4 / BSA 7 / Surface Training / LCAC Training</t>
        </is>
      </c>
      <c r="AD3191" s="7" t="inlineStr">
        <is>
          <t>254</t>
        </is>
      </c>
      <c r="AE3191" s="7" t="inlineStr">
        <is>
          <t>5664</t>
        </is>
      </c>
      <c r="AF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13" t="inlineStr">
        <is>
          <t>OPN BA4 / BSA 7 / Surface Training / RRL Infrastructure</t>
        </is>
      </c>
      <c r="AD3192" s="7" t="inlineStr">
        <is>
          <t>255</t>
        </is>
      </c>
      <c r="AE3192" s="7" t="inlineStr">
        <is>
          <t>5664</t>
        </is>
      </c>
      <c r="AF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13" t="inlineStr">
        <is>
          <t>OPN BA4 / BSA 7 / Surface Training / P-5 TS004</t>
        </is>
      </c>
      <c r="AD3193" s="7" t="inlineStr">
        <is>
          <t>256</t>
        </is>
      </c>
      <c r="AE3193" s="7" t="inlineStr">
        <is>
          <t>5664</t>
        </is>
      </c>
      <c r="AF3193" s="7" t="inlineStr">
        <is>
          <t>TS004 Surface Training Device Mods [TS004]</t>
        </is>
      </c>
      <c r="AG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13" t="inlineStr">
        <is>
          <t>OPN BA4 / BSA 7 / Surface Training / TS004 / Nav Trainers</t>
        </is>
      </c>
      <c r="AD3194" s="7" t="inlineStr">
        <is>
          <t>257</t>
        </is>
      </c>
      <c r="AE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13" t="inlineStr">
        <is>
          <t>OPN BA4 / BSA 7 / Surface Training / TS004 / AEGIS Ashore</t>
        </is>
      </c>
      <c r="AD3195" s="7" t="inlineStr">
        <is>
          <t>257</t>
        </is>
      </c>
      <c r="AE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13" t="inlineStr">
        <is>
          <t>OPN BA4 / BSA 7 / Surface Training / TS004 / CIAT</t>
        </is>
      </c>
      <c r="AD3196" s="7" t="inlineStr">
        <is>
          <t>257</t>
        </is>
      </c>
      <c r="AE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13" t="inlineStr">
        <is>
          <t>OPN BA4 / BSA 7 / Surface Training / TS004 / NTSP</t>
        </is>
      </c>
      <c r="AD3197" s="7" t="inlineStr">
        <is>
          <t>257</t>
        </is>
      </c>
      <c r="AE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13" t="inlineStr">
        <is>
          <t>OPN BA4 / BSA 7 / Surface Training / TS004 / STAVE SIM</t>
        </is>
      </c>
      <c r="AD3198" s="7" t="inlineStr">
        <is>
          <t>257</t>
        </is>
      </c>
      <c r="AE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13" t="inlineStr">
        <is>
          <t>OPN BA4 / BSA 7 / Surface Training / TS004 / Minor Mods</t>
        </is>
      </c>
      <c r="AD3199" s="7" t="inlineStr">
        <is>
          <t>258</t>
        </is>
      </c>
      <c r="AE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13" t="inlineStr">
        <is>
          <t>OPN BA4 / BSA 7 / Surface Training / TS004 / FFT SLEP</t>
        </is>
      </c>
      <c r="AD3200" s="7" t="inlineStr">
        <is>
          <t>258</t>
        </is>
      </c>
      <c r="AE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13" t="inlineStr">
        <is>
          <t>OPN BA4 / BSA 7 / Surface Training / TS004 / FCA</t>
        </is>
      </c>
      <c r="AD3201" s="7" t="inlineStr">
        <is>
          <t>258</t>
        </is>
      </c>
      <c r="AE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13" t="inlineStr">
        <is>
          <t>OPN BA4 / BSA 7 / Surface Training / P-3a BFTT Ship Sets</t>
        </is>
      </c>
      <c r="AD3202" s="7" t="inlineStr">
        <is>
          <t>260</t>
        </is>
      </c>
      <c r="AE3202" s="7" t="inlineStr">
        <is>
          <t>5664</t>
        </is>
      </c>
      <c r="AF3202" s="7" t="inlineStr">
        <is>
          <t>MB040 BFTT/ATD/TSTC Upgrade Kits</t>
        </is>
      </c>
      <c r="AG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13" t="inlineStr">
        <is>
          <t>OPN BA4 / BSA 7 / Surface Training / P-3a BFTT / Procurement</t>
        </is>
      </c>
      <c r="AD3203" s="7" t="inlineStr">
        <is>
          <t>261</t>
        </is>
      </c>
      <c r="AE3203" s="7" t="inlineStr">
        <is>
          <t>5664</t>
        </is>
      </c>
      <c r="AG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13" t="inlineStr">
        <is>
          <t>OPN BA4 / BSA 7 / Surface Training / P-3a BFTT / Installation</t>
        </is>
      </c>
      <c r="AD3204" s="7" t="inlineStr">
        <is>
          <t>261</t>
        </is>
      </c>
      <c r="AE3204" s="7" t="inlineStr">
        <is>
          <t>5664</t>
        </is>
      </c>
      <c r="AG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13" t="inlineStr">
        <is>
          <t>OPN BA4 / BSA 7 / Surface Training / P-3a BFTT Upgrade Kits</t>
        </is>
      </c>
      <c r="AD3205" s="7" t="inlineStr">
        <is>
          <t>263</t>
        </is>
      </c>
      <c r="AE3205" s="7" t="inlineStr">
        <is>
          <t>5664</t>
        </is>
      </c>
      <c r="AF3205" s="7" t="inlineStr">
        <is>
          <t>MB040 BFTT/ATD/TSTC Upgrade Kits</t>
        </is>
      </c>
      <c r="AG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13" t="inlineStr">
        <is>
          <t>OPN BA4 / BSA 7 / Surface Training / P-3a Upgrade / Procurement</t>
        </is>
      </c>
      <c r="AD3206" s="7" t="inlineStr">
        <is>
          <t>264</t>
        </is>
      </c>
      <c r="AE3206" s="7" t="inlineStr">
        <is>
          <t>5664</t>
        </is>
      </c>
      <c r="AG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13" t="inlineStr">
        <is>
          <t>OPN BA4 / BSA 7 / Surface Training / P-3a Upgrade / Installation</t>
        </is>
      </c>
      <c r="AD3207" s="7" t="inlineStr">
        <is>
          <t>264</t>
        </is>
      </c>
      <c r="AE3207" s="7" t="inlineStr">
        <is>
          <t>5664</t>
        </is>
      </c>
      <c r="AG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13" t="inlineStr">
        <is>
          <t>Exhibit P-1 / BA03 Aviation Support Equipment</t>
        </is>
      </c>
      <c r="AD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13" t="inlineStr">
        <is>
          <t>Exhibit P-1 / BA03 Aviation Support Equipment / Aircraft Support Equipment</t>
        </is>
      </c>
      <c r="AD3209" s="7" t="inlineStr">
        <is>
          <t>25</t>
        </is>
      </c>
      <c r="AE3209" s="7" t="inlineStr">
        <is>
          <t>4217</t>
        </is>
      </c>
      <c r="AF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13" t="inlineStr">
        <is>
          <t>Exhibit P-1 / BA03 Aviation Support Equipment / Aircraft Support Equipment</t>
        </is>
      </c>
      <c r="AD3210" s="7" t="inlineStr">
        <is>
          <t>26</t>
        </is>
      </c>
      <c r="AE3210" s="7" t="inlineStr">
        <is>
          <t>4219</t>
        </is>
      </c>
      <c r="AF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13" t="inlineStr">
        <is>
          <t>Exhibit P-1 / BA03 Aviation Support Equipment / Aircraft Support Equipment</t>
        </is>
      </c>
      <c r="AD3211" s="7" t="inlineStr">
        <is>
          <t>26</t>
        </is>
      </c>
      <c r="AE3211" s="7" t="inlineStr">
        <is>
          <t>4269</t>
        </is>
      </c>
      <c r="AF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13" t="inlineStr">
        <is>
          <t>Exhibit P-1 / BA05 Civil Engineering Support Equipment</t>
        </is>
      </c>
      <c r="AD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13" t="inlineStr">
        <is>
          <t>Exhibit P-40 / BA05 Civil Engineering Support Equipment / Civil Engineering Support Equipment / Line 146</t>
        </is>
      </c>
      <c r="AD3213" s="7" t="inlineStr">
        <is>
          <t>121</t>
        </is>
      </c>
      <c r="AE3213" s="7" t="inlineStr">
        <is>
          <t>6033</t>
        </is>
      </c>
      <c r="AF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13" t="inlineStr">
        <is>
          <t>Exhibit P-1 / BA06 Supply Support Equipment</t>
        </is>
      </c>
      <c r="AD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13" t="inlineStr">
        <is>
          <t>Exhibit P-40 / BA06 Supply Support Equipment / Supply Support Equipment / Line 151</t>
        </is>
      </c>
      <c r="AD3215" s="7" t="inlineStr">
        <is>
          <t>175</t>
        </is>
      </c>
      <c r="AE3215" s="7" t="inlineStr">
        <is>
          <t>7025</t>
        </is>
      </c>
      <c r="AF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13" t="inlineStr">
        <is>
          <t>Exhibit P-40 / BA06 Supply Support Equipment / Supply Support Equipment / Line 151 / Shipboard Program</t>
        </is>
      </c>
      <c r="AD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13" t="inlineStr">
        <is>
          <t>Exhibit P-40 / BA06 Supply Support Equipment / Supply Support Equipment / Line 153</t>
        </is>
      </c>
      <c r="AD3217" s="7" t="inlineStr">
        <is>
          <t>187</t>
        </is>
      </c>
      <c r="AE3217" s="7" t="inlineStr">
        <is>
          <t>7069</t>
        </is>
      </c>
      <c r="AF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13" t="inlineStr">
        <is>
          <t>Exhibit P-1 / BA07 Personnel &amp; Command Support Equipment</t>
        </is>
      </c>
      <c r="AD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13" t="inlineStr">
        <is>
          <t>Exhibit P-40 / BA07 Personnel &amp; Command Support Equipment / Command Support Equipment / Line 158</t>
        </is>
      </c>
      <c r="AD3219" s="7" t="inlineStr">
        <is>
          <t>249</t>
        </is>
      </c>
      <c r="AE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13" t="inlineStr">
        <is>
          <t>Exhibit P-1 / BA08 Spares and Repair Parts</t>
        </is>
      </c>
      <c r="AD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13" t="inlineStr">
        <is>
          <t>Exhibit P-40 / BA08 Spares and Repair Parts / Spares and Repair Parts / Line 176 (BLIN 9020)</t>
        </is>
      </c>
      <c r="AD3221" s="7" t="inlineStr">
        <is>
          <t>351</t>
        </is>
      </c>
      <c r="AE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13" t="inlineStr">
        <is>
          <t>Exhibit P-40 / BA08 Spares and Repair Parts / Spares and Repair Parts / Line 177 (BLIN 9021)</t>
        </is>
      </c>
      <c r="AD3222" s="7" t="inlineStr">
        <is>
          <t>361</t>
        </is>
      </c>
      <c r="AE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13" t="inlineStr">
        <is>
          <t>Exhibit P-40 / BA08 Spares and Repair Parts / Line 176 / P-18 Initial Spares / BLIN 0920</t>
        </is>
      </c>
      <c r="AD3223" s="7" t="inlineStr">
        <is>
          <t>357</t>
        </is>
      </c>
      <c r="AE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13" t="inlineStr">
        <is>
          <t>Exhibit P-40 / BA08 Spares and Repair Parts / Line 176 / P-18 Initial Spares / BLIN 0840</t>
        </is>
      </c>
      <c r="AD3224" s="7" t="inlineStr">
        <is>
          <t>357</t>
        </is>
      </c>
      <c r="AE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13" t="inlineStr">
        <is>
          <t>Exhibit P-40 / BA08 Spares and Repair Parts / Line 176 / P-18 Initial Spares / BLIN 0900</t>
        </is>
      </c>
      <c r="AD3225" s="7" t="inlineStr">
        <is>
          <t>357</t>
        </is>
      </c>
      <c r="AE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13" t="inlineStr">
        <is>
          <t>Exhibit P-40 / BA08 Spares and Repair Parts / Line 176 / P-18 Initial Spares / BLIN 0930</t>
        </is>
      </c>
      <c r="AD3226" s="7" t="inlineStr">
        <is>
          <t>357</t>
        </is>
      </c>
      <c r="AE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13" t="inlineStr">
        <is>
          <t>Exhibit P-40 / BA08 Spares and Repair Parts / Line 176 / P-18 Initial Spares / BLIN 5231</t>
        </is>
      </c>
      <c r="AD3227" s="7" t="inlineStr">
        <is>
          <t>359</t>
        </is>
      </c>
      <c r="AE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13" t="inlineStr">
        <is>
          <t>Exhibit P-40 / BA08 Spares and Repair Parts / Line 176 / P-18 Initial Spares / BLIN 2150</t>
        </is>
      </c>
      <c r="AD3228" s="7" t="inlineStr">
        <is>
          <t>357</t>
        </is>
      </c>
      <c r="AE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13" t="inlineStr">
        <is>
          <t>Exhibit P-40 / BA08 Spares and Repair Parts / Line 176 / P-18 Initial Spares / BLIN 2312</t>
        </is>
      </c>
      <c r="AD3229" s="7" t="inlineStr">
        <is>
          <t>357</t>
        </is>
      </c>
      <c r="AE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13" t="inlineStr">
        <is>
          <t>Exhibit P-40 / BA08 Spares and Repair Parts / Line 176 / P-18 Initial Spares / BLIN 1601</t>
        </is>
      </c>
      <c r="AD3230" s="7" t="inlineStr">
        <is>
          <t>357</t>
        </is>
      </c>
      <c r="AE3230" s="7" t="inlineStr">
        <is>
          <t>1601</t>
        </is>
      </c>
      <c r="AF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13" t="inlineStr">
        <is>
          <t>Exhibit P-40 / BA08 Spares and Repair Parts / Line 176 / P-18 Initial Spares / BLIN 2606</t>
        </is>
      </c>
      <c r="AD3231" s="7" t="inlineStr">
        <is>
          <t>358</t>
        </is>
      </c>
      <c r="AE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13" t="inlineStr">
        <is>
          <t>Exhibit P-40 / BA08 Spares and Repair Parts / Line 176 / P-18 Initial Spares / BLIN 0670</t>
        </is>
      </c>
      <c r="AD3232" s="7" t="inlineStr">
        <is>
          <t>357</t>
        </is>
      </c>
      <c r="AE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13" t="inlineStr">
        <is>
          <t>Exhibit P-40 / BA08 Spares and Repair Parts / Line 176 / P-18 Initial Spares / BLIN 1604</t>
        </is>
      </c>
      <c r="AD3233" s="7" t="inlineStr">
        <is>
          <t>357</t>
        </is>
      </c>
      <c r="AE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13" t="inlineStr">
        <is>
          <t>Exhibit P-40 / BA08 Spares and Repair Parts / Line 176 / P-18 Initial Spares / BLIN 2826</t>
        </is>
      </c>
      <c r="AD3234" s="7" t="inlineStr">
        <is>
          <t>358</t>
        </is>
      </c>
      <c r="AE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13" t="inlineStr">
        <is>
          <t>Exhibit P-40 / BA08 Spares and Repair Parts / Line 176 / P-18 Initial Spares / BLIN 1611</t>
        </is>
      </c>
      <c r="AD3235" s="7" t="inlineStr">
        <is>
          <t>357</t>
        </is>
      </c>
      <c r="AE3235" s="7" t="inlineStr">
        <is>
          <t>1611</t>
        </is>
      </c>
      <c r="AF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13" t="inlineStr">
        <is>
          <t>Exhibit P-40 / BA08 Spares and Repair Parts / Line 176 / P-18 Initial Spares / BLIN 2136</t>
        </is>
      </c>
      <c r="AD3236" s="7" t="inlineStr">
        <is>
          <t>357</t>
        </is>
      </c>
      <c r="AE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13" t="inlineStr">
        <is>
          <t>Exhibit P-40 / BA08 Spares and Repair Parts / Line 176 / P-18 Initial Spares / BLIN 2210</t>
        </is>
      </c>
      <c r="AD3237" s="7" t="inlineStr">
        <is>
          <t>357</t>
        </is>
      </c>
      <c r="AE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13" t="inlineStr">
        <is>
          <t>Exhibit P-40 / BA08 Spares and Repair Parts / Line 176 / P-18 Initial Spares / BLIN 0933</t>
        </is>
      </c>
      <c r="AD3238" s="7" t="inlineStr">
        <is>
          <t>357</t>
        </is>
      </c>
      <c r="AE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13" t="inlineStr">
        <is>
          <t>Exhibit P-40 / BA08 Spares and Repair Parts / Line 176 / P-18 Initial Spares / BLIN 1210</t>
        </is>
      </c>
      <c r="AD3239" s="7" t="inlineStr">
        <is>
          <t>357</t>
        </is>
      </c>
      <c r="AE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13" t="inlineStr">
        <is>
          <t>Exhibit P-40 / BA08 Spares and Repair Parts / Line 176 / P-18 Initial Spares / BLIN 2176</t>
        </is>
      </c>
      <c r="AD3240" s="7" t="inlineStr">
        <is>
          <t>357</t>
        </is>
      </c>
      <c r="AE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13" t="inlineStr">
        <is>
          <t>Exhibit P-40 / BA08 Spares and Repair Parts / Line 176 / P-18 Initial Spares / BLIN 2237</t>
        </is>
      </c>
      <c r="AD3241" s="7" t="inlineStr">
        <is>
          <t>357</t>
        </is>
      </c>
      <c r="AE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13" t="inlineStr">
        <is>
          <t>Exhibit P-40 / BA08 Spares and Repair Parts / Line 176 / P-18 Initial Spares / BLIN 0200</t>
        </is>
      </c>
      <c r="AD3242" s="7" t="inlineStr">
        <is>
          <t>357</t>
        </is>
      </c>
      <c r="AE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13" t="inlineStr">
        <is>
          <t>Exhibit P-40 / BA08 Spares and Repair Parts / Line 176 / P-18 Initial Spares / BLIN 3050</t>
        </is>
      </c>
      <c r="AD3243" s="7" t="inlineStr">
        <is>
          <t>358</t>
        </is>
      </c>
      <c r="AE3243" s="7" t="inlineStr">
        <is>
          <t>3050</t>
        </is>
      </c>
      <c r="AF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13" t="inlineStr">
        <is>
          <t>Exhibit P-40 / BA08 Spares and Repair Parts / Line 176 / P-18 Initial Spares / BLIN 0977</t>
        </is>
      </c>
      <c r="AD3244" s="7" t="inlineStr">
        <is>
          <t>357</t>
        </is>
      </c>
      <c r="AE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13" t="inlineStr">
        <is>
          <t>Exhibit P-40 / BA08 Spares and Repair Parts / Line 176 / P-18 Initial Spares / BLIN 0942</t>
        </is>
      </c>
      <c r="AD3245" s="7" t="inlineStr">
        <is>
          <t>357</t>
        </is>
      </c>
      <c r="AE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13" t="inlineStr">
        <is>
          <t>Exhibit P-40 / BA08 Spares and Repair Parts / Line 176 / P-18 Initial Spares / BLIN 1603</t>
        </is>
      </c>
      <c r="AD3246" s="7" t="inlineStr">
        <is>
          <t>357</t>
        </is>
      </c>
      <c r="AE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13" t="inlineStr">
        <is>
          <t>Exhibit P-40 / BA08 Spares and Repair Parts / Line 176 / P-18 Replenishment Spares / BLIN 0840</t>
        </is>
      </c>
      <c r="AD3247" s="7" t="inlineStr">
        <is>
          <t>357</t>
        </is>
      </c>
      <c r="AE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 / SSGN</t>
        </is>
      </c>
      <c r="O3248" s="15" t="n"/>
      <c r="P3248" s="16" t="n">
        <v>9882</v>
      </c>
      <c r="Q3248" s="16" t="n">
        <v>10157</v>
      </c>
      <c r="S3248" s="16" t="n">
        <v>9296</v>
      </c>
      <c r="T3248" s="16" t="n">
        <v>0</v>
      </c>
      <c r="U3248" s="16" t="n">
        <v>9296</v>
      </c>
      <c r="AC3248" s="13" t="inlineStr">
        <is>
          <t>Exhibit P-40 / BA08 Spares and Repair Parts / Line 176 / P-18 Replenishment Spares / BLIN 0950</t>
        </is>
      </c>
      <c r="AD3248" s="7" t="inlineStr">
        <is>
          <t>357</t>
        </is>
      </c>
      <c r="AE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13" t="inlineStr">
        <is>
          <t>Exhibit P-40 / BA08 Spares and Repair Parts / Line 176 / P-18 Replenishment Spares / BLIN 5111</t>
        </is>
      </c>
      <c r="AD3249" s="7" t="inlineStr">
        <is>
          <t>359</t>
        </is>
      </c>
      <c r="AE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 / SSGN</t>
        </is>
      </c>
      <c r="O3250" s="15" t="n"/>
      <c r="P3250" s="16" t="n">
        <v>3954</v>
      </c>
      <c r="Q3250" s="16" t="n">
        <v>3951</v>
      </c>
      <c r="S3250" s="16" t="n">
        <v>5308</v>
      </c>
      <c r="T3250" s="16" t="n">
        <v>0</v>
      </c>
      <c r="U3250" s="16" t="n">
        <v>5308</v>
      </c>
      <c r="AC3250" s="13" t="inlineStr">
        <is>
          <t>Exhibit P-40 / BA08 Spares and Repair Parts / Line 176 / P-18 Replenishment Spares / BLIN 5358</t>
        </is>
      </c>
      <c r="AD3250" s="7" t="inlineStr">
        <is>
          <t>360</t>
        </is>
      </c>
      <c r="AE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13" t="inlineStr">
        <is>
          <t>Exhibit P-40 / BA08 Spares and Repair Parts / Line 176 / P-18 Replenishment Spares / BLIN 2622</t>
        </is>
      </c>
      <c r="AD3251" s="7" t="inlineStr">
        <is>
          <t>360</t>
        </is>
      </c>
      <c r="AE3251" s="7" t="inlineStr">
        <is>
          <t>2622</t>
        </is>
      </c>
      <c r="AF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13" t="inlineStr">
        <is>
          <t>Exhibit P-40 / BA08 Spares and Repair Parts / Line 176 / P-18 Replenishment Spares / BLIN 2210</t>
        </is>
      </c>
      <c r="AD3252" s="7" t="inlineStr">
        <is>
          <t>357</t>
        </is>
      </c>
      <c r="AE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13" t="inlineStr">
        <is>
          <t>Exhibit P-40 / BA08 Spares and Repair Parts / Line 176 / P-18 Replenishment Spares / BLIN 5429</t>
        </is>
      </c>
      <c r="AD3253" s="7" t="inlineStr">
        <is>
          <t>360</t>
        </is>
      </c>
      <c r="AE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13" t="inlineStr">
        <is>
          <t>Exhibit P-40 / BA08 Spares and Repair Parts / Line 176 / P-18 Replenishment Spares / BLIN 1603</t>
        </is>
      </c>
      <c r="AD3254" s="7" t="inlineStr">
        <is>
          <t>357</t>
        </is>
      </c>
      <c r="AE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13" t="inlineStr">
        <is>
          <t>Exhibit P-40 / BA08 Spares and Repair Parts / Line 177 / P-18 / BLIN 0921</t>
        </is>
      </c>
      <c r="AD3255" s="7" t="inlineStr">
        <is>
          <t>364</t>
        </is>
      </c>
      <c r="AE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13" t="inlineStr">
        <is>
          <t>1507N &gt; BA 01 &gt; BSA 2: Modification of Missiles &gt; LI 1250 TRIDENT II Mods</t>
        </is>
      </c>
      <c r="AD3256" s="7" t="inlineStr">
        <is>
          <t>31</t>
        </is>
      </c>
      <c r="AE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 / SSGN</t>
        </is>
      </c>
      <c r="O3257" s="15" t="n"/>
      <c r="P3257" s="16" t="n">
        <v>304115</v>
      </c>
      <c r="Q3257" s="16" t="n">
        <v>209997</v>
      </c>
      <c r="S3257" s="16" t="n">
        <v>94372</v>
      </c>
      <c r="U3257" s="16" t="n">
        <v>94372</v>
      </c>
      <c r="AC3257" s="13" t="inlineStr">
        <is>
          <t>1507N &gt; BA 01 &gt; LI 1250 &gt; P-5 Item 1: D5 Life Extension</t>
        </is>
      </c>
      <c r="AD3257" s="7" t="inlineStr">
        <is>
          <t>43</t>
        </is>
      </c>
      <c r="AE3257" s="7" t="inlineStr">
        <is>
          <t>1250</t>
        </is>
      </c>
      <c r="AF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13" t="inlineStr">
        <is>
          <t>1507N &gt; BA 01 &gt; LI 1250 &gt; P-5 Item 2: Operating &amp; Support Costs</t>
        </is>
      </c>
      <c r="AD3258" s="7" t="inlineStr">
        <is>
          <t>65</t>
        </is>
      </c>
      <c r="AE3258" s="7" t="inlineStr">
        <is>
          <t>1250</t>
        </is>
      </c>
      <c r="AF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13" t="inlineStr">
        <is>
          <t>1507N &gt; BA 01 &gt; LI 1250 &gt; P-5 Item 3: D5LE2</t>
        </is>
      </c>
      <c r="AD3259" s="7" t="inlineStr">
        <is>
          <t>80</t>
        </is>
      </c>
      <c r="AE3259" s="7" t="inlineStr">
        <is>
          <t>1250</t>
        </is>
      </c>
      <c r="AF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13" t="inlineStr">
        <is>
          <t>1507N &gt; BA 01 &gt; BSA 3: Support Equipment &amp; Facilities &gt; LI 1350 Missile Industrial Facilities</t>
        </is>
      </c>
      <c r="AD3260" s="7" t="inlineStr">
        <is>
          <t>85</t>
        </is>
      </c>
      <c r="AE3260" s="7" t="inlineStr">
        <is>
          <t>1350</t>
        </is>
      </c>
      <c r="AF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13" t="inlineStr">
        <is>
          <t>1507N &gt; BA 02 &gt; BSA 1: Strategic Missiles &gt; LI 2101 Tomahawk</t>
        </is>
      </c>
      <c r="AD3261" s="7" t="inlineStr">
        <is>
          <t>89</t>
        </is>
      </c>
      <c r="AE3261" s="7" t="inlineStr">
        <is>
          <t>2101</t>
        </is>
      </c>
      <c r="AF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13" t="inlineStr">
        <is>
          <t>1507N &gt; BA 02 &gt; BSA 2: Tactical Missiles &gt; LI 2206 AMRAAM</t>
        </is>
      </c>
      <c r="AD3262" s="7" t="inlineStr">
        <is>
          <t>101</t>
        </is>
      </c>
      <c r="AE3262" s="7" t="inlineStr">
        <is>
          <t>2206</t>
        </is>
      </c>
      <c r="AF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13" t="inlineStr">
        <is>
          <t>1507N &gt; BA 02 &gt; BSA 2: Tactical Missiles &gt; LI 2209 Sidewinder</t>
        </is>
      </c>
      <c r="AD3263" s="7" t="inlineStr">
        <is>
          <t>115</t>
        </is>
      </c>
      <c r="AE3263" s="7" t="inlineStr">
        <is>
          <t>2209</t>
        </is>
      </c>
      <c r="AF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13" t="inlineStr">
        <is>
          <t>1507N &gt; BA 02 &gt; BSA 2: Tactical Missiles &gt; LI 2210 JATM</t>
        </is>
      </c>
      <c r="AD3264" s="7" t="inlineStr">
        <is>
          <t>135</t>
        </is>
      </c>
      <c r="AE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13" t="inlineStr">
        <is>
          <t>1507N &gt; BA 02 &gt; BSA 2: Tactical Missiles &gt; LI 2234 Standard Missile</t>
        </is>
      </c>
      <c r="AD3265" s="7" t="inlineStr">
        <is>
          <t>137</t>
        </is>
      </c>
      <c r="AE3265" s="7" t="inlineStr">
        <is>
          <t>2234</t>
        </is>
      </c>
      <c r="AF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13" t="inlineStr">
        <is>
          <t>1507N &gt; BA 02 &gt; BSA 2: Tactical Missiles &gt; LI 2234 Standard Missile AP</t>
        </is>
      </c>
      <c r="AD3266" s="7" t="inlineStr">
        <is>
          <t>155</t>
        </is>
      </c>
      <c r="AE3266" s="7" t="inlineStr">
        <is>
          <t>2234</t>
        </is>
      </c>
      <c r="AF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13" t="inlineStr">
        <is>
          <t>1507N &gt; BA 02 &gt; BSA 2: Tactical Missiles &gt; LI 2238 SDB II</t>
        </is>
      </c>
      <c r="AD3267" s="7" t="inlineStr">
        <is>
          <t>159</t>
        </is>
      </c>
      <c r="AE3267" s="7" t="inlineStr">
        <is>
          <t>2238</t>
        </is>
      </c>
      <c r="AF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13" t="inlineStr">
        <is>
          <t>1507N &gt; BA 02 &gt; BSA 2: Tactical Missiles &gt; LI 2242 RAM</t>
        </is>
      </c>
      <c r="AD3268" s="7" t="inlineStr">
        <is>
          <t>171</t>
        </is>
      </c>
      <c r="AE3268" s="7" t="inlineStr">
        <is>
          <t>2242</t>
        </is>
      </c>
      <c r="AF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13" t="inlineStr">
        <is>
          <t>1507N &gt; BA 02 &gt; BSA 2: Tactical Missiles &gt; MSE Missile (P-1 only)</t>
        </is>
      </c>
      <c r="AD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13" t="inlineStr">
        <is>
          <t>1507N &gt; BA 02 &gt; BSA 2: Tactical Missiles &gt; LI 2248 JAGM</t>
        </is>
      </c>
      <c r="AD3270" s="7" t="inlineStr">
        <is>
          <t>185</t>
        </is>
      </c>
      <c r="AE3270" s="7" t="inlineStr">
        <is>
          <t>2248</t>
        </is>
      </c>
      <c r="AF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13" t="inlineStr">
        <is>
          <t>1507N &gt; BA 02 &gt; BSA 2: Tactical Missiles &gt; LI 2254 Hellfire</t>
        </is>
      </c>
      <c r="AD3271" s="7" t="inlineStr">
        <is>
          <t>195</t>
        </is>
      </c>
      <c r="AE3271" s="7" t="inlineStr">
        <is>
          <t>2254</t>
        </is>
      </c>
      <c r="AF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13" t="inlineStr">
        <is>
          <t>1507N &gt; BA 02 &gt; BSA 2: Tactical Missiles &gt; LI 2280 Aerial Targets</t>
        </is>
      </c>
      <c r="AD3272" s="7" t="inlineStr">
        <is>
          <t>201</t>
        </is>
      </c>
      <c r="AE3272" s="7" t="inlineStr">
        <is>
          <t>2280</t>
        </is>
      </c>
      <c r="AF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13" t="inlineStr">
        <is>
          <t>1507N &gt; BA 02 &gt; LI 2280 &gt; P-5 Item 1: Subsonic Aerial Targets</t>
        </is>
      </c>
      <c r="AD3273" s="7" t="inlineStr">
        <is>
          <t>204</t>
        </is>
      </c>
      <c r="AE3273" s="7" t="inlineStr">
        <is>
          <t>2280</t>
        </is>
      </c>
      <c r="AF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13" t="inlineStr">
        <is>
          <t>1507N &gt; BA 02 &gt; LI 2280 &gt; P-5 Item 2: Supersonic Targets</t>
        </is>
      </c>
      <c r="AD3274" s="7" t="inlineStr">
        <is>
          <t>212</t>
        </is>
      </c>
      <c r="AE3274" s="7" t="inlineStr">
        <is>
          <t>2280</t>
        </is>
      </c>
      <c r="AF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13" t="inlineStr">
        <is>
          <t>1507N &gt; BA 02 &gt; LI 2280 &gt; P-5 Item 3: Full Scale Aerial Target</t>
        </is>
      </c>
      <c r="AD3275" s="7" t="inlineStr">
        <is>
          <t>223</t>
        </is>
      </c>
      <c r="AE3275" s="7" t="inlineStr">
        <is>
          <t>2280</t>
        </is>
      </c>
      <c r="AF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13" t="inlineStr">
        <is>
          <t>1507N &gt; BA 02 &gt; LI 2280 &gt; P-5 Item 4: Target Aug/Aux System</t>
        </is>
      </c>
      <c r="AD3276" s="7" t="inlineStr">
        <is>
          <t>224</t>
        </is>
      </c>
      <c r="AE3276" s="7" t="inlineStr">
        <is>
          <t>2280</t>
        </is>
      </c>
      <c r="AF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13" t="inlineStr">
        <is>
          <t>1507N &gt; BA 02 &gt; BSA 2: Tactical Missiles &gt; LI 2290 Other Missile Support</t>
        </is>
      </c>
      <c r="AD3277" s="7" t="inlineStr">
        <is>
          <t>227</t>
        </is>
      </c>
      <c r="AE3277" s="7" t="inlineStr">
        <is>
          <t>2290</t>
        </is>
      </c>
      <c r="AF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13" t="inlineStr">
        <is>
          <t>1507N &gt; BA 02 &gt; BSA 2: Tactical Missiles &gt; LI 2291 LRASM</t>
        </is>
      </c>
      <c r="AD3278" s="7" t="inlineStr">
        <is>
          <t>231</t>
        </is>
      </c>
      <c r="AE3278" s="7" t="inlineStr">
        <is>
          <t>2291</t>
        </is>
      </c>
      <c r="AF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13" t="inlineStr">
        <is>
          <t>1507N &gt; BA 02 &gt; LI 2291 &gt; P-5 Item 1: LRASM C-1</t>
        </is>
      </c>
      <c r="AD3279" s="7" t="inlineStr">
        <is>
          <t>234</t>
        </is>
      </c>
      <c r="AE3279" s="7" t="inlineStr">
        <is>
          <t>2291</t>
        </is>
      </c>
      <c r="AF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13" t="inlineStr">
        <is>
          <t>1507N &gt; BA 02 &gt; LI 2291 &gt; P-5 Item 2: LRASM C-3</t>
        </is>
      </c>
      <c r="AD3280" s="7" t="inlineStr">
        <is>
          <t>242</t>
        </is>
      </c>
      <c r="AE3280" s="7" t="inlineStr">
        <is>
          <t>2291</t>
        </is>
      </c>
      <c r="AF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13" t="inlineStr">
        <is>
          <t>1507N &gt; BA 02 &gt; BSA 2: Tactical Missiles &gt; LI 2292 NSM</t>
        </is>
      </c>
      <c r="AD3281" s="7" t="inlineStr">
        <is>
          <t>249</t>
        </is>
      </c>
      <c r="AE3281" s="7" t="inlineStr">
        <is>
          <t>2292</t>
        </is>
      </c>
      <c r="AF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13" t="inlineStr">
        <is>
          <t>1507N &gt; BA 02 &gt; BSA 2: Tactical Missiles &gt; LI 2292 NSM AP</t>
        </is>
      </c>
      <c r="AD3282" s="7" t="inlineStr">
        <is>
          <t>263</t>
        </is>
      </c>
      <c r="AE3282" s="7" t="inlineStr">
        <is>
          <t>2292</t>
        </is>
      </c>
      <c r="AF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13" t="inlineStr">
        <is>
          <t>1507N &gt; BA 02 &gt; BSA 3: Modification of Missiles &gt; LI 2301 Tomahawk Mods</t>
        </is>
      </c>
      <c r="AD3283" s="7" t="inlineStr">
        <is>
          <t>267</t>
        </is>
      </c>
      <c r="AE3283" s="7" t="inlineStr">
        <is>
          <t>2301</t>
        </is>
      </c>
      <c r="AF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13" t="inlineStr">
        <is>
          <t>1507N &gt; BA 02 &gt; BSA 3: Modification of Missiles &gt; LI 2307 ESSM</t>
        </is>
      </c>
      <c r="AD3284" s="7" t="inlineStr">
        <is>
          <t>279</t>
        </is>
      </c>
      <c r="AE3284" s="7" t="inlineStr">
        <is>
          <t>2307</t>
        </is>
      </c>
      <c r="AF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13" t="inlineStr">
        <is>
          <t>1507N &gt; BA 02 &gt; BSA 3: Modification of Missiles &gt; LI 2327 AARGM-ER</t>
        </is>
      </c>
      <c r="AD3285" s="7" t="inlineStr">
        <is>
          <t>297</t>
        </is>
      </c>
      <c r="AE3285" s="7" t="inlineStr">
        <is>
          <t>2327</t>
        </is>
      </c>
      <c r="AF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13" t="inlineStr">
        <is>
          <t>1507N &gt; BA 02 &gt; LI 2327 &gt; P-5 Item 1: AARGM-ER</t>
        </is>
      </c>
      <c r="AD3286" s="7" t="inlineStr">
        <is>
          <t>300</t>
        </is>
      </c>
      <c r="AE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13" t="inlineStr">
        <is>
          <t>1507N &gt; BA 02 &gt; LI 2327 &gt; P-5 Item 2: AARGM</t>
        </is>
      </c>
      <c r="AD3287" s="7" t="inlineStr">
        <is>
          <t>313</t>
        </is>
      </c>
      <c r="AE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13" t="inlineStr">
        <is>
          <t>1507N &gt; BA 02 &gt; BSA 3: Modification of Missiles &gt; LI 2327 AARGM-ER AP</t>
        </is>
      </c>
      <c r="AD3288" s="7" t="inlineStr">
        <is>
          <t>321</t>
        </is>
      </c>
      <c r="AE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13" t="inlineStr">
        <is>
          <t>1507N &gt; BA 02 &gt; BSA 3: Modification of Missiles &gt; LI 2356 Standard Missiles Mods</t>
        </is>
      </c>
      <c r="AD3289" s="7" t="inlineStr">
        <is>
          <t>325</t>
        </is>
      </c>
      <c r="AE3289" s="7" t="inlineStr">
        <is>
          <t>2356</t>
        </is>
      </c>
      <c r="AF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13" t="inlineStr">
        <is>
          <t>1507N &gt; BA 02 &gt; BSA 4: Support Equipment &amp; Facilities &gt; LI 2420 Weapons Industrial Facilities</t>
        </is>
      </c>
      <c r="AD3290" s="7" t="inlineStr">
        <is>
          <t>339</t>
        </is>
      </c>
      <c r="AE3290" s="7" t="inlineStr">
        <is>
          <t>2420</t>
        </is>
      </c>
      <c r="AF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13" t="inlineStr">
        <is>
          <t>1507N &gt; BA 02 &gt; BSA 5: Ordnance Support Equipment &gt; LI 2500 Ordnance Support Equipment</t>
        </is>
      </c>
      <c r="AD3291" s="7" t="inlineStr">
        <is>
          <t>343</t>
        </is>
      </c>
      <c r="AE3291" s="7" t="inlineStr">
        <is>
          <t>2500</t>
        </is>
      </c>
      <c r="AF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13" t="inlineStr">
        <is>
          <t>1507N &gt; BA 03 &gt; BSA 1: Torpedoes and Related Equip &gt; LI 3113 SSTD</t>
        </is>
      </c>
      <c r="AD3292" s="7" t="inlineStr">
        <is>
          <t>347</t>
        </is>
      </c>
      <c r="AE3292" s="7" t="inlineStr">
        <is>
          <t>3113</t>
        </is>
      </c>
      <c r="AF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13" t="inlineStr">
        <is>
          <t>1507N &gt; BA 03 &gt; BSA 1: Torpedoes and Related Equip &gt; LI 3117 MK-48 Torpedo</t>
        </is>
      </c>
      <c r="AD3293" s="7" t="inlineStr">
        <is>
          <t>353</t>
        </is>
      </c>
      <c r="AE3293" s="7" t="inlineStr">
        <is>
          <t>3117</t>
        </is>
      </c>
      <c r="AF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13" t="inlineStr">
        <is>
          <t>1507N &gt; BA 03 &gt; BSA 1: Torpedoes and Related Equip &gt; LI 3141 ASW Targets</t>
        </is>
      </c>
      <c r="AD3294" s="7" t="inlineStr">
        <is>
          <t>379</t>
        </is>
      </c>
      <c r="AE3294" s="7" t="inlineStr">
        <is>
          <t>3141</t>
        </is>
      </c>
      <c r="AF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13" t="inlineStr">
        <is>
          <t>1507N &gt; BA 03 &gt; BSA 2: Mod of Torpedoes &gt; LI 3215 MK-54 Torpedo Mods</t>
        </is>
      </c>
      <c r="AD3295" s="7" t="inlineStr">
        <is>
          <t>395</t>
        </is>
      </c>
      <c r="AE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13" t="inlineStr">
        <is>
          <t>1507N &gt; BA 03 &gt; BSA 2: Mod of Torpedoes &gt; LI 3225 MK-48 ADCAP Mods</t>
        </is>
      </c>
      <c r="AD3296" s="7" t="inlineStr">
        <is>
          <t>417</t>
        </is>
      </c>
      <c r="AE3296" s="7" t="inlineStr">
        <is>
          <t>3225</t>
        </is>
      </c>
      <c r="AF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13" t="inlineStr">
        <is>
          <t>1507N &gt; BA 03 &gt; BSA 2: Mod of Torpedoes &gt; LI 3231 Maritime Mines</t>
        </is>
      </c>
      <c r="AD3297" s="7" t="inlineStr">
        <is>
          <t>431</t>
        </is>
      </c>
      <c r="AE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13" t="inlineStr">
        <is>
          <t>1507N &gt; BA 03 &gt; LI 3231 &gt; P-5 Item 1: Quickstrike Mine</t>
        </is>
      </c>
      <c r="AD3298" s="7" t="inlineStr">
        <is>
          <t>434</t>
        </is>
      </c>
      <c r="AE3298" s="7" t="inlineStr">
        <is>
          <t>3231</t>
        </is>
      </c>
      <c r="AF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13" t="inlineStr">
        <is>
          <t>1507N &gt; BA 03 &gt; LI 3231 &gt; P-5 Item 2: Encapsulated Effector</t>
        </is>
      </c>
      <c r="AD3299" s="7" t="inlineStr">
        <is>
          <t>436</t>
        </is>
      </c>
      <c r="AE3299" s="7" t="inlineStr">
        <is>
          <t>3231</t>
        </is>
      </c>
      <c r="AF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13" t="inlineStr">
        <is>
          <t>1507N &gt; BA 03 &gt; LI 3231 &gt; P-5 Item 3: Quickstrike Extended Range</t>
        </is>
      </c>
      <c r="AD3300" s="7" t="inlineStr">
        <is>
          <t>442</t>
        </is>
      </c>
      <c r="AE3300" s="7" t="inlineStr">
        <is>
          <t>3231</t>
        </is>
      </c>
      <c r="AF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13" t="inlineStr">
        <is>
          <t>1507N &gt; BA 03 &gt; LI 3231 &gt; P-5 Item 4: Clandestine Delivered Mine (CDM)</t>
        </is>
      </c>
      <c r="AD3301" s="7" t="inlineStr">
        <is>
          <t>447</t>
        </is>
      </c>
      <c r="AE3301" s="7" t="inlineStr">
        <is>
          <t>3231</t>
        </is>
      </c>
      <c r="AF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13" t="inlineStr">
        <is>
          <t>1507N &gt; BA 03 &gt; BSA 3: Support Equipment &gt; LI 3301 Torpedo Support Equipment</t>
        </is>
      </c>
      <c r="AD3302" s="7" t="inlineStr">
        <is>
          <t>447</t>
        </is>
      </c>
      <c r="AE3302" s="7" t="inlineStr">
        <is>
          <t>3301</t>
        </is>
      </c>
      <c r="AF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13" t="inlineStr">
        <is>
          <t>1507N &gt; BA 03 &gt; BSA 3 &gt; LI 3301 &gt; P-5 Item 1: Lightweight Torpedo Support</t>
        </is>
      </c>
      <c r="AD3303" s="7" t="inlineStr">
        <is>
          <t>450</t>
        </is>
      </c>
      <c r="AE3303" s="7" t="inlineStr">
        <is>
          <t>3301</t>
        </is>
      </c>
      <c r="AF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13" t="inlineStr">
        <is>
          <t>1507N &gt; BA 03 &gt; LI 3301 &gt; P-5 Item 2: Recoverable Exercise Torpedo</t>
        </is>
      </c>
      <c r="AD3304" s="7" t="inlineStr">
        <is>
          <t>468</t>
        </is>
      </c>
      <c r="AE3304" s="7" t="inlineStr">
        <is>
          <t>3301</t>
        </is>
      </c>
      <c r="AF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13" t="inlineStr">
        <is>
          <t>1507N &gt; BA 03 &gt; BSA 3 &gt; LI 3301 &gt; P-5 Item 3: Heavyweight Torpedo Support</t>
        </is>
      </c>
      <c r="AD3305" s="7" t="inlineStr">
        <is>
          <t>469</t>
        </is>
      </c>
      <c r="AE3305" s="7" t="inlineStr">
        <is>
          <t>3301</t>
        </is>
      </c>
      <c r="AF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13" t="inlineStr">
        <is>
          <t>1507N &gt; BA 03 &gt; BSA 3: Support Equipment &gt; LI 3302 ASW Range Support</t>
        </is>
      </c>
      <c r="AD3306" s="7" t="inlineStr">
        <is>
          <t>483</t>
        </is>
      </c>
      <c r="AE3306" s="7" t="inlineStr">
        <is>
          <t>3302</t>
        </is>
      </c>
      <c r="AF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13" t="inlineStr">
        <is>
          <t>1507N &gt; BA 03 &gt; BSA 4: Destination Transportation &gt; LI 2410 FDT</t>
        </is>
      </c>
      <c r="AD3307" s="7" t="inlineStr">
        <is>
          <t>489</t>
        </is>
      </c>
      <c r="AE3307" s="7" t="inlineStr">
        <is>
          <t>2410</t>
        </is>
      </c>
      <c r="AF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13" t="inlineStr">
        <is>
          <t>1507N &gt; BA 04 &gt; BSA 1: Guns and Gun Mounts &gt; LI 4129 Small Arms and Weapons</t>
        </is>
      </c>
      <c r="AD3308" s="7" t="inlineStr">
        <is>
          <t>493</t>
        </is>
      </c>
      <c r="AE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13" t="inlineStr">
        <is>
          <t>1507N &gt; BA 04 &gt; LI 4129 &gt; P-5 Item 1: Expeditionary Warfare</t>
        </is>
      </c>
      <c r="AD3309" s="7" t="inlineStr">
        <is>
          <t>495</t>
        </is>
      </c>
      <c r="AE3309" s="7" t="inlineStr">
        <is>
          <t>4129</t>
        </is>
      </c>
      <c r="AF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13" t="inlineStr">
        <is>
          <t>1507N &gt; BA 04 &gt; LI 4129 &gt; P-5 Item 2: Surface Warfare</t>
        </is>
      </c>
      <c r="AD3310" s="7" t="inlineStr">
        <is>
          <t>505</t>
        </is>
      </c>
      <c r="AE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13" t="inlineStr">
        <is>
          <t>1507N &gt; BA 04 &gt; BSA 2: Mod of Guns and Gun Mounts &gt; LI 4205 CIWS Mods</t>
        </is>
      </c>
      <c r="AD3311" s="7" t="inlineStr">
        <is>
          <t>509</t>
        </is>
      </c>
      <c r="AE3311" s="7" t="inlineStr">
        <is>
          <t>4205</t>
        </is>
      </c>
      <c r="AF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13" t="inlineStr">
        <is>
          <t>1507N &gt; BA 04 &gt; BSA 2: Mod of Guns and Gun Mounts &gt; LI 4206 Coast Guard Weapons</t>
        </is>
      </c>
      <c r="AD3312" s="7" t="inlineStr">
        <is>
          <t>519</t>
        </is>
      </c>
      <c r="AE3312" s="7" t="inlineStr">
        <is>
          <t>4206</t>
        </is>
      </c>
      <c r="AF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13" t="inlineStr">
        <is>
          <t>1507N &gt; BA 04 &gt; BSA 2 &gt; LI 4206 &gt; CG002 MK 110 GUN</t>
        </is>
      </c>
      <c r="AD3313" s="7" t="inlineStr">
        <is>
          <t>519</t>
        </is>
      </c>
      <c r="AE3313" s="7" t="inlineStr">
        <is>
          <t>4206</t>
        </is>
      </c>
      <c r="AF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13" t="inlineStr">
        <is>
          <t>1507N &gt; BA 04 &gt; BSA 2 &gt; LI 4206 &gt; CG003 MK 160 GCS</t>
        </is>
      </c>
      <c r="AD3314" s="7" t="inlineStr">
        <is>
          <t>519</t>
        </is>
      </c>
      <c r="AE3314" s="7" t="inlineStr">
        <is>
          <t>4206</t>
        </is>
      </c>
      <c r="AF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13" t="inlineStr">
        <is>
          <t>1507N &gt; BA 04 &gt; BSA 2 &gt; LI 4206 &gt; CG004 MK 38 MGS</t>
        </is>
      </c>
      <c r="AD3315" s="7" t="inlineStr">
        <is>
          <t>519</t>
        </is>
      </c>
      <c r="AE3315" s="7" t="inlineStr">
        <is>
          <t>4206</t>
        </is>
      </c>
      <c r="AF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13" t="inlineStr">
        <is>
          <t>1507N &gt; BA 04 &gt; BSA 2 &gt; LI 4206 &gt; CG005 GWS Integration</t>
        </is>
      </c>
      <c r="AD3316" s="7" t="inlineStr">
        <is>
          <t>519</t>
        </is>
      </c>
      <c r="AE3316" s="7" t="inlineStr">
        <is>
          <t>4206</t>
        </is>
      </c>
      <c r="AF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13" t="inlineStr">
        <is>
          <t>1507N &gt; BA 04 &gt; BSA 2: Mod of Guns and Gun Mounts &gt; LI 4217 Gun Mount Mods</t>
        </is>
      </c>
      <c r="AD3317" s="7" t="inlineStr">
        <is>
          <t>543</t>
        </is>
      </c>
      <c r="AE3317" s="7" t="inlineStr">
        <is>
          <t>4217</t>
        </is>
      </c>
      <c r="AF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13" t="inlineStr">
        <is>
          <t>1507N &gt; BA 04 &gt; BSA 2 &gt; LI 4217 &gt; E5002 Medium Caliber Gun Mods</t>
        </is>
      </c>
      <c r="AD3318" s="7" t="inlineStr">
        <is>
          <t>543</t>
        </is>
      </c>
      <c r="AE3318" s="7" t="inlineStr">
        <is>
          <t>4217</t>
        </is>
      </c>
      <c r="AF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13" t="inlineStr">
        <is>
          <t>1507N &gt; BA 04 &gt; BSA 2 &gt; LI 4217 &gt; E5006 Minor Caliber Gun Mods</t>
        </is>
      </c>
      <c r="AD3319" s="7" t="inlineStr">
        <is>
          <t>543</t>
        </is>
      </c>
      <c r="AE3319" s="7" t="inlineStr">
        <is>
          <t>4217</t>
        </is>
      </c>
      <c r="AF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13" t="inlineStr">
        <is>
          <t>1507N &gt; BA 04 &gt; BSA 2 &gt; LI 4217 &gt; E5011 Major Caliber Gun Mods</t>
        </is>
      </c>
      <c r="AD3320" s="7" t="inlineStr">
        <is>
          <t>543</t>
        </is>
      </c>
      <c r="AE3320" s="7" t="inlineStr">
        <is>
          <t>4217</t>
        </is>
      </c>
      <c r="AF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13" t="inlineStr">
        <is>
          <t>1507N &gt; BA 04 &gt; BSA 2: Mod of Guns and Gun Mounts &gt; LI 4221 LCS Module Weapons</t>
        </is>
      </c>
      <c r="AD3321" s="7" t="inlineStr">
        <is>
          <t>557</t>
        </is>
      </c>
      <c r="AE3321" s="7" t="inlineStr">
        <is>
          <t>4221</t>
        </is>
      </c>
      <c r="AF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13" t="inlineStr">
        <is>
          <t>1507N &gt; BA 04 &gt; BSA 2: Mod of Guns and Gun Mounts &gt; LI 4225 Airborne Mine Neutralization</t>
        </is>
      </c>
      <c r="AD3322" s="7" t="inlineStr">
        <is>
          <t>565</t>
        </is>
      </c>
      <c r="AE3322" s="7" t="inlineStr">
        <is>
          <t>4225</t>
        </is>
      </c>
      <c r="AF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13" t="inlineStr">
        <is>
          <t>1507N &gt; BA 06 &gt; BSA 1: Spares and Repair Parts &gt; LI 6120 Spares</t>
        </is>
      </c>
      <c r="AD3323" s="7" t="inlineStr">
        <is>
          <t>575</t>
        </is>
      </c>
      <c r="AE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13" t="inlineStr">
        <is>
          <t>1507N &gt; BA 06 &gt; LI 6120 &gt; P-18 Initial Spares</t>
        </is>
      </c>
      <c r="AD3324" s="7" t="inlineStr">
        <is>
          <t>579</t>
        </is>
      </c>
      <c r="AE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13" t="inlineStr">
        <is>
          <t>1507N &gt; BA 06 &gt; LI 6120 &gt; P-18 Replenishment Spares</t>
        </is>
      </c>
      <c r="AD3325" s="7" t="inlineStr">
        <is>
          <t>579</t>
        </is>
      </c>
      <c r="AE3325" s="7" t="inlineStr">
        <is>
          <t>6120</t>
        </is>
      </c>
    </row>
    <row r="3326" ht="10" customHeight="1">
      <c r="A3326" s="7" t="inlineStr">
        <is>
          <t>USCG</t>
        </is>
      </c>
      <c r="B3326" s="7" t="inlineStr">
        <is>
          <t>PC&amp;I</t>
        </is>
      </c>
      <c r="D3326" s="7" t="inlineStr">
        <is>
          <t>Vessels PPA</t>
        </is>
      </c>
      <c r="E3326" s="13" t="inlineStr">
        <is>
          <t>[PARENT]</t>
        </is>
      </c>
      <c r="I3326" s="14" t="inlineStr">
        <is>
          <t>1,4,5</t>
        </is>
      </c>
      <c r="K3326" s="15" t="n"/>
      <c r="O3326" s="15" t="n"/>
      <c r="P3326" s="16" t="n">
        <v>1088600</v>
      </c>
      <c r="Q3326" s="16" t="n">
        <v>1088600</v>
      </c>
      <c r="S3326" s="16" t="n">
        <v>1439300</v>
      </c>
      <c r="U3326" s="16" t="n">
        <v>1439300</v>
      </c>
      <c r="AC3326" s="13" t="inlineStr">
        <is>
          <t>PC&amp;I &gt; Vessels - PPA &gt; Budget Comparison and Adjustments</t>
        </is>
      </c>
      <c r="AD3326" s="7" t="inlineStr">
        <is>
          <t>73</t>
        </is>
      </c>
      <c r="AE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13" t="inlineStr">
        <is>
          <t>PC&amp;I &gt; Vessels - PPA &gt; In-Service Vessel Sustainment - Investment</t>
        </is>
      </c>
      <c r="AD3327" s="7" t="inlineStr">
        <is>
          <t>78</t>
        </is>
      </c>
      <c r="AE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13" t="inlineStr">
        <is>
          <t>PC&amp;I &gt; Vessels - PPA &gt; In-Service Vessel Sustainment &gt; 47-Foot MLB SLEP</t>
        </is>
      </c>
      <c r="AD3328" s="7" t="inlineStr">
        <is>
          <t>78</t>
        </is>
      </c>
      <c r="AE3328" s="7" t="inlineStr">
        <is>
          <t>USCG-Vessels</t>
        </is>
      </c>
      <c r="AG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13" t="inlineStr">
        <is>
          <t>PC&amp;I &gt; Vessels - PPA &gt; In-Service Vessel Sustainment &gt; CG Yard-Supported Investments (Overall Investment Funding)</t>
        </is>
      </c>
      <c r="AD3329" s="7" t="inlineStr">
        <is>
          <t>81</t>
        </is>
      </c>
      <c r="AE3329" s="7" t="inlineStr">
        <is>
          <t>USCG-Vessels</t>
        </is>
      </c>
      <c r="AG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13" t="inlineStr">
        <is>
          <t>PC&amp;I &gt; Vessels - PPA &gt; In-Service Vessel Sustainment &gt; CG Yard-Supported &gt; 270-ft WMEC SLEP</t>
        </is>
      </c>
      <c r="AD3330" s="7" t="inlineStr">
        <is>
          <t>80</t>
        </is>
      </c>
      <c r="AE3330" s="7" t="inlineStr">
        <is>
          <t>USCG-Vessels</t>
        </is>
      </c>
      <c r="AG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13" t="inlineStr">
        <is>
          <t>PC&amp;I &gt; Vessels - PPA &gt; In-Service Vessel Sustainment &gt; CG Yard-Supported &gt; 175-ft WLM MMA</t>
        </is>
      </c>
      <c r="AD3331" s="7" t="inlineStr">
        <is>
          <t>80</t>
        </is>
      </c>
      <c r="AE3331" s="7" t="inlineStr">
        <is>
          <t>USCG-Vessels</t>
        </is>
      </c>
      <c r="AG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13" t="inlineStr">
        <is>
          <t>PC&amp;I &gt; Vessels - PPA &gt; In-Service Vessel Sustainment &gt; CG Yard-Supported &gt; CGC Healy SLEP</t>
        </is>
      </c>
      <c r="AD3332" s="7" t="inlineStr">
        <is>
          <t>80</t>
        </is>
      </c>
      <c r="AE3332" s="7" t="inlineStr">
        <is>
          <t>USCG-Vessels</t>
        </is>
      </c>
      <c r="AG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13" t="inlineStr">
        <is>
          <t>PC&amp;I &gt; Vessels - PPA &gt; In-Service Vessel Sustainment &gt; CG Yard-Supported &gt; 418-ft WMSL MMA</t>
        </is>
      </c>
      <c r="AD3333" s="7" t="inlineStr">
        <is>
          <t>80</t>
        </is>
      </c>
      <c r="AE3333" s="7" t="inlineStr">
        <is>
          <t>USCG-Vessels</t>
        </is>
      </c>
      <c r="AG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13" t="inlineStr">
        <is>
          <t>PC&amp;I &gt; Vessels - PPA &gt; Budget Comparison and Adjustments &gt; Investment Descriptions</t>
        </is>
      </c>
      <c r="AD3334" s="7" t="inlineStr">
        <is>
          <t>74</t>
        </is>
      </c>
      <c r="AE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13" t="inlineStr">
        <is>
          <t>PC&amp;I &gt; Vessels - PPA &gt; Offshore Patrol Cutter - Investment</t>
        </is>
      </c>
      <c r="AD3335" s="7" t="inlineStr">
        <is>
          <t>82</t>
        </is>
      </c>
      <c r="AE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13" t="inlineStr">
        <is>
          <t>PC&amp;I &gt; Vessels - PPA &gt; Fast Response Cutter - Investment</t>
        </is>
      </c>
      <c r="AD3336" s="7" t="inlineStr">
        <is>
          <t>84</t>
        </is>
      </c>
      <c r="AE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13" t="inlineStr">
        <is>
          <t>PC&amp;I &gt; Vessels - PPA &gt; Boats - Investment</t>
        </is>
      </c>
      <c r="AD3337" s="7" t="inlineStr">
        <is>
          <t>86</t>
        </is>
      </c>
      <c r="AE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13" t="inlineStr">
        <is>
          <t>PC&amp;I &gt; Vessels - PPA &gt; Polar Security Cutter - Investment</t>
        </is>
      </c>
      <c r="AD3338" s="7" t="inlineStr">
        <is>
          <t>88</t>
        </is>
      </c>
      <c r="AE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13" t="inlineStr">
        <is>
          <t>PC&amp;I &gt; Vessels - PPA &gt; Budget Comparison and Adjustments &gt; Investment Descriptions</t>
        </is>
      </c>
      <c r="AD3339" s="7" t="inlineStr">
        <is>
          <t>74</t>
        </is>
      </c>
      <c r="AE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13" t="inlineStr">
        <is>
          <t>PC&amp;I &gt; Vessels - PPA &gt; Budget Comparison and Adjustments &gt; Investment Descriptions</t>
        </is>
      </c>
      <c r="AD3340" s="7" t="inlineStr">
        <is>
          <t>74</t>
        </is>
      </c>
      <c r="AE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13" t="inlineStr">
        <is>
          <t>PC&amp;I &gt; Vessels - PPA &gt; Waterways Commerce Cutter - Investment</t>
        </is>
      </c>
      <c r="AD3341" s="7" t="inlineStr">
        <is>
          <t>90</t>
        </is>
      </c>
      <c r="AE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13" t="inlineStr">
        <is>
          <t>PC&amp;I &gt; Other Acquisition Programs - PPA &gt; Survey and Design - Vessels, Boats, and Aircraft - Investment</t>
        </is>
      </c>
      <c r="AD3342" s="7" t="inlineStr">
        <is>
          <t>110</t>
        </is>
      </c>
      <c r="AE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13" t="inlineStr">
        <is>
          <t>PC&amp;I &gt; Other Acquisition Programs - PPA &gt; Other Equipment and Systems - Investment</t>
        </is>
      </c>
      <c r="AD3343" s="7" t="inlineStr">
        <is>
          <t>112</t>
        </is>
      </c>
      <c r="AE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13" t="inlineStr">
        <is>
          <t>PC&amp;I &gt; Other Acquisition Programs - PPA &gt; Other Equipment and Systems &gt; End Items Breakdown</t>
        </is>
      </c>
      <c r="AD3344" s="7" t="inlineStr">
        <is>
          <t>112</t>
        </is>
      </c>
      <c r="AE3344" s="7" t="inlineStr">
        <is>
          <t>USCG-OtherAcq</t>
        </is>
      </c>
      <c r="AG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13" t="inlineStr">
        <is>
          <t>PC&amp;I &gt; Other Acquisition Programs - PPA &gt; Program Oversight and Management - Investment</t>
        </is>
      </c>
      <c r="AD3345" s="7" t="inlineStr">
        <is>
          <t>113</t>
        </is>
      </c>
      <c r="AE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13" t="inlineStr">
        <is>
          <t>PC&amp;I &gt; Other Acquisition Programs - PPA &gt; C4ISR - Investment</t>
        </is>
      </c>
      <c r="AD3346" s="7" t="inlineStr">
        <is>
          <t>115</t>
        </is>
      </c>
      <c r="AE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13" t="inlineStr">
        <is>
          <t>PC&amp;I &gt; Other Acquisition Programs - PPA &gt; Cyber and Enterprise Mission Platform - Investment</t>
        </is>
      </c>
      <c r="AD3347" s="7" t="inlineStr">
        <is>
          <t>117</t>
        </is>
      </c>
      <c r="AE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13" t="inlineStr">
        <is>
          <t>PC&amp;I &gt; Other Acquisition Programs - PPA &gt; In-Service System Sustainment - Investment</t>
        </is>
      </c>
      <c r="AD3348" s="7" t="inlineStr">
        <is>
          <t>119</t>
        </is>
      </c>
      <c r="AE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13" t="inlineStr">
        <is>
          <t>PC&amp;I &gt; Shore Facilities and Aids to Navigation - PPA &gt; Major Acquisition Systems Infrastructure - Investment</t>
        </is>
      </c>
      <c r="AD3349" s="7" t="inlineStr">
        <is>
          <t>126</t>
        </is>
      </c>
      <c r="AE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13" t="inlineStr">
        <is>
          <t>PC&amp;I &gt; Aircraft - PPA &gt; Unmanned Aircraft Systems - Investment</t>
        </is>
      </c>
      <c r="AD3350" s="7" t="inlineStr">
        <is>
          <t>103</t>
        </is>
      </c>
      <c r="AE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13" t="inlineStr">
        <is>
          <t>O&amp;S &gt; Proposed Legislative Language</t>
        </is>
      </c>
      <c r="AD3351" s="7" t="inlineStr">
        <is>
          <t>13</t>
        </is>
      </c>
      <c r="AE3351" s="7" t="inlineStr">
        <is>
          <t>USCG-O&amp;S</t>
        </is>
      </c>
      <c r="AG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inlineStr">
        <is>
          <t>2,3</t>
        </is>
      </c>
      <c r="K3352" s="15" t="n"/>
      <c r="O3352" s="15" t="n"/>
      <c r="P3352" s="16" t="n">
        <v>3125281</v>
      </c>
      <c r="Q3352" s="16" t="n">
        <v>3172908</v>
      </c>
      <c r="S3352" s="16" t="n">
        <v>3425335</v>
      </c>
      <c r="U3352" s="16" t="n">
        <v>3425335</v>
      </c>
      <c r="AC3352" s="13" t="inlineStr">
        <is>
          <t>O&amp;S &gt; Field Operations - PPA &gt; Surface, Air, and Shore Operations - PPA Level II</t>
        </is>
      </c>
      <c r="AD3352" s="7" t="inlineStr">
        <is>
          <t>61</t>
        </is>
      </c>
      <c r="AE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inlineStr">
        <is>
          <t>2,3</t>
        </is>
      </c>
      <c r="K3353" s="15" t="n"/>
      <c r="O3353" s="15" t="n"/>
      <c r="P3353" s="16" t="n">
        <v>865621</v>
      </c>
      <c r="Q3353" s="16" t="n">
        <v>883590</v>
      </c>
      <c r="S3353" s="16" t="n">
        <v>969498</v>
      </c>
      <c r="U3353" s="16" t="n">
        <v>969498</v>
      </c>
      <c r="AC3353" s="13" t="inlineStr">
        <is>
          <t>O&amp;S &gt; Field Operations - PPA &gt; Non Pay by Object Class &gt; 25.7</t>
        </is>
      </c>
      <c r="AD3353" s="7" t="inlineStr">
        <is>
          <t>59</t>
        </is>
      </c>
      <c r="AE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inlineStr">
        <is>
          <t>2,3</t>
        </is>
      </c>
      <c r="K3354" s="15" t="n"/>
      <c r="O3354" s="15" t="n"/>
      <c r="S3354" s="16" t="n">
        <v>16279</v>
      </c>
      <c r="U3354" s="16" t="n">
        <v>16279</v>
      </c>
      <c r="AC3354" s="13" t="inlineStr">
        <is>
          <t>O&amp;S &gt; Justification of Program Changes &gt; Program Change 5</t>
        </is>
      </c>
      <c r="AD3354" s="7" t="inlineStr">
        <is>
          <t>34</t>
        </is>
      </c>
      <c r="AE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inlineStr">
        <is>
          <t>2,3</t>
        </is>
      </c>
      <c r="K3355" s="13" t="inlineStr">
        <is>
          <t>USCG</t>
        </is>
      </c>
      <c r="L3355" s="7" t="inlineStr">
        <is>
          <t>Cutters</t>
        </is>
      </c>
      <c r="M3355" s="7" t="inlineStr">
        <is>
          <t>Fast Response Cutters</t>
        </is>
      </c>
      <c r="N3355" s="7" t="inlineStr">
        <is>
          <t>WPC</t>
        </is>
      </c>
      <c r="O3355" s="15" t="n"/>
      <c r="S3355" s="16" t="n">
        <v>13447</v>
      </c>
      <c r="U3355" s="16" t="n">
        <v>13447</v>
      </c>
      <c r="AC3355" s="13" t="inlineStr">
        <is>
          <t>O&amp;S &gt; Justification of Program Changes &gt; Program Change 8</t>
        </is>
      </c>
      <c r="AD3355" s="7" t="inlineStr">
        <is>
          <t>35</t>
        </is>
      </c>
      <c r="AE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inlineStr">
        <is>
          <t>2,3</t>
        </is>
      </c>
      <c r="K3356" s="13" t="inlineStr">
        <is>
          <t>USCG</t>
        </is>
      </c>
      <c r="L3356" s="7" t="inlineStr">
        <is>
          <t>Cutters</t>
        </is>
      </c>
      <c r="M3356" s="7" t="inlineStr">
        <is>
          <t>Offshore Patrol Cutter</t>
        </is>
      </c>
      <c r="N3356" s="7" t="inlineStr">
        <is>
          <t>WMSM</t>
        </is>
      </c>
      <c r="O3356" s="15" t="n"/>
      <c r="S3356" s="16" t="n">
        <v>1027</v>
      </c>
      <c r="U3356" s="16" t="n">
        <v>1027</v>
      </c>
      <c r="AC3356" s="13" t="inlineStr">
        <is>
          <t>O&amp;S &gt; Justification of Program Changes &gt; Program Change 16</t>
        </is>
      </c>
      <c r="AD3356" s="7" t="inlineStr">
        <is>
          <t>38</t>
        </is>
      </c>
      <c r="AE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inlineStr">
        <is>
          <t>2,3</t>
        </is>
      </c>
      <c r="K3357" s="15" t="n"/>
      <c r="O3357" s="15" t="n"/>
      <c r="S3357" s="16" t="n">
        <v>4365</v>
      </c>
      <c r="U3357" s="16" t="n">
        <v>4365</v>
      </c>
      <c r="AC3357" s="13" t="inlineStr">
        <is>
          <t>O&amp;S &gt; Justification of Program Changes &gt; Program Change 21</t>
        </is>
      </c>
      <c r="AD3357" s="7" t="inlineStr">
        <is>
          <t>41</t>
        </is>
      </c>
      <c r="AE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13" t="inlineStr">
        <is>
          <t>O&amp;S &gt; Justification of Program Changes &gt; Program Change 6</t>
        </is>
      </c>
      <c r="AD3358" s="7" t="inlineStr">
        <is>
          <t>35</t>
        </is>
      </c>
      <c r="AE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inlineStr">
        <is>
          <t>2,3</t>
        </is>
      </c>
      <c r="K3359" s="15" t="n"/>
      <c r="O3359" s="15" t="n"/>
      <c r="S3359" s="16" t="n">
        <v>116405</v>
      </c>
      <c r="U3359" s="16" t="n">
        <v>116405</v>
      </c>
      <c r="AC3359" s="13" t="inlineStr">
        <is>
          <t>O&amp;S &gt; Justification of Program Changes &gt; Program Change 14</t>
        </is>
      </c>
      <c r="AD3359" s="7" t="inlineStr">
        <is>
          <t>38</t>
        </is>
      </c>
      <c r="AE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13" t="inlineStr">
        <is>
          <t>O&amp;S &gt; Justification of Program Changes &gt; Program Change 17</t>
        </is>
      </c>
      <c r="AD3360" s="7" t="inlineStr">
        <is>
          <t>39</t>
        </is>
      </c>
      <c r="AE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13" t="inlineStr">
        <is>
          <t>Funds &gt; Yard Fund</t>
        </is>
      </c>
      <c r="AD3361" s="7" t="inlineStr">
        <is>
          <t>171</t>
        </is>
      </c>
      <c r="AE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13" t="inlineStr">
        <is>
          <t>P-1 Exhibit &gt; 1611N &gt; BA05 Auxiliaries &gt; LI 42 Fireboats</t>
        </is>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18" t="inlineStr">
        <is>
          <t>FY2026</t>
        </is>
      </c>
      <c r="B1" s="19" t="n"/>
      <c r="C1" s="19" t="n"/>
      <c r="D1" s="19" t="n"/>
      <c r="E1" s="19" t="n"/>
      <c r="F1" s="1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18" t="inlineStr">
        <is>
          <t>Total Funding</t>
        </is>
      </c>
      <c r="B1" s="19" t="n"/>
      <c r="C1" s="19" t="n"/>
    </row>
    <row r="2" ht="10" customHeight="1">
      <c r="A2" s="20" t="inlineStr">
        <is>
          <t>All Navy + USCG appropriations for vessel-related activity, FY2026 ($K)</t>
        </is>
      </c>
    </row>
    <row r="3" ht="10" customHeight="1"/>
    <row r="4" ht="10" customHeight="1">
      <c r="A4" s="21" t="inlineStr">
        <is>
          <t>(A) FY2026 Total Funding by Work Type</t>
        </is>
      </c>
      <c r="B4" s="22" t="n"/>
    </row>
    <row r="5" ht="10" customHeight="1">
      <c r="A5" s="23" t="inlineStr">
        <is>
          <t>Work Type</t>
        </is>
      </c>
      <c r="B5" s="23" t="inlineStr">
        <is>
          <t>FY2026 ($K)</t>
        </is>
      </c>
    </row>
    <row r="6" ht="10" customHeight="1">
      <c r="A6" s="24" t="inlineStr">
        <is>
          <t>New Construction</t>
        </is>
      </c>
      <c r="B6" s="25">
        <f>SUMIFS(JB_R,JB_B,1,JB_S,"",JB_R,"&lt;&gt;")+SUMIFS(JB_N,JB_B,1,JB_S,"",JB_R,"",JB_N,"&lt;&gt;")+SUMIFS(JB_L,JB_B,1,JB_S,"",JB_R,"",JB_N,"")+SUMIFS(JB_R,JB_B,1,JB_S,"[PARENT]",JB_R,"&lt;&gt;")+SUMIFS(JB_N,JB_B,1,JB_S,"[PARENT]",JB_R,"",JB_N,"&lt;&gt;")+SUMIFS(JB_L,JB_B,1,JB_S,"[PARENT]",JB_R,"",JB_N,"")</f>
        <v/>
      </c>
    </row>
    <row r="7" ht="10" customHeight="1">
      <c r="A7" s="24" t="inlineStr">
        <is>
          <t>Scheduled Depot Maintenance &amp; Repair</t>
        </is>
      </c>
      <c r="B7" s="25">
        <f>SUMIFS(JB_R,JB_B,2,JB_S,"",JB_R,"&lt;&gt;")+SUMIFS(JB_N,JB_B,2,JB_S,"",JB_R,"",JB_N,"&lt;&gt;")+SUMIFS(JB_L,JB_B,2,JB_S,"",JB_R,"",JB_N,"")+SUMIFS(JB_R,JB_B,2,JB_S,"[PARENT]",JB_R,"&lt;&gt;")+SUMIFS(JB_N,JB_B,2,JB_S,"[PARENT]",JB_R,"",JB_N,"&lt;&gt;")+SUMIFS(JB_L,JB_B,2,JB_S,"[PARENT]",JB_R,"",JB_N,"")</f>
        <v/>
      </c>
    </row>
    <row r="8" ht="10" customHeight="1">
      <c r="A8" s="24" t="inlineStr">
        <is>
          <t>Continuous / Intermediate / Emergent Maintenance</t>
        </is>
      </c>
      <c r="B8" s="25">
        <f>SUMIFS(JB_R,JB_B,3,JB_S,"",JB_R,"&lt;&gt;")+SUMIFS(JB_N,JB_B,3,JB_S,"",JB_R,"",JB_N,"&lt;&gt;")+SUMIFS(JB_L,JB_B,3,JB_S,"",JB_R,"",JB_N,"")+SUMIFS(JB_R,JB_B,3,JB_S,"[PARENT]",JB_R,"&lt;&gt;")+SUMIFS(JB_N,JB_B,3,JB_S,"[PARENT]",JB_R,"",JB_N,"&lt;&gt;")+SUMIFS(JB_L,JB_B,3,JB_S,"[PARENT]",JB_R,"",JB_N,"")</f>
        <v/>
      </c>
    </row>
    <row r="9" ht="10" customHeight="1">
      <c r="A9" s="24" t="inlineStr">
        <is>
          <t>Modernization &amp; Alteration Installation</t>
        </is>
      </c>
      <c r="B9" s="25">
        <f>SUMIFS(JB_R,JB_B,4,JB_S,"",JB_R,"&lt;&gt;")+SUMIFS(JB_N,JB_B,4,JB_S,"",JB_R,"",JB_N,"&lt;&gt;")+SUMIFS(JB_L,JB_B,4,JB_S,"",JB_R,"",JB_N,"")+SUMIFS(JB_R,JB_B,4,JB_S,"[PARENT]",JB_R,"&lt;&gt;")+SUMIFS(JB_N,JB_B,4,JB_S,"[PARENT]",JB_R,"",JB_N,"&lt;&gt;")+SUMIFS(JB_L,JB_B,4,JB_S,"[PARENT]",JB_R,"",JB_N,"")</f>
        <v/>
      </c>
    </row>
    <row r="10" ht="10" customHeight="1">
      <c r="A10" s="24" t="inlineStr">
        <is>
          <t>Major Life-Cycle Events / SLEP / MMA / RCOH</t>
        </is>
      </c>
      <c r="B10" s="25">
        <f>SUMIFS(JB_R,JB_B,5,JB_S,"",JB_R,"&lt;&gt;")+SUMIFS(JB_N,JB_B,5,JB_S,"",JB_R,"",JB_N,"&lt;&gt;")+SUMIFS(JB_L,JB_B,5,JB_S,"",JB_R,"",JB_N,"")+SUMIFS(JB_R,JB_B,5,JB_S,"[PARENT]",JB_R,"&lt;&gt;")+SUMIFS(JB_N,JB_B,5,JB_S,"[PARENT]",JB_R,"",JB_N,"&lt;&gt;")+SUMIFS(JB_L,JB_B,5,JB_S,"[PARENT]",JB_R,"",JB_N,"")</f>
        <v/>
      </c>
    </row>
    <row r="11" ht="10" customHeight="1">
      <c r="A11" s="24" t="inlineStr">
        <is>
          <t>Sustainment Engineering / Planning / Obsolescence Support</t>
        </is>
      </c>
      <c r="B11" s="25">
        <f>SUMIFS(JB_R,JB_B,6,JB_S,"",JB_R,"&lt;&gt;")+SUMIFS(JB_N,JB_B,6,JB_S,"",JB_R,"",JB_N,"&lt;&gt;")+SUMIFS(JB_L,JB_B,6,JB_S,"",JB_R,"",JB_N,"")+SUMIFS(JB_R,JB_B,6,JB_S,"[PARENT]",JB_R,"&lt;&gt;")+SUMIFS(JB_N,JB_B,6,JB_S,"[PARENT]",JB_R,"",JB_N,"&lt;&gt;")+SUMIFS(JB_L,JB_B,6,JB_S,"[PARENT]",JB_R,"",JB_N,"")</f>
        <v/>
      </c>
    </row>
    <row r="12" ht="10" customHeight="1">
      <c r="A12" s="24" t="inlineStr">
        <is>
          <t>Availability Support / Husbanding / Port Services</t>
        </is>
      </c>
      <c r="B12" s="25">
        <f>SUMIFS(JB_R,JB_B,7,JB_S,"",JB_R,"&lt;&gt;")+SUMIFS(JB_N,JB_B,7,JB_S,"",JB_R,"",JB_N,"&lt;&gt;")+SUMIFS(JB_L,JB_B,7,JB_S,"",JB_R,"",JB_N,"")+SUMIFS(JB_R,JB_B,7,JB_S,"[PARENT]",JB_R,"&lt;&gt;")+SUMIFS(JB_N,JB_B,7,JB_S,"[PARENT]",JB_R,"",JB_N,"&lt;&gt;")+SUMIFS(JB_L,JB_B,7,JB_S,"[PARENT]",JB_R,"",JB_N,"")</f>
        <v/>
      </c>
    </row>
    <row r="13" ht="10" customHeight="1">
      <c r="A13" s="26" t="inlineStr">
        <is>
          <t>Total</t>
        </is>
      </c>
      <c r="B13" s="27">
        <f>SUM(B6:B12)</f>
        <v/>
      </c>
    </row>
    <row r="14" ht="10" customHeight="1"/>
    <row r="15" ht="10" customHeight="1"/>
    <row r="16" ht="10" customHeight="1">
      <c r="A16" s="21" t="inlineStr">
        <is>
          <t>(B) FY2026 Total Funding by Vessel Category</t>
        </is>
      </c>
      <c r="B16" s="22" t="n"/>
      <c r="C16" s="22" t="n"/>
    </row>
    <row r="17" ht="10" customHeight="1">
      <c r="A17" s="23" t="inlineStr">
        <is>
          <t>Category</t>
        </is>
      </c>
      <c r="B17" s="23" t="inlineStr">
        <is>
          <t>FY2026 ($K)</t>
        </is>
      </c>
      <c r="C17" s="23" t="inlineStr">
        <is>
          <t>TAM Scope</t>
        </is>
      </c>
    </row>
    <row r="18" ht="10" customHeight="1">
      <c r="A18" s="24" t="inlineStr">
        <is>
          <t>Combatant Ships</t>
        </is>
      </c>
      <c r="B18" s="2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20" t="inlineStr">
        <is>
          <t>YES → TAM</t>
        </is>
      </c>
    </row>
    <row r="19" ht="10" customHeight="1">
      <c r="A19" s="24" t="inlineStr">
        <is>
          <t>Auxiliary Ships</t>
        </is>
      </c>
      <c r="B19" s="2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20" t="inlineStr">
        <is>
          <t>YES → TAM</t>
        </is>
      </c>
    </row>
    <row r="20" ht="10" customHeight="1">
      <c r="A20" s="24" t="inlineStr">
        <is>
          <t>Cutters</t>
        </is>
      </c>
      <c r="B20" s="25">
        <f>SUMIFS(JB_R,JB_V,"Cutters",JB_S,"",JB_R,"&lt;&gt;")+SUMIFS(JB_N,JB_V,"Cutters",JB_S,"",JB_R,"",JB_N,"&lt;&gt;")+SUMIFS(JB_L,JB_V,"Cutters",JB_S,"",JB_R,"",JB_N,"")+SUMIFS(JB_R,JB_V,"Cutters",JB_S,"[PARENT]",JB_R,"&lt;&gt;")+SUMIFS(JB_N,JB_V,"Cutters",JB_S,"[PARENT]",JB_R,"",JB_N,"&lt;&gt;")+SUMIFS(JB_L,JB_V,"Cutters",JB_S,"[PARENT]",JB_R,"",JB_N,"")</f>
        <v/>
      </c>
      <c r="C20" s="20" t="inlineStr">
        <is>
          <t>YES → TAM</t>
        </is>
      </c>
    </row>
    <row r="21" ht="10" customHeight="1">
      <c r="A21" s="24" t="inlineStr">
        <is>
          <t>Unmanned Maritime Platforms</t>
        </is>
      </c>
      <c r="B21" s="2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20" t="inlineStr">
        <is>
          <t>YES → TAM</t>
        </is>
      </c>
    </row>
    <row r="22" ht="10" customHeight="1">
      <c r="A22" s="24" t="inlineStr">
        <is>
          <t>Combatant Crafts</t>
        </is>
      </c>
      <c r="B22" s="2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20" t="inlineStr">
        <is>
          <t>No — small craft</t>
        </is>
      </c>
    </row>
    <row r="23" ht="10" customHeight="1">
      <c r="A23" s="24" t="inlineStr">
        <is>
          <t>Support Crafts</t>
        </is>
      </c>
      <c r="B23" s="2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20" t="inlineStr">
        <is>
          <t>No — non-oceangoing</t>
        </is>
      </c>
    </row>
    <row r="24" ht="10" customHeight="1">
      <c r="A24" s="24" t="inlineStr">
        <is>
          <t>Boats</t>
        </is>
      </c>
      <c r="B24" s="25">
        <f>SUMIFS(JB_R,JB_V,"Boats",JB_S,"",JB_R,"&lt;&gt;")+SUMIFS(JB_N,JB_V,"Boats",JB_S,"",JB_R,"",JB_N,"&lt;&gt;")+SUMIFS(JB_L,JB_V,"Boats",JB_S,"",JB_R,"",JB_N,"")+SUMIFS(JB_R,JB_V,"Boats",JB_S,"[PARENT]",JB_R,"&lt;&gt;")+SUMIFS(JB_N,JB_V,"Boats",JB_S,"[PARENT]",JB_R,"",JB_N,"&lt;&gt;")+SUMIFS(JB_L,JB_V,"Boats",JB_S,"[PARENT]",JB_R,"",JB_N,"")</f>
        <v/>
      </c>
      <c r="C24" s="20" t="inlineStr">
        <is>
          <t>No — under 65 ft</t>
        </is>
      </c>
    </row>
    <row r="25" ht="10" customHeight="1">
      <c r="A25" s="24" t="inlineStr">
        <is>
          <t>Unattributed (fleet-wide)</t>
        </is>
      </c>
      <c r="B25" s="25">
        <f>SUMIFS(JB_R,JB_V,"",JB_S,"",JB_R,"&lt;&gt;")+SUMIFS(JB_N,JB_V,"",JB_S,"",JB_R,"",JB_N,"&lt;&gt;")+SUMIFS(JB_L,JB_V,"",JB_S,"",JB_R,"",JB_N,"")+SUMIFS(JB_R,JB_V,"",JB_S,"[PARENT]",JB_R,"&lt;&gt;")+SUMIFS(JB_N,JB_V,"",JB_S,"[PARENT]",JB_R,"",JB_N,"&lt;&gt;")+SUMIFS(JB_L,JB_V,"",JB_S,"[PARENT]",JB_R,"",JB_N,"")</f>
        <v/>
      </c>
      <c r="C25" s="20" t="inlineStr">
        <is>
          <t>No — not vessel-specific</t>
        </is>
      </c>
    </row>
    <row r="26" ht="10" customHeight="1">
      <c r="A26" s="26" t="inlineStr">
        <is>
          <t>Total</t>
        </is>
      </c>
      <c r="B26" s="27">
        <f>SUM(B18:B25)</f>
        <v/>
      </c>
      <c r="C26" s="28" t="n"/>
    </row>
    <row r="27" ht="10" customHeight="1">
      <c r="A27" s="29" t="inlineStr">
        <is>
          <t>TAM-eligible</t>
        </is>
      </c>
      <c r="B27" s="30">
        <f>B18+B19+B20+B21</f>
        <v/>
      </c>
    </row>
    <row r="28" ht="10" customHeight="1"/>
    <row r="29" ht="10" customHeight="1"/>
    <row r="30" ht="10" customHeight="1">
      <c r="A30" s="21" t="inlineStr">
        <is>
          <t>(C) FY2026 Total Funding by Source Book</t>
        </is>
      </c>
      <c r="B30" s="22" t="n"/>
    </row>
    <row r="31" ht="10" customHeight="1">
      <c r="A31" s="23" t="inlineStr">
        <is>
          <t>Source Book</t>
        </is>
      </c>
      <c r="B31" s="23" t="inlineStr">
        <is>
          <t>FY2026 ($K)</t>
        </is>
      </c>
    </row>
    <row r="32" ht="10" customHeight="1">
      <c r="A32" s="24" t="inlineStr">
        <is>
          <t>NWCF</t>
        </is>
      </c>
      <c r="B32" s="25">
        <f>SUMIFS(JB_R,JB_A,"NWCF",JB_S,"",JB_R,"&lt;&gt;")+SUMIFS(JB_N,JB_A,"NWCF",JB_S,"",JB_R,"",JB_N,"&lt;&gt;")+SUMIFS(JB_L,JB_A,"NWCF",JB_S,"",JB_R,"",JB_N,"")+SUMIFS(JB_R,JB_A,"NWCF",JB_S,"[PARENT]",JB_R,"&lt;&gt;")+SUMIFS(JB_N,JB_A,"NWCF",JB_S,"[PARENT]",JB_R,"",JB_N,"&lt;&gt;")+SUMIFS(JB_L,JB_A,"NWCF",JB_S,"[PARENT]",JB_R,"",JB_N,"")</f>
        <v/>
      </c>
    </row>
    <row r="33" ht="10" customHeight="1">
      <c r="A33" s="24" t="inlineStr">
        <is>
          <t>OMN_Vol2</t>
        </is>
      </c>
      <c r="B33" s="25">
        <f>SUMIFS(JB_R,JB_A,"OMN_Vol2",JB_S,"",JB_R,"&lt;&gt;")+SUMIFS(JB_N,JB_A,"OMN_Vol2",JB_S,"",JB_R,"",JB_N,"&lt;&gt;")+SUMIFS(JB_L,JB_A,"OMN_Vol2",JB_S,"",JB_R,"",JB_N,"")+SUMIFS(JB_R,JB_A,"OMN_Vol2",JB_S,"[PARENT]",JB_R,"&lt;&gt;")+SUMIFS(JB_N,JB_A,"OMN_Vol2",JB_S,"[PARENT]",JB_R,"",JB_N,"&lt;&gt;")+SUMIFS(JB_L,JB_A,"OMN_Vol2",JB_S,"[PARENT]",JB_R,"",JB_N,"")</f>
        <v/>
      </c>
    </row>
    <row r="34" ht="10" customHeight="1">
      <c r="A34" s="24" t="inlineStr">
        <is>
          <t>SCN</t>
        </is>
      </c>
      <c r="B34" s="25">
        <f>SUMIFS(JB_R,JB_A,"SCN",JB_S,"",JB_R,"&lt;&gt;")+SUMIFS(JB_N,JB_A,"SCN",JB_S,"",JB_R,"",JB_N,"&lt;&gt;")+SUMIFS(JB_L,JB_A,"SCN",JB_S,"",JB_R,"",JB_N,"")+SUMIFS(JB_R,JB_A,"SCN",JB_S,"[PARENT]",JB_R,"&lt;&gt;")+SUMIFS(JB_N,JB_A,"SCN",JB_S,"[PARENT]",JB_R,"",JB_N,"&lt;&gt;")+SUMIFS(JB_L,JB_A,"SCN",JB_S,"[PARENT]",JB_R,"",JB_N,"")</f>
        <v/>
      </c>
    </row>
    <row r="35" ht="10" customHeight="1">
      <c r="A35" s="24" t="inlineStr">
        <is>
          <t>OMN</t>
        </is>
      </c>
      <c r="B35" s="25">
        <f>SUMIFS(JB_R,JB_A,"OMN",JB_S,"",JB_R,"&lt;&gt;")+SUMIFS(JB_N,JB_A,"OMN",JB_S,"",JB_R,"",JB_N,"&lt;&gt;")+SUMIFS(JB_L,JB_A,"OMN",JB_S,"",JB_R,"",JB_N,"")+SUMIFS(JB_R,JB_A,"OMN",JB_S,"[PARENT]",JB_R,"&lt;&gt;")+SUMIFS(JB_N,JB_A,"OMN",JB_S,"[PARENT]",JB_R,"",JB_N,"&lt;&gt;")+SUMIFS(JB_L,JB_A,"OMN",JB_S,"[PARENT]",JB_R,"",JB_N,"")</f>
        <v/>
      </c>
    </row>
    <row r="36" ht="10" customHeight="1">
      <c r="A36" s="24" t="inlineStr">
        <is>
          <t>WPN</t>
        </is>
      </c>
      <c r="B36" s="25">
        <f>SUMIFS(JB_R,JB_A,"WPN",JB_S,"",JB_R,"&lt;&gt;")+SUMIFS(JB_N,JB_A,"WPN",JB_S,"",JB_R,"",JB_N,"&lt;&gt;")+SUMIFS(JB_L,JB_A,"WPN",JB_S,"",JB_R,"",JB_N,"")+SUMIFS(JB_R,JB_A,"WPN",JB_S,"[PARENT]",JB_R,"&lt;&gt;")+SUMIFS(JB_N,JB_A,"WPN",JB_S,"[PARENT]",JB_R,"",JB_N,"&lt;&gt;")+SUMIFS(JB_L,JB_A,"WPN",JB_S,"[PARENT]",JB_R,"",JB_N,"")</f>
        <v/>
      </c>
    </row>
    <row r="37" ht="10" customHeight="1">
      <c r="A37" s="24" t="inlineStr">
        <is>
          <t>OPN_BA1</t>
        </is>
      </c>
      <c r="B37" s="25">
        <f>SUMIFS(JB_R,JB_A,"OPN_BA1",JB_S,"",JB_R,"&lt;&gt;")+SUMIFS(JB_N,JB_A,"OPN_BA1",JB_S,"",JB_R,"",JB_N,"&lt;&gt;")+SUMIFS(JB_L,JB_A,"OPN_BA1",JB_S,"",JB_R,"",JB_N,"")+SUMIFS(JB_R,JB_A,"OPN_BA1",JB_S,"[PARENT]",JB_R,"&lt;&gt;")+SUMIFS(JB_N,JB_A,"OPN_BA1",JB_S,"[PARENT]",JB_R,"",JB_N,"&lt;&gt;")+SUMIFS(JB_L,JB_A,"OPN_BA1",JB_S,"[PARENT]",JB_R,"",JB_N,"")</f>
        <v/>
      </c>
    </row>
    <row r="38" ht="10" customHeight="1">
      <c r="A38" s="24" t="inlineStr">
        <is>
          <t>OPN_BA2</t>
        </is>
      </c>
      <c r="B38" s="25">
        <f>SUMIFS(JB_R,JB_A,"OPN_BA2",JB_S,"",JB_R,"&lt;&gt;")+SUMIFS(JB_N,JB_A,"OPN_BA2",JB_S,"",JB_R,"",JB_N,"&lt;&gt;")+SUMIFS(JB_L,JB_A,"OPN_BA2",JB_S,"",JB_R,"",JB_N,"")+SUMIFS(JB_R,JB_A,"OPN_BA2",JB_S,"[PARENT]",JB_R,"&lt;&gt;")+SUMIFS(JB_N,JB_A,"OPN_BA2",JB_S,"[PARENT]",JB_R,"",JB_N,"&lt;&gt;")+SUMIFS(JB_L,JB_A,"OPN_BA2",JB_S,"[PARENT]",JB_R,"",JB_N,"")</f>
        <v/>
      </c>
    </row>
    <row r="39" ht="10" customHeight="1">
      <c r="A39" s="24" t="inlineStr">
        <is>
          <t>OPN_BA5-8</t>
        </is>
      </c>
      <c r="B39" s="25">
        <f>SUMIFS(JB_R,JB_A,"OPN_BA5-8",JB_S,"",JB_R,"&lt;&gt;")+SUMIFS(JB_N,JB_A,"OPN_BA5-8",JB_S,"",JB_R,"",JB_N,"&lt;&gt;")+SUMIFS(JB_L,JB_A,"OPN_BA5-8",JB_S,"",JB_R,"",JB_N,"")+SUMIFS(JB_R,JB_A,"OPN_BA5-8",JB_S,"[PARENT]",JB_R,"&lt;&gt;")+SUMIFS(JB_N,JB_A,"OPN_BA5-8",JB_S,"[PARENT]",JB_R,"",JB_N,"&lt;&gt;")+SUMIFS(JB_L,JB_A,"OPN_BA5-8",JB_S,"[PARENT]",JB_R,"",JB_N,"")</f>
        <v/>
      </c>
    </row>
    <row r="40" ht="10" customHeight="1">
      <c r="A40" s="24" t="inlineStr">
        <is>
          <t>OPN_BA4</t>
        </is>
      </c>
      <c r="B40" s="25">
        <f>SUMIFS(JB_R,JB_A,"OPN_BA4",JB_S,"",JB_R,"&lt;&gt;")+SUMIFS(JB_N,JB_A,"OPN_BA4",JB_S,"",JB_R,"",JB_N,"&lt;&gt;")+SUMIFS(JB_L,JB_A,"OPN_BA4",JB_S,"",JB_R,"",JB_N,"")+SUMIFS(JB_R,JB_A,"OPN_BA4",JB_S,"[PARENT]",JB_R,"&lt;&gt;")+SUMIFS(JB_N,JB_A,"OPN_BA4",JB_S,"[PARENT]",JB_R,"",JB_N,"&lt;&gt;")+SUMIFS(JB_L,JB_A,"OPN_BA4",JB_S,"[PARENT]",JB_R,"",JB_N,"")</f>
        <v/>
      </c>
    </row>
    <row r="41" ht="10" customHeight="1">
      <c r="A41" s="24" t="inlineStr">
        <is>
          <t>USCG</t>
        </is>
      </c>
      <c r="B41" s="25">
        <f>SUMIFS(JB_R,JB_A,"USCG",JB_S,"",JB_R,"&lt;&gt;")+SUMIFS(JB_N,JB_A,"USCG",JB_S,"",JB_R,"",JB_N,"&lt;&gt;")+SUMIFS(JB_L,JB_A,"USCG",JB_S,"",JB_R,"",JB_N,"")+SUMIFS(JB_R,JB_A,"USCG",JB_S,"[PARENT]",JB_R,"&lt;&gt;")+SUMIFS(JB_N,JB_A,"USCG",JB_S,"[PARENT]",JB_R,"",JB_N,"&lt;&gt;")+SUMIFS(JB_L,JB_A,"USCG",JB_S,"[PARENT]",JB_R,"",JB_N,"")</f>
        <v/>
      </c>
    </row>
    <row r="42" ht="10" customHeight="1">
      <c r="A42" s="24" t="inlineStr">
        <is>
          <t>OPN_BA3</t>
        </is>
      </c>
      <c r="B42" s="25">
        <f>SUMIFS(JB_R,JB_A,"OPN_BA3",JB_S,"",JB_R,"&lt;&gt;")+SUMIFS(JB_N,JB_A,"OPN_BA3",JB_S,"",JB_R,"",JB_N,"&lt;&gt;")+SUMIFS(JB_L,JB_A,"OPN_BA3",JB_S,"",JB_R,"",JB_N,"")+SUMIFS(JB_R,JB_A,"OPN_BA3",JB_S,"[PARENT]",JB_R,"&lt;&gt;")+SUMIFS(JB_N,JB_A,"OPN_BA3",JB_S,"[PARENT]",JB_R,"",JB_N,"&lt;&gt;")+SUMIFS(JB_L,JB_A,"OPN_BA3",JB_S,"[PARENT]",JB_R,"",JB_N,"")</f>
        <v/>
      </c>
    </row>
    <row r="43" ht="10" customHeight="1">
      <c r="A43" s="26" t="inlineStr">
        <is>
          <t>Total</t>
        </is>
      </c>
      <c r="B43" s="27">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75"/>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18" t="inlineStr">
        <is>
          <t>Newbuild TAM — FY2026 ($K)</t>
        </is>
      </c>
      <c r="B1" s="19" t="n"/>
      <c r="C1" s="19" t="n"/>
      <c r="D1" s="19" t="n"/>
      <c r="E1" s="19" t="n"/>
      <c r="F1" s="19" t="n"/>
      <c r="G1" s="19" t="n"/>
      <c r="H1" s="19" t="n"/>
      <c r="I1" s="19" t="n"/>
      <c r="J1" s="19" t="n"/>
      <c r="K1" s="19" t="n"/>
      <c r="L1" s="19" t="n"/>
      <c r="M1" s="19" t="n"/>
      <c r="N1" s="19" t="n"/>
      <c r="O1" s="19" t="n"/>
      <c r="P1" s="19" t="n"/>
      <c r="Q1" s="19" t="n"/>
      <c r="R1" s="19" t="n"/>
    </row>
    <row r="2" ht="10" customHeight="1">
      <c r="A2" s="20" t="inlineStr">
        <is>
          <t>New Construction scoped to Combatant Ships, Auxiliary Ships, USCG Cutters &amp; Unmanned Platforms</t>
        </is>
      </c>
    </row>
    <row r="3" ht="10" customHeight="1"/>
    <row r="4" ht="10" customHeight="1">
      <c r="A4" s="21" t="inlineStr">
        <is>
          <t>(A) Bridge: Total NC Funding → Newbuild TAM</t>
        </is>
      </c>
      <c r="B4" s="22" t="n"/>
    </row>
    <row r="5" ht="10" customHeight="1">
      <c r="A5" s="24" t="inlineStr">
        <is>
          <t>Total New Construction Funding</t>
        </is>
      </c>
      <c r="B5" s="25">
        <f>SUMIFS(JB_R,JB_B,1,JB_S,"",JB_R,"&lt;&gt;")+SUMIFS(JB_N,JB_B,1,JB_S,"",JB_R,"",JB_N,"&lt;&gt;")+SUMIFS(JB_L,JB_B,1,JB_S,"",JB_R,"",JB_N,"")+SUMIFS(JB_R,JB_B,1,JB_S,"[PARENT]",JB_R,"&lt;&gt;")+SUMIFS(JB_N,JB_B,1,JB_S,"[PARENT]",JB_R,"",JB_N,"&lt;&gt;")+SUMIFS(JB_L,JB_B,1,JB_S,"[PARENT]",JB_R,"",JB_N,"")</f>
        <v/>
      </c>
    </row>
    <row r="6" ht="10" customHeight="1">
      <c r="A6" s="24" t="inlineStr">
        <is>
          <t xml:space="preserve">  Less: Unattributed (fleet-wide NC items)</t>
        </is>
      </c>
      <c r="B6" s="25">
        <f>-(SUMIFS(JB_R,JB_B,1,JB_V,"",JB_S,"",JB_R,"&lt;&gt;")+SUMIFS(JB_N,JB_B,1,JB_V,"",JB_S,"",JB_R,"",JB_N,"&lt;&gt;")+SUMIFS(JB_L,JB_B,1,JB_V,"",JB_S,"",JB_R,"",JB_N,"")+SUMIFS(JB_R,JB_B,1,JB_V,"",JB_S,"[PARENT]",JB_R,"&lt;&gt;")+SUMIFS(JB_N,JB_B,1,JB_V,"",JB_S,"[PARENT]",JB_R,"",JB_N,"&lt;&gt;")+SUMIFS(JB_L,JB_B,1,JB_V,"",JB_S,"[PARENT]",JB_R,"",JB_N,""))</f>
        <v/>
      </c>
    </row>
    <row r="7" ht="10" customHeight="1">
      <c r="A7" s="24" t="inlineStr">
        <is>
          <t xml:space="preserve">  Less: Combatant Crafts</t>
        </is>
      </c>
      <c r="B7" s="2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24" t="inlineStr">
        <is>
          <t xml:space="preserve">  Less: Support Crafts</t>
        </is>
      </c>
      <c r="B8" s="2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26" t="inlineStr">
        <is>
          <t>Newbuild TAM</t>
        </is>
      </c>
      <c r="B9" s="2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21" t="inlineStr">
        <is>
          <t>(B) Newbuild TAM by Vessel Type</t>
        </is>
      </c>
      <c r="B12" s="22" t="n"/>
      <c r="C12" s="22" t="n"/>
      <c r="D12" s="22" t="n"/>
    </row>
    <row r="13" ht="10" customHeight="1">
      <c r="A13" s="23" t="inlineStr">
        <is>
          <t>Vessel Type</t>
        </is>
      </c>
      <c r="B13" s="23" t="inlineStr">
        <is>
          <t>Service</t>
        </is>
      </c>
      <c r="C13" s="23" t="inlineStr">
        <is>
          <t>FY2026 ($K)</t>
        </is>
      </c>
      <c r="D13" s="23" t="inlineStr">
        <is>
          <t>% of TAM</t>
        </is>
      </c>
    </row>
    <row r="14" ht="10" customHeight="1">
      <c r="A14" s="24" t="inlineStr">
        <is>
          <t>Submarines</t>
        </is>
      </c>
      <c r="B14" s="24" t="inlineStr">
        <is>
          <t>USN</t>
        </is>
      </c>
      <c r="C14" s="2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31">
        <f>IFERROR(C14/C$42,0)</f>
        <v/>
      </c>
    </row>
    <row r="15" ht="10" customHeight="1">
      <c r="A15" s="24" t="inlineStr">
        <is>
          <t>Surface Combatants</t>
        </is>
      </c>
      <c r="B15" s="24" t="inlineStr">
        <is>
          <t>USN</t>
        </is>
      </c>
      <c r="C15" s="2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31">
        <f>IFERROR(C15/C$42,0)</f>
        <v/>
      </c>
    </row>
    <row r="16" ht="10" customHeight="1">
      <c r="A16" s="24" t="inlineStr">
        <is>
          <t>Aircraft Carriers</t>
        </is>
      </c>
      <c r="B16" s="24" t="inlineStr">
        <is>
          <t>USN</t>
        </is>
      </c>
      <c r="C16" s="2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31">
        <f>IFERROR(C16/C$42,0)</f>
        <v/>
      </c>
    </row>
    <row r="17" ht="10" customHeight="1">
      <c r="A17" s="24" t="inlineStr">
        <is>
          <t>Expeditionary &amp; Seabasing Ships</t>
        </is>
      </c>
      <c r="B17" s="24" t="inlineStr">
        <is>
          <t>USN</t>
        </is>
      </c>
      <c r="C17" s="2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31">
        <f>IFERROR(C17/C$42,0)</f>
        <v/>
      </c>
    </row>
    <row r="18" ht="10" customHeight="1">
      <c r="A18" s="24" t="inlineStr">
        <is>
          <t>Combat Logistics Ships</t>
        </is>
      </c>
      <c r="B18" s="24" t="inlineStr">
        <is>
          <t>MSC</t>
        </is>
      </c>
      <c r="C18" s="2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31">
        <f>IFERROR(C18/C$42,0)</f>
        <v/>
      </c>
    </row>
    <row r="19" ht="10" customHeight="1">
      <c r="A19" s="24" t="inlineStr">
        <is>
          <t>Amphibious Warfare Ships</t>
        </is>
      </c>
      <c r="B19" s="24" t="inlineStr">
        <is>
          <t>USN</t>
        </is>
      </c>
      <c r="C19" s="2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31">
        <f>IFERROR(C19/C$42,0)</f>
        <v/>
      </c>
    </row>
    <row r="20" ht="10" customHeight="1">
      <c r="A20" s="24" t="inlineStr">
        <is>
          <t>Unmanned Surface Vehicles</t>
        </is>
      </c>
      <c r="B20" s="24" t="inlineStr">
        <is>
          <t>USN</t>
        </is>
      </c>
      <c r="C20" s="2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31">
        <f>IFERROR(C20/C$42,0)</f>
        <v/>
      </c>
    </row>
    <row r="21" ht="10" customHeight="1">
      <c r="A21" s="24" t="inlineStr">
        <is>
          <t>Cargo &amp; Vehicle Cargo Ships</t>
        </is>
      </c>
      <c r="B21" s="24" t="inlineStr">
        <is>
          <t>USN</t>
        </is>
      </c>
      <c r="C21" s="2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31">
        <f>IFERROR(C21/C$42,0)</f>
        <v/>
      </c>
    </row>
    <row r="22" ht="10" customHeight="1">
      <c r="A22" s="24" t="inlineStr">
        <is>
          <t>Surveillance Ships</t>
        </is>
      </c>
      <c r="B22" s="24" t="inlineStr">
        <is>
          <t>USN</t>
        </is>
      </c>
      <c r="C22" s="2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31">
        <f>IFERROR(C22/C$42,0)</f>
        <v/>
      </c>
    </row>
    <row r="23" ht="10" customHeight="1">
      <c r="A23" s="24" t="inlineStr">
        <is>
          <t>Unmanned Undersea Vehicles</t>
        </is>
      </c>
      <c r="B23" s="24" t="inlineStr">
        <is>
          <t>USN</t>
        </is>
      </c>
      <c r="C23" s="2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31">
        <f>IFERROR(C23/C$42,0)</f>
        <v/>
      </c>
    </row>
    <row r="24" ht="10" customHeight="1">
      <c r="A24" s="24" t="inlineStr">
        <is>
          <t>Salvage Ships &amp; Fleet Ocean Tugs</t>
        </is>
      </c>
      <c r="B24" s="24" t="inlineStr">
        <is>
          <t>MSC</t>
        </is>
      </c>
      <c r="C24" s="2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31">
        <f>IFERROR(C24/C$42,0)</f>
        <v/>
      </c>
    </row>
    <row r="25" ht="10" customHeight="1">
      <c r="A25" s="24" t="inlineStr">
        <is>
          <t>Crane Ship</t>
        </is>
      </c>
      <c r="B25" s="24" t="inlineStr">
        <is>
          <t>USN</t>
        </is>
      </c>
      <c r="C25" s="2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5" s="31">
        <f>IFERROR(C25/C$42,0)</f>
        <v/>
      </c>
    </row>
    <row r="26" ht="10" customHeight="1">
      <c r="A26" s="24" t="inlineStr">
        <is>
          <t>Material Support Ships</t>
        </is>
      </c>
      <c r="B26" s="24" t="inlineStr">
        <is>
          <t>USN</t>
        </is>
      </c>
      <c r="C26" s="2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6" s="31">
        <f>IFERROR(C26/C$42,0)</f>
        <v/>
      </c>
    </row>
    <row r="27" ht="10" customHeight="1">
      <c r="A27" s="24" t="inlineStr">
        <is>
          <t>Aviation Logistics Support Ship</t>
        </is>
      </c>
      <c r="B27" s="24" t="inlineStr">
        <is>
          <t>USN</t>
        </is>
      </c>
      <c r="C27" s="2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7" s="31">
        <f>IFERROR(C27/C$42,0)</f>
        <v/>
      </c>
    </row>
    <row r="28" ht="10" customHeight="1">
      <c r="A28" s="24" t="inlineStr">
        <is>
          <t>Command Ships</t>
        </is>
      </c>
      <c r="B28" s="24" t="inlineStr">
        <is>
          <t>USN</t>
        </is>
      </c>
      <c r="C28" s="2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8" s="31">
        <f>IFERROR(C28/C$42,0)</f>
        <v/>
      </c>
    </row>
    <row r="29" ht="10" customHeight="1">
      <c r="A29" s="24" t="inlineStr">
        <is>
          <t>High Speed Transport</t>
        </is>
      </c>
      <c r="B29" s="24" t="inlineStr">
        <is>
          <t>USN</t>
        </is>
      </c>
      <c r="C29" s="2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9" s="31">
        <f>IFERROR(C29/C$42,0)</f>
        <v/>
      </c>
    </row>
    <row r="30" ht="10" customHeight="1">
      <c r="A30" s="24" t="inlineStr">
        <is>
          <t>Mine Warfare</t>
        </is>
      </c>
      <c r="B30" s="24" t="inlineStr">
        <is>
          <t>USN</t>
        </is>
      </c>
      <c r="C30" s="2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0" s="31">
        <f>IFERROR(C30/C$42,0)</f>
        <v/>
      </c>
    </row>
    <row r="31" ht="10" customHeight="1">
      <c r="A31" s="24" t="inlineStr">
        <is>
          <t>Hospital Ship</t>
        </is>
      </c>
      <c r="B31" s="24" t="inlineStr">
        <is>
          <t>MSC</t>
        </is>
      </c>
      <c r="C31" s="2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1" s="31">
        <f>IFERROR(C31/C$42,0)</f>
        <v/>
      </c>
    </row>
    <row r="32" ht="10" customHeight="1">
      <c r="A32" s="24" t="inlineStr">
        <is>
          <t>Submarine Escort Ship</t>
        </is>
      </c>
      <c r="B32" s="24" t="inlineStr">
        <is>
          <t>USN</t>
        </is>
      </c>
      <c r="C32" s="2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2" s="31">
        <f>IFERROR(C32/C$42,0)</f>
        <v/>
      </c>
    </row>
    <row r="33" ht="10" customHeight="1">
      <c r="A33" s="24" t="inlineStr">
        <is>
          <t>Research, Survey &amp; Instrumentation Ships</t>
        </is>
      </c>
      <c r="B33" s="24" t="inlineStr">
        <is>
          <t>MSC</t>
        </is>
      </c>
      <c r="C33" s="2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33" s="31">
        <f>IFERROR(C33/C$42,0)</f>
        <v/>
      </c>
    </row>
    <row r="34" ht="10" customHeight="1">
      <c r="A34" s="24" t="inlineStr">
        <is>
          <t>General Auxiliary</t>
        </is>
      </c>
      <c r="B34" s="24" t="inlineStr">
        <is>
          <t>USN</t>
        </is>
      </c>
      <c r="C34" s="2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4" s="31">
        <f>IFERROR(C34/C$42,0)</f>
        <v/>
      </c>
    </row>
    <row r="35" ht="10" customHeight="1">
      <c r="A35" s="24" t="inlineStr">
        <is>
          <t>Offshore Patrol Cutter</t>
        </is>
      </c>
      <c r="B35" s="24" t="inlineStr">
        <is>
          <t>USCG</t>
        </is>
      </c>
      <c r="C35" s="2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31">
        <f>IFERROR(C35/C$42,0)</f>
        <v/>
      </c>
    </row>
    <row r="36" ht="10" customHeight="1">
      <c r="A36" s="24" t="inlineStr">
        <is>
          <t>Fast Response Cutters</t>
        </is>
      </c>
      <c r="B36" s="24" t="inlineStr">
        <is>
          <t>USCG</t>
        </is>
      </c>
      <c r="C36" s="2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31">
        <f>IFERROR(C36/C$42,0)</f>
        <v/>
      </c>
    </row>
    <row r="37" ht="10" customHeight="1">
      <c r="A37" s="24" t="inlineStr">
        <is>
          <t>Icebreakers, Oceangoing</t>
        </is>
      </c>
      <c r="B37" s="24" t="inlineStr">
        <is>
          <t>USCG</t>
        </is>
      </c>
      <c r="C37" s="2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31">
        <f>IFERROR(C37/C$42,0)</f>
        <v/>
      </c>
    </row>
    <row r="38" ht="10" customHeight="1">
      <c r="A38" s="24" t="inlineStr">
        <is>
          <t>Waterways Commerce Cutters</t>
        </is>
      </c>
      <c r="B38" s="24" t="inlineStr">
        <is>
          <t>USCG</t>
        </is>
      </c>
      <c r="C38" s="2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31">
        <f>IFERROR(C38/C$42,0)</f>
        <v/>
      </c>
    </row>
    <row r="39" ht="10" customHeight="1">
      <c r="A39" s="24" t="inlineStr">
        <is>
          <t>National Security Cutters</t>
        </is>
      </c>
      <c r="B39" s="24" t="inlineStr">
        <is>
          <t>USCG</t>
        </is>
      </c>
      <c r="C39" s="2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9" s="31">
        <f>IFERROR(C39/C$42,0)</f>
        <v/>
      </c>
    </row>
    <row r="40" ht="10" customHeight="1">
      <c r="A40" s="24" t="inlineStr">
        <is>
          <t>Icebreakers, Great Lakes</t>
        </is>
      </c>
      <c r="B40" s="24" t="inlineStr">
        <is>
          <t>USCG</t>
        </is>
      </c>
      <c r="C40" s="2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40" s="31">
        <f>IFERROR(C40/C$42,0)</f>
        <v/>
      </c>
    </row>
    <row r="41" ht="10" customHeight="1">
      <c r="A41" s="24" t="inlineStr">
        <is>
          <t>Coastal Buoy Tenders</t>
        </is>
      </c>
      <c r="B41" s="24" t="inlineStr">
        <is>
          <t>USCG</t>
        </is>
      </c>
      <c r="C41" s="2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1" s="31">
        <f>IFERROR(C41/C$42,0)</f>
        <v/>
      </c>
    </row>
    <row r="42" ht="10" customHeight="1">
      <c r="A42" s="26" t="inlineStr">
        <is>
          <t>Newbuild TAM</t>
        </is>
      </c>
      <c r="B42" s="26" t="inlineStr"/>
      <c r="C42" s="27">
        <f>SUM(C14:C41)</f>
        <v/>
      </c>
      <c r="D42" s="32" t="n">
        <v>1</v>
      </c>
    </row>
    <row r="43" ht="10" customHeight="1"/>
    <row r="44" ht="10" customHeight="1"/>
    <row r="45" ht="10" customHeight="1">
      <c r="A45" s="21" t="inlineStr">
        <is>
          <t>(C) Newbuild TAM — DD&amp;C vs AP/LLTM by Vessel Type (Mekko)</t>
        </is>
      </c>
      <c r="B45" s="22" t="n"/>
      <c r="C45" s="22" t="n"/>
      <c r="D45" s="22" t="n"/>
      <c r="E45" s="22" t="n"/>
      <c r="F45" s="22" t="n"/>
      <c r="G45" s="22" t="n"/>
      <c r="H45" s="22" t="n"/>
      <c r="I45" s="22" t="n"/>
      <c r="J45" s="22" t="n"/>
      <c r="K45" s="22" t="n"/>
      <c r="L45" s="22" t="n"/>
      <c r="M45" s="22" t="n"/>
      <c r="N45" s="22" t="n"/>
      <c r="O45" s="22" t="n"/>
      <c r="P45" s="22" t="n"/>
      <c r="Q45" s="22" t="n"/>
    </row>
    <row r="46" ht="10" customHeight="1">
      <c r="A46" s="33" t="n"/>
      <c r="B46" s="34" t="inlineStr">
        <is>
          <t>USN</t>
        </is>
      </c>
      <c r="C46" s="33" t="n"/>
      <c r="D46" s="33" t="n"/>
      <c r="E46" s="33" t="n"/>
      <c r="F46" s="33" t="n"/>
      <c r="G46" s="33" t="n"/>
      <c r="H46" s="33" t="n"/>
      <c r="I46" s="33" t="n"/>
      <c r="J46" s="33" t="n"/>
      <c r="K46" s="33" t="n"/>
      <c r="L46" s="33" t="n"/>
      <c r="M46" s="34" t="inlineStr">
        <is>
          <t>USCG</t>
        </is>
      </c>
      <c r="N46" s="33" t="n"/>
      <c r="O46" s="33" t="n"/>
      <c r="P46" s="33" t="n"/>
      <c r="Q46" s="35" t="n"/>
    </row>
    <row r="47" ht="10" customHeight="1">
      <c r="A47" s="23" t="inlineStr">
        <is>
          <t>Sub-Category</t>
        </is>
      </c>
      <c r="B47" s="36" t="inlineStr">
        <is>
          <t>Submarines</t>
        </is>
      </c>
      <c r="C47" s="23" t="inlineStr">
        <is>
          <t>Surface Combatants</t>
        </is>
      </c>
      <c r="D47" s="23" t="inlineStr">
        <is>
          <t>Aircraft Carriers</t>
        </is>
      </c>
      <c r="E47" s="23" t="inlineStr">
        <is>
          <t>Expeditionary &amp; Seabasing Ships</t>
        </is>
      </c>
      <c r="F47" s="23" t="inlineStr">
        <is>
          <t>Combat Logistics Ships</t>
        </is>
      </c>
      <c r="G47" s="23" t="inlineStr">
        <is>
          <t>Amphibious Warfare Ships</t>
        </is>
      </c>
      <c r="H47" s="23" t="inlineStr">
        <is>
          <t>Unmanned Surface Vehicles</t>
        </is>
      </c>
      <c r="I47" s="23" t="inlineStr">
        <is>
          <t>Cargo &amp; Vehicle Cargo Ships</t>
        </is>
      </c>
      <c r="J47" s="23" t="inlineStr">
        <is>
          <t>Surveillance Ships</t>
        </is>
      </c>
      <c r="K47" s="23" t="inlineStr">
        <is>
          <t>Unmanned Undersea Vehicles</t>
        </is>
      </c>
      <c r="L47" s="23" t="inlineStr">
        <is>
          <t>Salvage Ships &amp; Fleet Ocean Tugs</t>
        </is>
      </c>
      <c r="M47" s="36" t="inlineStr">
        <is>
          <t>Offshore Patrol Cutter</t>
        </is>
      </c>
      <c r="N47" s="23" t="inlineStr">
        <is>
          <t>Fast Response Cutters</t>
        </is>
      </c>
      <c r="O47" s="23" t="inlineStr">
        <is>
          <t>Icebreakers, Oceangoing</t>
        </is>
      </c>
      <c r="P47" s="23" t="inlineStr">
        <is>
          <t>Waterways Commerce Cutters</t>
        </is>
      </c>
      <c r="Q47" s="36" t="inlineStr">
        <is>
          <t>Total</t>
        </is>
      </c>
    </row>
    <row r="48" ht="10" customHeight="1">
      <c r="A48" s="24" t="inlineStr">
        <is>
          <t>Full Ship DD&amp;C</t>
        </is>
      </c>
      <c r="B48" s="37">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3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3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3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3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3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3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3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3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3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3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3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3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3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3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37">
        <f>IFERROR(1-Q49,0)</f>
        <v/>
      </c>
    </row>
    <row r="49" ht="10" customHeight="1">
      <c r="A49" s="24" t="inlineStr">
        <is>
          <t>Advance Procurement / LLTM</t>
        </is>
      </c>
      <c r="B49" s="37">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3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3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3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3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3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3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3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3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3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3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3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3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3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3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3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24" t="inlineStr">
        <is>
          <t>Other NC Sub-Categories</t>
        </is>
      </c>
      <c r="B50" s="37">
        <f>IFERROR(1-B48-B49,0)</f>
        <v/>
      </c>
      <c r="C50" s="31">
        <f>IFERROR(1-C48-C49,0)</f>
        <v/>
      </c>
      <c r="D50" s="31">
        <f>IFERROR(1-D48-D49,0)</f>
        <v/>
      </c>
      <c r="E50" s="31">
        <f>IFERROR(1-E48-E49,0)</f>
        <v/>
      </c>
      <c r="F50" s="31">
        <f>IFERROR(1-F48-F49,0)</f>
        <v/>
      </c>
      <c r="G50" s="31">
        <f>IFERROR(1-G48-G49,0)</f>
        <v/>
      </c>
      <c r="H50" s="31">
        <f>IFERROR(1-H48-H49,0)</f>
        <v/>
      </c>
      <c r="I50" s="31">
        <f>IFERROR(1-I48-I49,0)</f>
        <v/>
      </c>
      <c r="J50" s="31">
        <f>IFERROR(1-J48-J49,0)</f>
        <v/>
      </c>
      <c r="K50" s="31">
        <f>IFERROR(1-K48-K49,0)</f>
        <v/>
      </c>
      <c r="L50" s="31">
        <f>IFERROR(1-L48-L49,0)</f>
        <v/>
      </c>
      <c r="M50" s="37">
        <f>IFERROR(1-M48-M49,0)</f>
        <v/>
      </c>
      <c r="N50" s="31">
        <f>IFERROR(1-N48-N49,0)</f>
        <v/>
      </c>
      <c r="O50" s="31">
        <f>IFERROR(1-O48-O49,0)</f>
        <v/>
      </c>
      <c r="P50" s="31">
        <f>IFERROR(1-P48-P49,0)</f>
        <v/>
      </c>
      <c r="Q50" s="37">
        <f>IFERROR(1-Q48-Q49,0)</f>
        <v/>
      </c>
    </row>
    <row r="51" ht="10" customHeight="1">
      <c r="A51" s="26" t="inlineStr">
        <is>
          <t>Total ($K)</t>
        </is>
      </c>
      <c r="B51" s="38">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2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2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2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2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2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3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2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2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2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38">
        <f>SUM(B51:P51)</f>
        <v/>
      </c>
    </row>
    <row r="52" ht="10" customHeight="1"/>
    <row r="53" ht="10" customHeight="1"/>
    <row r="54" ht="10" customHeight="1">
      <c r="A54" s="21" t="inlineStr">
        <is>
          <t>(D) Newbuild TAM by Hull Program — FY2026 ($K)</t>
        </is>
      </c>
      <c r="B54" s="22" t="n"/>
      <c r="C54" s="22" t="n"/>
      <c r="D54" s="22" t="n"/>
    </row>
    <row r="55" ht="10" customHeight="1">
      <c r="A55" s="20" t="inlineStr">
        <is>
          <t>Same funding as (B) broken down to individual hull programs.</t>
        </is>
      </c>
    </row>
    <row r="56" ht="10" customHeight="1">
      <c r="A56" s="23" t="inlineStr">
        <is>
          <t>Hull Program</t>
        </is>
      </c>
      <c r="B56" s="23" t="inlineStr">
        <is>
          <t>Service</t>
        </is>
      </c>
      <c r="C56" s="23" t="inlineStr">
        <is>
          <t>FY2026 ($K)</t>
        </is>
      </c>
      <c r="D56" s="23" t="inlineStr">
        <is>
          <t>% of TAM</t>
        </is>
      </c>
    </row>
    <row r="57" ht="10" customHeight="1">
      <c r="A57" s="24" t="inlineStr">
        <is>
          <t>SSN (Submarines)</t>
        </is>
      </c>
      <c r="B57" s="24" t="inlineStr">
        <is>
          <t>USN</t>
        </is>
      </c>
      <c r="C57" s="25">
        <f>SUMIFS(JB_R,JB_B,1,JB_H,"SSN",JB_S,"",JB_R,"&lt;&gt;")+SUMIFS(JB_N,JB_B,1,JB_H,"SSN",JB_S,"",JB_R,"",JB_N,"&lt;&gt;")+SUMIFS(JB_L,JB_B,1,JB_H,"SSN",JB_S,"",JB_R,"",JB_N,"")+SUMIFS(JB_R,JB_B,1,JB_H,"SSN",JB_S,"[PARENT]",JB_R,"&lt;&gt;")+SUMIFS(JB_N,JB_B,1,JB_H,"SSN",JB_S,"[PARENT]",JB_R,"",JB_N,"&lt;&gt;")+SUMIFS(JB_L,JB_B,1,JB_H,"SSN",JB_S,"[PARENT]",JB_R,"",JB_N,"")</f>
        <v/>
      </c>
      <c r="D57" s="31">
        <f>IFERROR(C57/C$75,0)</f>
        <v/>
      </c>
    </row>
    <row r="58" ht="10" customHeight="1">
      <c r="A58" s="24" t="inlineStr">
        <is>
          <t>SSBN (Submarines)</t>
        </is>
      </c>
      <c r="B58" s="24" t="inlineStr">
        <is>
          <t>USN</t>
        </is>
      </c>
      <c r="C58" s="25">
        <f>SUMIFS(JB_R,JB_B,1,JB_H,"SSBN",JB_S,"",JB_R,"&lt;&gt;")+SUMIFS(JB_N,JB_B,1,JB_H,"SSBN",JB_S,"",JB_R,"",JB_N,"&lt;&gt;")+SUMIFS(JB_L,JB_B,1,JB_H,"SSBN",JB_S,"",JB_R,"",JB_N,"")+SUMIFS(JB_R,JB_B,1,JB_H,"SSBN",JB_S,"[PARENT]",JB_R,"&lt;&gt;")+SUMIFS(JB_N,JB_B,1,JB_H,"SSBN",JB_S,"[PARENT]",JB_R,"",JB_N,"&lt;&gt;")+SUMIFS(JB_L,JB_B,1,JB_H,"SSBN",JB_S,"[PARENT]",JB_R,"",JB_N,"")</f>
        <v/>
      </c>
      <c r="D58" s="31">
        <f>IFERROR(C58/C$75,0)</f>
        <v/>
      </c>
    </row>
    <row r="59" ht="10" customHeight="1">
      <c r="A59" s="24" t="inlineStr">
        <is>
          <t>DDG (Surface Combatants)</t>
        </is>
      </c>
      <c r="B59" s="24" t="inlineStr">
        <is>
          <t>USN</t>
        </is>
      </c>
      <c r="C59" s="25">
        <f>SUMIFS(JB_R,JB_B,1,JB_H,"DDG",JB_S,"",JB_R,"&lt;&gt;")+SUMIFS(JB_N,JB_B,1,JB_H,"DDG",JB_S,"",JB_R,"",JB_N,"&lt;&gt;")+SUMIFS(JB_L,JB_B,1,JB_H,"DDG",JB_S,"",JB_R,"",JB_N,"")+SUMIFS(JB_R,JB_B,1,JB_H,"DDG",JB_S,"[PARENT]",JB_R,"&lt;&gt;")+SUMIFS(JB_N,JB_B,1,JB_H,"DDG",JB_S,"[PARENT]",JB_R,"",JB_N,"&lt;&gt;")+SUMIFS(JB_L,JB_B,1,JB_H,"DDG",JB_S,"[PARENT]",JB_R,"",JB_N,"")</f>
        <v/>
      </c>
      <c r="D59" s="31">
        <f>IFERROR(C59/C$75,0)</f>
        <v/>
      </c>
    </row>
    <row r="60" ht="10" customHeight="1">
      <c r="A60" s="24" t="inlineStr">
        <is>
          <t>CVN (Aircraft Carriers)</t>
        </is>
      </c>
      <c r="B60" s="24" t="inlineStr">
        <is>
          <t>USN</t>
        </is>
      </c>
      <c r="C60" s="25">
        <f>SUMIFS(JB_R,JB_B,1,JB_H,"CVN",JB_S,"",JB_R,"&lt;&gt;")+SUMIFS(JB_N,JB_B,1,JB_H,"CVN",JB_S,"",JB_R,"",JB_N,"&lt;&gt;")+SUMIFS(JB_L,JB_B,1,JB_H,"CVN",JB_S,"",JB_R,"",JB_N,"")+SUMIFS(JB_R,JB_B,1,JB_H,"CVN",JB_S,"[PARENT]",JB_R,"&lt;&gt;")+SUMIFS(JB_N,JB_B,1,JB_H,"CVN",JB_S,"[PARENT]",JB_R,"",JB_N,"&lt;&gt;")+SUMIFS(JB_L,JB_B,1,JB_H,"CVN",JB_S,"[PARENT]",JB_R,"",JB_N,"")</f>
        <v/>
      </c>
      <c r="D60" s="31">
        <f>IFERROR(C60/C$75,0)</f>
        <v/>
      </c>
    </row>
    <row r="61" ht="10" customHeight="1">
      <c r="A61" s="24" t="inlineStr">
        <is>
          <t>LSM (Expeditionary &amp; Seabasing Ships)</t>
        </is>
      </c>
      <c r="B61" s="24" t="inlineStr">
        <is>
          <t>USN</t>
        </is>
      </c>
      <c r="C61" s="25">
        <f>SUMIFS(JB_R,JB_B,1,JB_H,"LSM",JB_S,"",JB_R,"&lt;&gt;")+SUMIFS(JB_N,JB_B,1,JB_H,"LSM",JB_S,"",JB_R,"",JB_N,"&lt;&gt;")+SUMIFS(JB_L,JB_B,1,JB_H,"LSM",JB_S,"",JB_R,"",JB_N,"")+SUMIFS(JB_R,JB_B,1,JB_H,"LSM",JB_S,"[PARENT]",JB_R,"&lt;&gt;")+SUMIFS(JB_N,JB_B,1,JB_H,"LSM",JB_S,"[PARENT]",JB_R,"",JB_N,"&lt;&gt;")+SUMIFS(JB_L,JB_B,1,JB_H,"LSM",JB_S,"[PARENT]",JB_R,"",JB_N,"")</f>
        <v/>
      </c>
      <c r="D61" s="31">
        <f>IFERROR(C61/C$75,0)</f>
        <v/>
      </c>
    </row>
    <row r="62" ht="10" customHeight="1">
      <c r="A62" s="24" t="inlineStr">
        <is>
          <t>T-AO (Combat Logistics Ships)</t>
        </is>
      </c>
      <c r="B62" s="24" t="inlineStr">
        <is>
          <t>MSC</t>
        </is>
      </c>
      <c r="C62" s="25">
        <f>SUMIFS(JB_R,JB_B,1,JB_H,"T-AO",JB_S,"",JB_R,"&lt;&gt;")+SUMIFS(JB_N,JB_B,1,JB_H,"T-AO",JB_S,"",JB_R,"",JB_N,"&lt;&gt;")+SUMIFS(JB_L,JB_B,1,JB_H,"T-AO",JB_S,"",JB_R,"",JB_N,"")+SUMIFS(JB_R,JB_B,1,JB_H,"T-AO",JB_S,"[PARENT]",JB_R,"&lt;&gt;")+SUMIFS(JB_N,JB_B,1,JB_H,"T-AO",JB_S,"[PARENT]",JB_R,"",JB_N,"&lt;&gt;")+SUMIFS(JB_L,JB_B,1,JB_H,"T-AO",JB_S,"[PARENT]",JB_R,"",JB_N,"")</f>
        <v/>
      </c>
      <c r="D62" s="31">
        <f>IFERROR(C62/C$75,0)</f>
        <v/>
      </c>
    </row>
    <row r="63" ht="10" customHeight="1">
      <c r="A63" s="24" t="inlineStr">
        <is>
          <t>MUSV (Unmanned Surface Vehicles)</t>
        </is>
      </c>
      <c r="B63" s="24" t="inlineStr">
        <is>
          <t>USN</t>
        </is>
      </c>
      <c r="C63" s="25">
        <f>SUMIFS(JB_R,JB_B,1,JB_H,"MUSV",JB_S,"",JB_R,"&lt;&gt;")+SUMIFS(JB_N,JB_B,1,JB_H,"MUSV",JB_S,"",JB_R,"",JB_N,"&lt;&gt;")+SUMIFS(JB_L,JB_B,1,JB_H,"MUSV",JB_S,"",JB_R,"",JB_N,"")+SUMIFS(JB_R,JB_B,1,JB_H,"MUSV",JB_S,"[PARENT]",JB_R,"&lt;&gt;")+SUMIFS(JB_N,JB_B,1,JB_H,"MUSV",JB_S,"[PARENT]",JB_R,"",JB_N,"&lt;&gt;")+SUMIFS(JB_L,JB_B,1,JB_H,"MUSV",JB_S,"[PARENT]",JB_R,"",JB_N,"")</f>
        <v/>
      </c>
      <c r="D63" s="31">
        <f>IFERROR(C63/C$75,0)</f>
        <v/>
      </c>
    </row>
    <row r="64" ht="10" customHeight="1">
      <c r="A64" s="24" t="inlineStr">
        <is>
          <t>LPD (Amphibious Warfare Ships)</t>
        </is>
      </c>
      <c r="B64" s="24" t="inlineStr">
        <is>
          <t>USN</t>
        </is>
      </c>
      <c r="C64" s="25">
        <f>SUMIFS(JB_R,JB_B,1,JB_H,"LPD",JB_S,"",JB_R,"&lt;&gt;")+SUMIFS(JB_N,JB_B,1,JB_H,"LPD",JB_S,"",JB_R,"",JB_N,"&lt;&gt;")+SUMIFS(JB_L,JB_B,1,JB_H,"LPD",JB_S,"",JB_R,"",JB_N,"")+SUMIFS(JB_R,JB_B,1,JB_H,"LPD",JB_S,"[PARENT]",JB_R,"&lt;&gt;")+SUMIFS(JB_N,JB_B,1,JB_H,"LPD",JB_S,"[PARENT]",JB_R,"",JB_N,"&lt;&gt;")+SUMIFS(JB_L,JB_B,1,JB_H,"LPD",JB_S,"[PARENT]",JB_R,"",JB_N,"")</f>
        <v/>
      </c>
      <c r="D64" s="31">
        <f>IFERROR(C64/C$75,0)</f>
        <v/>
      </c>
    </row>
    <row r="65" ht="10" customHeight="1">
      <c r="A65" s="24" t="inlineStr">
        <is>
          <t>T-AK / T-AKR (Cargo &amp; Vehicle Cargo Ships)</t>
        </is>
      </c>
      <c r="B65" s="24" t="inlineStr">
        <is>
          <t>MSC</t>
        </is>
      </c>
      <c r="C65" s="25">
        <f>SUMIFS(JB_R,JB_B,1,JB_H,"T-AK / T-AKR",JB_S,"",JB_R,"&lt;&gt;")+SUMIFS(JB_N,JB_B,1,JB_H,"T-AK / T-AKR",JB_S,"",JB_R,"",JB_N,"&lt;&gt;")+SUMIFS(JB_L,JB_B,1,JB_H,"T-AK / T-AKR",JB_S,"",JB_R,"",JB_N,"")+SUMIFS(JB_R,JB_B,1,JB_H,"T-AK / T-AKR",JB_S,"[PARENT]",JB_R,"&lt;&gt;")+SUMIFS(JB_N,JB_B,1,JB_H,"T-AK / T-AKR",JB_S,"[PARENT]",JB_R,"",JB_N,"&lt;&gt;")+SUMIFS(JB_L,JB_B,1,JB_H,"T-AK / T-AKR",JB_S,"[PARENT]",JB_R,"",JB_N,"")</f>
        <v/>
      </c>
      <c r="D65" s="31">
        <f>IFERROR(C65/C$75,0)</f>
        <v/>
      </c>
    </row>
    <row r="66" ht="10" customHeight="1">
      <c r="A66" s="24" t="inlineStr">
        <is>
          <t>LHA (Amphibious Warfare Ships)</t>
        </is>
      </c>
      <c r="B66" s="24" t="inlineStr">
        <is>
          <t>USN</t>
        </is>
      </c>
      <c r="C66" s="25">
        <f>SUMIFS(JB_R,JB_B,1,JB_H,"LHA",JB_S,"",JB_R,"&lt;&gt;")+SUMIFS(JB_N,JB_B,1,JB_H,"LHA",JB_S,"",JB_R,"",JB_N,"&lt;&gt;")+SUMIFS(JB_L,JB_B,1,JB_H,"LHA",JB_S,"",JB_R,"",JB_N,"")+SUMIFS(JB_R,JB_B,1,JB_H,"LHA",JB_S,"[PARENT]",JB_R,"&lt;&gt;")+SUMIFS(JB_N,JB_B,1,JB_H,"LHA",JB_S,"[PARENT]",JB_R,"",JB_N,"&lt;&gt;")+SUMIFS(JB_L,JB_B,1,JB_H,"LHA",JB_S,"[PARENT]",JB_R,"",JB_N,"")</f>
        <v/>
      </c>
      <c r="D66" s="31">
        <f>IFERROR(C66/C$75,0)</f>
        <v/>
      </c>
    </row>
    <row r="67" ht="10" customHeight="1">
      <c r="A67" s="24" t="inlineStr">
        <is>
          <t>T-AGOS (Surveillance Ships)</t>
        </is>
      </c>
      <c r="B67" s="24" t="inlineStr">
        <is>
          <t>MSC</t>
        </is>
      </c>
      <c r="C67" s="25">
        <f>SUMIFS(JB_R,JB_B,1,JB_H,"T-AGOS",JB_S,"",JB_R,"&lt;&gt;")+SUMIFS(JB_N,JB_B,1,JB_H,"T-AGOS",JB_S,"",JB_R,"",JB_N,"&lt;&gt;")+SUMIFS(JB_L,JB_B,1,JB_H,"T-AGOS",JB_S,"",JB_R,"",JB_N,"")+SUMIFS(JB_R,JB_B,1,JB_H,"T-AGOS",JB_S,"[PARENT]",JB_R,"&lt;&gt;")+SUMIFS(JB_N,JB_B,1,JB_H,"T-AGOS",JB_S,"[PARENT]",JB_R,"",JB_N,"&lt;&gt;")+SUMIFS(JB_L,JB_B,1,JB_H,"T-AGOS",JB_S,"[PARENT]",JB_R,"",JB_N,"")</f>
        <v/>
      </c>
      <c r="D67" s="31">
        <f>IFERROR(C67/C$75,0)</f>
        <v/>
      </c>
    </row>
    <row r="68" ht="10" customHeight="1">
      <c r="A68" s="24" t="inlineStr">
        <is>
          <t>FFG (Surface Combatants)</t>
        </is>
      </c>
      <c r="B68" s="24" t="inlineStr">
        <is>
          <t>USN</t>
        </is>
      </c>
      <c r="C68" s="25">
        <f>SUMIFS(JB_R,JB_B,1,JB_H,"FFG",JB_S,"",JB_R,"&lt;&gt;")+SUMIFS(JB_N,JB_B,1,JB_H,"FFG",JB_S,"",JB_R,"",JB_N,"&lt;&gt;")+SUMIFS(JB_L,JB_B,1,JB_H,"FFG",JB_S,"",JB_R,"",JB_N,"")+SUMIFS(JB_R,JB_B,1,JB_H,"FFG",JB_S,"[PARENT]",JB_R,"&lt;&gt;")+SUMIFS(JB_N,JB_B,1,JB_H,"FFG",JB_S,"[PARENT]",JB_R,"",JB_N,"&lt;&gt;")+SUMIFS(JB_L,JB_B,1,JB_H,"FFG",JB_S,"[PARENT]",JB_R,"",JB_N,"")</f>
        <v/>
      </c>
      <c r="D68" s="31">
        <f>IFERROR(C68/C$75,0)</f>
        <v/>
      </c>
    </row>
    <row r="69" ht="10" customHeight="1">
      <c r="A69" s="24" t="inlineStr">
        <is>
          <t>UUV (Unmanned Undersea Vehicles)</t>
        </is>
      </c>
      <c r="B69" s="24" t="inlineStr">
        <is>
          <t>USN</t>
        </is>
      </c>
      <c r="C69" s="25">
        <f>SUMIFS(JB_R,JB_B,1,JB_H,"UUV",JB_S,"",JB_R,"&lt;&gt;")+SUMIFS(JB_N,JB_B,1,JB_H,"UUV",JB_S,"",JB_R,"",JB_N,"&lt;&gt;")+SUMIFS(JB_L,JB_B,1,JB_H,"UUV",JB_S,"",JB_R,"",JB_N,"")+SUMIFS(JB_R,JB_B,1,JB_H,"UUV",JB_S,"[PARENT]",JB_R,"&lt;&gt;")+SUMIFS(JB_N,JB_B,1,JB_H,"UUV",JB_S,"[PARENT]",JB_R,"",JB_N,"&lt;&gt;")+SUMIFS(JB_L,JB_B,1,JB_H,"UUV",JB_S,"[PARENT]",JB_R,"",JB_N,"")</f>
        <v/>
      </c>
      <c r="D69" s="31">
        <f>IFERROR(C69/C$75,0)</f>
        <v/>
      </c>
    </row>
    <row r="70" ht="10" customHeight="1">
      <c r="A70" s="24" t="inlineStr">
        <is>
          <t>T-ATS (Salvage Ships &amp; Fleet Ocean Tugs)</t>
        </is>
      </c>
      <c r="B70" s="24" t="inlineStr">
        <is>
          <t>MSC</t>
        </is>
      </c>
      <c r="C70" s="25">
        <f>SUMIFS(JB_R,JB_B,1,JB_H,"T-ATS",JB_S,"",JB_R,"&lt;&gt;")+SUMIFS(JB_N,JB_B,1,JB_H,"T-ATS",JB_S,"",JB_R,"",JB_N,"&lt;&gt;")+SUMIFS(JB_L,JB_B,1,JB_H,"T-ATS",JB_S,"",JB_R,"",JB_N,"")+SUMIFS(JB_R,JB_B,1,JB_H,"T-ATS",JB_S,"[PARENT]",JB_R,"&lt;&gt;")+SUMIFS(JB_N,JB_B,1,JB_H,"T-ATS",JB_S,"[PARENT]",JB_R,"",JB_N,"&lt;&gt;")+SUMIFS(JB_L,JB_B,1,JB_H,"T-ATS",JB_S,"[PARENT]",JB_R,"",JB_N,"")</f>
        <v/>
      </c>
      <c r="D70" s="31">
        <f>IFERROR(C70/C$75,0)</f>
        <v/>
      </c>
    </row>
    <row r="71" ht="10" customHeight="1">
      <c r="A71" s="24" t="inlineStr">
        <is>
          <t>WMSM (Offshore Patrol Cutter)</t>
        </is>
      </c>
      <c r="B71" s="24" t="inlineStr">
        <is>
          <t>USCG</t>
        </is>
      </c>
      <c r="C71" s="25">
        <f>SUMIFS(JB_R,JB_B,1,JB_H,"WMSM",JB_S,"",JB_R,"&lt;&gt;")+SUMIFS(JB_N,JB_B,1,JB_H,"WMSM",JB_S,"",JB_R,"",JB_N,"&lt;&gt;")+SUMIFS(JB_L,JB_B,1,JB_H,"WMSM",JB_S,"",JB_R,"",JB_N,"")+SUMIFS(JB_R,JB_B,1,JB_H,"WMSM",JB_S,"[PARENT]",JB_R,"&lt;&gt;")+SUMIFS(JB_N,JB_B,1,JB_H,"WMSM",JB_S,"[PARENT]",JB_R,"",JB_N,"&lt;&gt;")+SUMIFS(JB_L,JB_B,1,JB_H,"WMSM",JB_S,"[PARENT]",JB_R,"",JB_N,"")</f>
        <v/>
      </c>
      <c r="D71" s="31">
        <f>IFERROR(C71/C$75,0)</f>
        <v/>
      </c>
    </row>
    <row r="72" ht="10" customHeight="1">
      <c r="A72" s="24" t="inlineStr">
        <is>
          <t>WPC (Fast Response Cutters)</t>
        </is>
      </c>
      <c r="B72" s="24" t="inlineStr">
        <is>
          <t>USCG</t>
        </is>
      </c>
      <c r="C72" s="25">
        <f>SUMIFS(JB_R,JB_B,1,JB_H,"WPC",JB_S,"",JB_R,"&lt;&gt;")+SUMIFS(JB_N,JB_B,1,JB_H,"WPC",JB_S,"",JB_R,"",JB_N,"&lt;&gt;")+SUMIFS(JB_L,JB_B,1,JB_H,"WPC",JB_S,"",JB_R,"",JB_N,"")+SUMIFS(JB_R,JB_B,1,JB_H,"WPC",JB_S,"[PARENT]",JB_R,"&lt;&gt;")+SUMIFS(JB_N,JB_B,1,JB_H,"WPC",JB_S,"[PARENT]",JB_R,"",JB_N,"&lt;&gt;")+SUMIFS(JB_L,JB_B,1,JB_H,"WPC",JB_S,"[PARENT]",JB_R,"",JB_N,"")</f>
        <v/>
      </c>
      <c r="D72" s="31">
        <f>IFERROR(C72/C$75,0)</f>
        <v/>
      </c>
    </row>
    <row r="73" ht="10" customHeight="1">
      <c r="A73" s="24" t="inlineStr">
        <is>
          <t>WAGB (Icebreakers, Oceangoing)</t>
        </is>
      </c>
      <c r="B73" s="24" t="inlineStr">
        <is>
          <t>USCG</t>
        </is>
      </c>
      <c r="C73" s="25">
        <f>SUMIFS(JB_R,JB_B,1,JB_H,"WAGB",JB_S,"",JB_R,"&lt;&gt;")+SUMIFS(JB_N,JB_B,1,JB_H,"WAGB",JB_S,"",JB_R,"",JB_N,"&lt;&gt;")+SUMIFS(JB_L,JB_B,1,JB_H,"WAGB",JB_S,"",JB_R,"",JB_N,"")+SUMIFS(JB_R,JB_B,1,JB_H,"WAGB",JB_S,"[PARENT]",JB_R,"&lt;&gt;")+SUMIFS(JB_N,JB_B,1,JB_H,"WAGB",JB_S,"[PARENT]",JB_R,"",JB_N,"&lt;&gt;")+SUMIFS(JB_L,JB_B,1,JB_H,"WAGB",JB_S,"[PARENT]",JB_R,"",JB_N,"")</f>
        <v/>
      </c>
      <c r="D73" s="31">
        <f>IFERROR(C73/C$75,0)</f>
        <v/>
      </c>
    </row>
    <row r="74" ht="10" customHeight="1">
      <c r="A74" s="24" t="inlineStr">
        <is>
          <t>WCC (Waterways Commerce Cutters)</t>
        </is>
      </c>
      <c r="B74" s="24" t="inlineStr">
        <is>
          <t>USCG</t>
        </is>
      </c>
      <c r="C74" s="25">
        <f>SUMIFS(JB_R,JB_B,1,JB_H,"WCC",JB_S,"",JB_R,"&lt;&gt;")+SUMIFS(JB_N,JB_B,1,JB_H,"WCC",JB_S,"",JB_R,"",JB_N,"&lt;&gt;")+SUMIFS(JB_L,JB_B,1,JB_H,"WCC",JB_S,"",JB_R,"",JB_N,"")+SUMIFS(JB_R,JB_B,1,JB_H,"WCC",JB_S,"[PARENT]",JB_R,"&lt;&gt;")+SUMIFS(JB_N,JB_B,1,JB_H,"WCC",JB_S,"[PARENT]",JB_R,"",JB_N,"&lt;&gt;")+SUMIFS(JB_L,JB_B,1,JB_H,"WCC",JB_S,"[PARENT]",JB_R,"",JB_N,"")</f>
        <v/>
      </c>
      <c r="D74" s="31">
        <f>IFERROR(C74/C$75,0)</f>
        <v/>
      </c>
    </row>
    <row r="75" ht="10" customHeight="1">
      <c r="A75" s="26" t="inlineStr">
        <is>
          <t>Newbuild TAM</t>
        </is>
      </c>
      <c r="B75" s="26" t="inlineStr"/>
      <c r="C75" s="27">
        <f>SUM(C57:C74)</f>
        <v/>
      </c>
      <c r="D75" s="32" t="n">
        <v>1</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6"/>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18" t="inlineStr">
        <is>
          <t>Newbuild SAM — FY2026 ($K)</t>
        </is>
      </c>
      <c r="B1" s="19" t="n"/>
      <c r="C1" s="19" t="n"/>
      <c r="D1" s="19" t="n"/>
      <c r="E1" s="19" t="n"/>
      <c r="F1" s="19" t="n"/>
      <c r="G1" s="19" t="n"/>
      <c r="H1" s="19" t="n"/>
      <c r="I1" s="19" t="n"/>
      <c r="J1" s="19" t="n"/>
      <c r="K1" s="19" t="n"/>
      <c r="L1" s="19" t="n"/>
      <c r="M1" s="19" t="n"/>
      <c r="N1" s="19" t="n"/>
      <c r="O1" s="19" t="n"/>
    </row>
    <row r="2" ht="10" customHeight="1">
      <c r="A2" s="20" t="inlineStr">
        <is>
          <t>Newbuild TAM excluding vessel types not addressable by PA</t>
        </is>
      </c>
    </row>
    <row r="3" ht="10" customHeight="1"/>
    <row r="4" ht="10" customHeight="1">
      <c r="A4" s="21" t="inlineStr">
        <is>
          <t>(A) Bridge: Newbuild TAM → Newbuild SAM</t>
        </is>
      </c>
      <c r="B4" s="22" t="n"/>
    </row>
    <row r="5" ht="10" customHeight="1">
      <c r="A5" s="24" t="inlineStr">
        <is>
          <t>Newbuild TAM</t>
        </is>
      </c>
      <c r="B5" s="2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24" t="inlineStr">
        <is>
          <t xml:space="preserve">  Less: Submarines</t>
        </is>
      </c>
      <c r="B6" s="2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24" t="inlineStr">
        <is>
          <t xml:space="preserve">  Less: Aircraft Carriers</t>
        </is>
      </c>
      <c r="B7" s="2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24" t="inlineStr">
        <is>
          <t xml:space="preserve">  Less: Unmanned Undersea Vehicles</t>
        </is>
      </c>
      <c r="B8" s="2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26" t="inlineStr">
        <is>
          <t>Newbuild SAM</t>
        </is>
      </c>
      <c r="B9" s="27">
        <f>SUM(B5:B8)</f>
        <v/>
      </c>
    </row>
    <row r="10" ht="10" customHeight="1"/>
    <row r="11" ht="10" customHeight="1"/>
    <row r="12" ht="10" customHeight="1">
      <c r="A12" s="21" t="inlineStr">
        <is>
          <t>(B) Newbuild SAM by Vessel Type</t>
        </is>
      </c>
      <c r="B12" s="22" t="n"/>
      <c r="C12" s="22" t="n"/>
      <c r="D12" s="22" t="n"/>
    </row>
    <row r="13" ht="10" customHeight="1">
      <c r="A13" s="23" t="inlineStr">
        <is>
          <t>Vessel Type</t>
        </is>
      </c>
      <c r="B13" s="23" t="inlineStr">
        <is>
          <t>Service</t>
        </is>
      </c>
      <c r="C13" s="23" t="inlineStr">
        <is>
          <t>FY2026 ($K)</t>
        </is>
      </c>
      <c r="D13" s="23" t="inlineStr">
        <is>
          <t>% of SAM</t>
        </is>
      </c>
    </row>
    <row r="14" ht="10" customHeight="1">
      <c r="A14" s="24" t="inlineStr">
        <is>
          <t>Surface Combatants</t>
        </is>
      </c>
      <c r="B14" s="24" t="inlineStr">
        <is>
          <t>USN</t>
        </is>
      </c>
      <c r="C14" s="2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31">
        <f>IFERROR(C14/C$39,0)</f>
        <v/>
      </c>
    </row>
    <row r="15" ht="10" customHeight="1">
      <c r="A15" s="24" t="inlineStr">
        <is>
          <t>Expeditionary &amp; Seabasing Ships</t>
        </is>
      </c>
      <c r="B15" s="24" t="inlineStr">
        <is>
          <t>USN</t>
        </is>
      </c>
      <c r="C15" s="2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31">
        <f>IFERROR(C15/C$39,0)</f>
        <v/>
      </c>
    </row>
    <row r="16" ht="10" customHeight="1">
      <c r="A16" s="24" t="inlineStr">
        <is>
          <t>Combat Logistics Ships</t>
        </is>
      </c>
      <c r="B16" s="24" t="inlineStr">
        <is>
          <t>MSC</t>
        </is>
      </c>
      <c r="C16" s="2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31">
        <f>IFERROR(C16/C$39,0)</f>
        <v/>
      </c>
    </row>
    <row r="17" ht="10" customHeight="1">
      <c r="A17" s="24" t="inlineStr">
        <is>
          <t>Amphibious Warfare Ships</t>
        </is>
      </c>
      <c r="B17" s="24" t="inlineStr">
        <is>
          <t>USN</t>
        </is>
      </c>
      <c r="C17" s="2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31">
        <f>IFERROR(C17/C$39,0)</f>
        <v/>
      </c>
    </row>
    <row r="18" ht="10" customHeight="1">
      <c r="A18" s="24" t="inlineStr">
        <is>
          <t>Unmanned Surface Vehicles</t>
        </is>
      </c>
      <c r="B18" s="24" t="inlineStr">
        <is>
          <t>USN</t>
        </is>
      </c>
      <c r="C18" s="2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31">
        <f>IFERROR(C18/C$39,0)</f>
        <v/>
      </c>
    </row>
    <row r="19" ht="10" customHeight="1">
      <c r="A19" s="24" t="inlineStr">
        <is>
          <t>Cargo &amp; Vehicle Cargo Ships</t>
        </is>
      </c>
      <c r="B19" s="24" t="inlineStr">
        <is>
          <t>USN</t>
        </is>
      </c>
      <c r="C19" s="2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31">
        <f>IFERROR(C19/C$39,0)</f>
        <v/>
      </c>
    </row>
    <row r="20" ht="10" customHeight="1">
      <c r="A20" s="24" t="inlineStr">
        <is>
          <t>Surveillance Ships</t>
        </is>
      </c>
      <c r="B20" s="24" t="inlineStr">
        <is>
          <t>USN</t>
        </is>
      </c>
      <c r="C20" s="2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31">
        <f>IFERROR(C20/C$39,0)</f>
        <v/>
      </c>
    </row>
    <row r="21" ht="10" customHeight="1">
      <c r="A21" s="24" t="inlineStr">
        <is>
          <t>Salvage Ships &amp; Fleet Ocean Tugs</t>
        </is>
      </c>
      <c r="B21" s="24" t="inlineStr">
        <is>
          <t>MSC</t>
        </is>
      </c>
      <c r="C21" s="2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31">
        <f>IFERROR(C21/C$39,0)</f>
        <v/>
      </c>
    </row>
    <row r="22" ht="10" customHeight="1">
      <c r="A22" s="24" t="inlineStr">
        <is>
          <t>Crane Ship</t>
        </is>
      </c>
      <c r="B22" s="24" t="inlineStr">
        <is>
          <t>USN</t>
        </is>
      </c>
      <c r="C22" s="2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2" s="31">
        <f>IFERROR(C22/C$39,0)</f>
        <v/>
      </c>
    </row>
    <row r="23" ht="10" customHeight="1">
      <c r="A23" s="24" t="inlineStr">
        <is>
          <t>Material Support Ships</t>
        </is>
      </c>
      <c r="B23" s="24" t="inlineStr">
        <is>
          <t>USN</t>
        </is>
      </c>
      <c r="C23" s="2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3" s="31">
        <f>IFERROR(C23/C$39,0)</f>
        <v/>
      </c>
    </row>
    <row r="24" ht="10" customHeight="1">
      <c r="A24" s="24" t="inlineStr">
        <is>
          <t>Mine Warfare</t>
        </is>
      </c>
      <c r="B24" s="24" t="inlineStr">
        <is>
          <t>USN</t>
        </is>
      </c>
      <c r="C24" s="2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4" s="31">
        <f>IFERROR(C24/C$39,0)</f>
        <v/>
      </c>
    </row>
    <row r="25" ht="10" customHeight="1">
      <c r="A25" s="24" t="inlineStr">
        <is>
          <t>Aviation Logistics Support Ship</t>
        </is>
      </c>
      <c r="B25" s="24" t="inlineStr">
        <is>
          <t>USN</t>
        </is>
      </c>
      <c r="C25" s="2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5" s="31">
        <f>IFERROR(C25/C$39,0)</f>
        <v/>
      </c>
    </row>
    <row r="26" ht="10" customHeight="1">
      <c r="A26" s="24" t="inlineStr">
        <is>
          <t>Command Ships</t>
        </is>
      </c>
      <c r="B26" s="24" t="inlineStr">
        <is>
          <t>USN</t>
        </is>
      </c>
      <c r="C26" s="2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6" s="31">
        <f>IFERROR(C26/C$39,0)</f>
        <v/>
      </c>
    </row>
    <row r="27" ht="10" customHeight="1">
      <c r="A27" s="24" t="inlineStr">
        <is>
          <t>High Speed Transport</t>
        </is>
      </c>
      <c r="B27" s="24" t="inlineStr">
        <is>
          <t>USN</t>
        </is>
      </c>
      <c r="C27" s="2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7" s="31">
        <f>IFERROR(C27/C$39,0)</f>
        <v/>
      </c>
    </row>
    <row r="28" ht="10" customHeight="1">
      <c r="A28" s="24" t="inlineStr">
        <is>
          <t>Hospital Ship</t>
        </is>
      </c>
      <c r="B28" s="24" t="inlineStr">
        <is>
          <t>MSC</t>
        </is>
      </c>
      <c r="C28" s="2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8" s="31">
        <f>IFERROR(C28/C$39,0)</f>
        <v/>
      </c>
    </row>
    <row r="29" ht="10" customHeight="1">
      <c r="A29" s="24" t="inlineStr">
        <is>
          <t>Submarine Escort Ship</t>
        </is>
      </c>
      <c r="B29" s="24" t="inlineStr">
        <is>
          <t>USN</t>
        </is>
      </c>
      <c r="C29" s="2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9" s="31">
        <f>IFERROR(C29/C$39,0)</f>
        <v/>
      </c>
    </row>
    <row r="30" ht="10" customHeight="1">
      <c r="A30" s="24" t="inlineStr">
        <is>
          <t>Research, Survey &amp; Instrumentation Ships</t>
        </is>
      </c>
      <c r="B30" s="24" t="inlineStr">
        <is>
          <t>MSC</t>
        </is>
      </c>
      <c r="C30" s="2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30" s="31">
        <f>IFERROR(C30/C$39,0)</f>
        <v/>
      </c>
    </row>
    <row r="31" ht="10" customHeight="1">
      <c r="A31" s="24" t="inlineStr">
        <is>
          <t>General Auxiliary</t>
        </is>
      </c>
      <c r="B31" s="24" t="inlineStr">
        <is>
          <t>USN</t>
        </is>
      </c>
      <c r="C31" s="2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1" s="31">
        <f>IFERROR(C31/C$39,0)</f>
        <v/>
      </c>
    </row>
    <row r="32" ht="10" customHeight="1">
      <c r="A32" s="24" t="inlineStr">
        <is>
          <t>Offshore Patrol Cutter</t>
        </is>
      </c>
      <c r="B32" s="24" t="inlineStr">
        <is>
          <t>USCG</t>
        </is>
      </c>
      <c r="C32" s="2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31">
        <f>IFERROR(C32/C$39,0)</f>
        <v/>
      </c>
    </row>
    <row r="33" ht="10" customHeight="1">
      <c r="A33" s="24" t="inlineStr">
        <is>
          <t>Fast Response Cutters</t>
        </is>
      </c>
      <c r="B33" s="24" t="inlineStr">
        <is>
          <t>USCG</t>
        </is>
      </c>
      <c r="C33" s="2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31">
        <f>IFERROR(C33/C$39,0)</f>
        <v/>
      </c>
    </row>
    <row r="34" ht="10" customHeight="1">
      <c r="A34" s="24" t="inlineStr">
        <is>
          <t>Icebreakers, Oceangoing</t>
        </is>
      </c>
      <c r="B34" s="24" t="inlineStr">
        <is>
          <t>USCG</t>
        </is>
      </c>
      <c r="C34" s="2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31">
        <f>IFERROR(C34/C$39,0)</f>
        <v/>
      </c>
    </row>
    <row r="35" ht="10" customHeight="1">
      <c r="A35" s="24" t="inlineStr">
        <is>
          <t>Waterways Commerce Cutters</t>
        </is>
      </c>
      <c r="B35" s="24" t="inlineStr">
        <is>
          <t>USCG</t>
        </is>
      </c>
      <c r="C35" s="2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31">
        <f>IFERROR(C35/C$39,0)</f>
        <v/>
      </c>
    </row>
    <row r="36" ht="10" customHeight="1">
      <c r="A36" s="24" t="inlineStr">
        <is>
          <t>National Security Cutters</t>
        </is>
      </c>
      <c r="B36" s="24" t="inlineStr">
        <is>
          <t>USCG</t>
        </is>
      </c>
      <c r="C36" s="2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31">
        <f>IFERROR(C36/C$39,0)</f>
        <v/>
      </c>
    </row>
    <row r="37" ht="10" customHeight="1">
      <c r="A37" s="24" t="inlineStr">
        <is>
          <t>Icebreakers, Great Lakes</t>
        </is>
      </c>
      <c r="B37" s="24" t="inlineStr">
        <is>
          <t>USCG</t>
        </is>
      </c>
      <c r="C37" s="2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31">
        <f>IFERROR(C37/C$39,0)</f>
        <v/>
      </c>
    </row>
    <row r="38" ht="10" customHeight="1">
      <c r="A38" s="24" t="inlineStr">
        <is>
          <t>Coastal Buoy Tenders</t>
        </is>
      </c>
      <c r="B38" s="24" t="inlineStr">
        <is>
          <t>USCG</t>
        </is>
      </c>
      <c r="C38" s="2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8" s="31">
        <f>IFERROR(C38/C$39,0)</f>
        <v/>
      </c>
    </row>
    <row r="39" ht="10" customHeight="1">
      <c r="A39" s="26" t="inlineStr">
        <is>
          <t>Newbuild SAM</t>
        </is>
      </c>
      <c r="B39" s="26" t="inlineStr"/>
      <c r="C39" s="27">
        <f>SUM(C14:C38)</f>
        <v/>
      </c>
      <c r="D39" s="32" t="n">
        <v>1</v>
      </c>
    </row>
    <row r="40" ht="10" customHeight="1"/>
    <row r="41" ht="10" customHeight="1"/>
    <row r="42" ht="10" customHeight="1">
      <c r="A42" s="21" t="inlineStr">
        <is>
          <t>(C) Newbuild SAM — DD&amp;C vs AP/LLTM by Vessel Type (Mekko)</t>
        </is>
      </c>
      <c r="B42" s="22" t="n"/>
      <c r="C42" s="22" t="n"/>
      <c r="D42" s="22" t="n"/>
      <c r="E42" s="22" t="n"/>
      <c r="F42" s="22" t="n"/>
      <c r="G42" s="22" t="n"/>
      <c r="H42" s="22" t="n"/>
      <c r="I42" s="22" t="n"/>
      <c r="J42" s="22" t="n"/>
      <c r="K42" s="22" t="n"/>
      <c r="L42" s="22" t="n"/>
      <c r="M42" s="22" t="n"/>
      <c r="N42" s="22" t="n"/>
    </row>
    <row r="43" ht="10" customHeight="1">
      <c r="A43" s="33" t="n"/>
      <c r="B43" s="34" t="inlineStr">
        <is>
          <t>USN</t>
        </is>
      </c>
      <c r="C43" s="33" t="n"/>
      <c r="D43" s="33" t="n"/>
      <c r="E43" s="33" t="n"/>
      <c r="F43" s="33" t="n"/>
      <c r="G43" s="33" t="n"/>
      <c r="H43" s="33" t="n"/>
      <c r="I43" s="33" t="n"/>
      <c r="J43" s="34" t="inlineStr">
        <is>
          <t>USCG</t>
        </is>
      </c>
      <c r="K43" s="33" t="n"/>
      <c r="L43" s="33" t="n"/>
      <c r="M43" s="33" t="n"/>
      <c r="N43" s="35" t="n"/>
    </row>
    <row r="44" ht="10" customHeight="1">
      <c r="A44" s="23" t="inlineStr">
        <is>
          <t>Sub-Category</t>
        </is>
      </c>
      <c r="B44" s="36" t="inlineStr">
        <is>
          <t>Surface Combatants</t>
        </is>
      </c>
      <c r="C44" s="23" t="inlineStr">
        <is>
          <t>Expeditionary &amp; Seabasing Ships</t>
        </is>
      </c>
      <c r="D44" s="23" t="inlineStr">
        <is>
          <t>Combat Logistics Ships</t>
        </is>
      </c>
      <c r="E44" s="23" t="inlineStr">
        <is>
          <t>Amphibious Warfare Ships</t>
        </is>
      </c>
      <c r="F44" s="23" t="inlineStr">
        <is>
          <t>Unmanned Surface Vehicles</t>
        </is>
      </c>
      <c r="G44" s="23" t="inlineStr">
        <is>
          <t>Cargo &amp; Vehicle Cargo Ships</t>
        </is>
      </c>
      <c r="H44" s="23" t="inlineStr">
        <is>
          <t>Surveillance Ships</t>
        </is>
      </c>
      <c r="I44" s="23" t="inlineStr">
        <is>
          <t>Salvage Ships &amp; Fleet Ocean Tugs</t>
        </is>
      </c>
      <c r="J44" s="36" t="inlineStr">
        <is>
          <t>Offshore Patrol Cutter</t>
        </is>
      </c>
      <c r="K44" s="23" t="inlineStr">
        <is>
          <t>Fast Response Cutters</t>
        </is>
      </c>
      <c r="L44" s="23" t="inlineStr">
        <is>
          <t>Icebreakers, Oceangoing</t>
        </is>
      </c>
      <c r="M44" s="23" t="inlineStr">
        <is>
          <t>Waterways Commerce Cutters</t>
        </is>
      </c>
      <c r="N44" s="36" t="inlineStr">
        <is>
          <t>Total</t>
        </is>
      </c>
    </row>
    <row r="45" ht="10" customHeight="1">
      <c r="A45" s="24" t="inlineStr">
        <is>
          <t>Full Ship DD&amp;C</t>
        </is>
      </c>
      <c r="B45" s="3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3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3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3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3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3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3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3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3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3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3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3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37">
        <f>IFERROR(1-N46,0)</f>
        <v/>
      </c>
    </row>
    <row r="46" ht="10" customHeight="1">
      <c r="A46" s="24" t="inlineStr">
        <is>
          <t>Advance Procurement / LLTM</t>
        </is>
      </c>
      <c r="B46" s="3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3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3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3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3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3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3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3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3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3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3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3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3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26" t="inlineStr">
        <is>
          <t>Total ($K)</t>
        </is>
      </c>
      <c r="B47" s="3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2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2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3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2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2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2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38">
        <f>SUM(B47:M47)</f>
        <v/>
      </c>
    </row>
    <row r="48" ht="10" customHeight="1"/>
    <row r="49" ht="10" customHeight="1"/>
    <row r="50" ht="10" customHeight="1">
      <c r="A50" s="21" t="inlineStr">
        <is>
          <t>(D) Newbuild SAM by Hull Program — FY2026 ($K)</t>
        </is>
      </c>
      <c r="B50" s="22" t="n"/>
      <c r="C50" s="22" t="n"/>
      <c r="D50" s="22" t="n"/>
    </row>
    <row r="51" ht="10" customHeight="1">
      <c r="A51" s="20" t="inlineStr">
        <is>
          <t>Same funding as (B) broken down to individual hull programs — the level at which budget line items are traceable.</t>
        </is>
      </c>
    </row>
    <row r="52" ht="10" customHeight="1">
      <c r="A52" s="23" t="inlineStr">
        <is>
          <t>Hull Program</t>
        </is>
      </c>
      <c r="B52" s="23" t="inlineStr">
        <is>
          <t>Service</t>
        </is>
      </c>
      <c r="C52" s="23" t="inlineStr">
        <is>
          <t>FY2026 ($K)</t>
        </is>
      </c>
      <c r="D52" s="23" t="inlineStr">
        <is>
          <t>% of SAM</t>
        </is>
      </c>
    </row>
    <row r="53" ht="10" customHeight="1">
      <c r="A53" s="24" t="inlineStr">
        <is>
          <t>DDG (Surface Combatants)</t>
        </is>
      </c>
      <c r="B53" s="24" t="inlineStr">
        <is>
          <t>USN</t>
        </is>
      </c>
      <c r="C53" s="25">
        <f>SUMIFS(JB_R,JB_B,1,JB_H,"DDG",JB_S,"",JB_R,"&lt;&gt;")+SUMIFS(JB_N,JB_B,1,JB_H,"DDG",JB_S,"",JB_R,"",JB_N,"&lt;&gt;")+SUMIFS(JB_L,JB_B,1,JB_H,"DDG",JB_S,"",JB_R,"",JB_N,"")+SUMIFS(JB_R,JB_B,1,JB_H,"DDG",JB_S,"[PARENT]",JB_R,"&lt;&gt;")+SUMIFS(JB_N,JB_B,1,JB_H,"DDG",JB_S,"[PARENT]",JB_R,"",JB_N,"&lt;&gt;")+SUMIFS(JB_L,JB_B,1,JB_H,"DDG",JB_S,"[PARENT]",JB_R,"",JB_N,"")</f>
        <v/>
      </c>
      <c r="D53" s="31">
        <f>IFERROR(C53/C$67,0)</f>
        <v/>
      </c>
    </row>
    <row r="54" ht="10" customHeight="1">
      <c r="A54" s="24" t="inlineStr">
        <is>
          <t>LSM (Expeditionary &amp; Seabasing Ships)</t>
        </is>
      </c>
      <c r="B54" s="24" t="inlineStr">
        <is>
          <t>USN</t>
        </is>
      </c>
      <c r="C54" s="25">
        <f>SUMIFS(JB_R,JB_B,1,JB_H,"LSM",JB_S,"",JB_R,"&lt;&gt;")+SUMIFS(JB_N,JB_B,1,JB_H,"LSM",JB_S,"",JB_R,"",JB_N,"&lt;&gt;")+SUMIFS(JB_L,JB_B,1,JB_H,"LSM",JB_S,"",JB_R,"",JB_N,"")+SUMIFS(JB_R,JB_B,1,JB_H,"LSM",JB_S,"[PARENT]",JB_R,"&lt;&gt;")+SUMIFS(JB_N,JB_B,1,JB_H,"LSM",JB_S,"[PARENT]",JB_R,"",JB_N,"&lt;&gt;")+SUMIFS(JB_L,JB_B,1,JB_H,"LSM",JB_S,"[PARENT]",JB_R,"",JB_N,"")</f>
        <v/>
      </c>
      <c r="D54" s="31">
        <f>IFERROR(C54/C$67,0)</f>
        <v/>
      </c>
    </row>
    <row r="55" ht="10" customHeight="1">
      <c r="A55" s="24" t="inlineStr">
        <is>
          <t>T-AO (Combat Logistics Ships)</t>
        </is>
      </c>
      <c r="B55" s="24" t="inlineStr">
        <is>
          <t>MSC</t>
        </is>
      </c>
      <c r="C55" s="25">
        <f>SUMIFS(JB_R,JB_B,1,JB_H,"T-AO",JB_S,"",JB_R,"&lt;&gt;")+SUMIFS(JB_N,JB_B,1,JB_H,"T-AO",JB_S,"",JB_R,"",JB_N,"&lt;&gt;")+SUMIFS(JB_L,JB_B,1,JB_H,"T-AO",JB_S,"",JB_R,"",JB_N,"")+SUMIFS(JB_R,JB_B,1,JB_H,"T-AO",JB_S,"[PARENT]",JB_R,"&lt;&gt;")+SUMIFS(JB_N,JB_B,1,JB_H,"T-AO",JB_S,"[PARENT]",JB_R,"",JB_N,"&lt;&gt;")+SUMIFS(JB_L,JB_B,1,JB_H,"T-AO",JB_S,"[PARENT]",JB_R,"",JB_N,"")</f>
        <v/>
      </c>
      <c r="D55" s="31">
        <f>IFERROR(C55/C$67,0)</f>
        <v/>
      </c>
    </row>
    <row r="56" ht="10" customHeight="1">
      <c r="A56" s="24" t="inlineStr">
        <is>
          <t>MUSV (Unmanned Surface Vehicles)</t>
        </is>
      </c>
      <c r="B56" s="24" t="inlineStr">
        <is>
          <t>USN</t>
        </is>
      </c>
      <c r="C56" s="25">
        <f>SUMIFS(JB_R,JB_B,1,JB_H,"MUSV",JB_S,"",JB_R,"&lt;&gt;")+SUMIFS(JB_N,JB_B,1,JB_H,"MUSV",JB_S,"",JB_R,"",JB_N,"&lt;&gt;")+SUMIFS(JB_L,JB_B,1,JB_H,"MUSV",JB_S,"",JB_R,"",JB_N,"")+SUMIFS(JB_R,JB_B,1,JB_H,"MUSV",JB_S,"[PARENT]",JB_R,"&lt;&gt;")+SUMIFS(JB_N,JB_B,1,JB_H,"MUSV",JB_S,"[PARENT]",JB_R,"",JB_N,"&lt;&gt;")+SUMIFS(JB_L,JB_B,1,JB_H,"MUSV",JB_S,"[PARENT]",JB_R,"",JB_N,"")</f>
        <v/>
      </c>
      <c r="D56" s="31">
        <f>IFERROR(C56/C$67,0)</f>
        <v/>
      </c>
    </row>
    <row r="57" ht="10" customHeight="1">
      <c r="A57" s="24" t="inlineStr">
        <is>
          <t>LPD (Amphibious Warfare Ships)</t>
        </is>
      </c>
      <c r="B57" s="24" t="inlineStr">
        <is>
          <t>USN</t>
        </is>
      </c>
      <c r="C57" s="25">
        <f>SUMIFS(JB_R,JB_B,1,JB_H,"LPD",JB_S,"",JB_R,"&lt;&gt;")+SUMIFS(JB_N,JB_B,1,JB_H,"LPD",JB_S,"",JB_R,"",JB_N,"&lt;&gt;")+SUMIFS(JB_L,JB_B,1,JB_H,"LPD",JB_S,"",JB_R,"",JB_N,"")+SUMIFS(JB_R,JB_B,1,JB_H,"LPD",JB_S,"[PARENT]",JB_R,"&lt;&gt;")+SUMIFS(JB_N,JB_B,1,JB_H,"LPD",JB_S,"[PARENT]",JB_R,"",JB_N,"&lt;&gt;")+SUMIFS(JB_L,JB_B,1,JB_H,"LPD",JB_S,"[PARENT]",JB_R,"",JB_N,"")</f>
        <v/>
      </c>
      <c r="D57" s="31">
        <f>IFERROR(C57/C$67,0)</f>
        <v/>
      </c>
    </row>
    <row r="58" ht="10" customHeight="1">
      <c r="A58" s="24" t="inlineStr">
        <is>
          <t>T-AK / T-AKR (Cargo &amp; Vehicle Cargo Ships)</t>
        </is>
      </c>
      <c r="B58" s="24" t="inlineStr">
        <is>
          <t>MSC</t>
        </is>
      </c>
      <c r="C58" s="25">
        <f>SUMIFS(JB_R,JB_B,1,JB_H,"T-AK / T-AKR",JB_S,"",JB_R,"&lt;&gt;")+SUMIFS(JB_N,JB_B,1,JB_H,"T-AK / T-AKR",JB_S,"",JB_R,"",JB_N,"&lt;&gt;")+SUMIFS(JB_L,JB_B,1,JB_H,"T-AK / T-AKR",JB_S,"",JB_R,"",JB_N,"")+SUMIFS(JB_R,JB_B,1,JB_H,"T-AK / T-AKR",JB_S,"[PARENT]",JB_R,"&lt;&gt;")+SUMIFS(JB_N,JB_B,1,JB_H,"T-AK / T-AKR",JB_S,"[PARENT]",JB_R,"",JB_N,"&lt;&gt;")+SUMIFS(JB_L,JB_B,1,JB_H,"T-AK / T-AKR",JB_S,"[PARENT]",JB_R,"",JB_N,"")</f>
        <v/>
      </c>
      <c r="D58" s="31">
        <f>IFERROR(C58/C$67,0)</f>
        <v/>
      </c>
    </row>
    <row r="59" ht="10" customHeight="1">
      <c r="A59" s="24" t="inlineStr">
        <is>
          <t>LHA (Amphibious Warfare Ships)</t>
        </is>
      </c>
      <c r="B59" s="24" t="inlineStr">
        <is>
          <t>USN</t>
        </is>
      </c>
      <c r="C59" s="25">
        <f>SUMIFS(JB_R,JB_B,1,JB_H,"LHA",JB_S,"",JB_R,"&lt;&gt;")+SUMIFS(JB_N,JB_B,1,JB_H,"LHA",JB_S,"",JB_R,"",JB_N,"&lt;&gt;")+SUMIFS(JB_L,JB_B,1,JB_H,"LHA",JB_S,"",JB_R,"",JB_N,"")+SUMIFS(JB_R,JB_B,1,JB_H,"LHA",JB_S,"[PARENT]",JB_R,"&lt;&gt;")+SUMIFS(JB_N,JB_B,1,JB_H,"LHA",JB_S,"[PARENT]",JB_R,"",JB_N,"&lt;&gt;")+SUMIFS(JB_L,JB_B,1,JB_H,"LHA",JB_S,"[PARENT]",JB_R,"",JB_N,"")</f>
        <v/>
      </c>
      <c r="D59" s="31">
        <f>IFERROR(C59/C$67,0)</f>
        <v/>
      </c>
    </row>
    <row r="60" ht="10" customHeight="1">
      <c r="A60" s="24" t="inlineStr">
        <is>
          <t>T-AGOS (Surveillance Ships)</t>
        </is>
      </c>
      <c r="B60" s="24" t="inlineStr">
        <is>
          <t>MSC</t>
        </is>
      </c>
      <c r="C60" s="25">
        <f>SUMIFS(JB_R,JB_B,1,JB_H,"T-AGOS",JB_S,"",JB_R,"&lt;&gt;")+SUMIFS(JB_N,JB_B,1,JB_H,"T-AGOS",JB_S,"",JB_R,"",JB_N,"&lt;&gt;")+SUMIFS(JB_L,JB_B,1,JB_H,"T-AGOS",JB_S,"",JB_R,"",JB_N,"")+SUMIFS(JB_R,JB_B,1,JB_H,"T-AGOS",JB_S,"[PARENT]",JB_R,"&lt;&gt;")+SUMIFS(JB_N,JB_B,1,JB_H,"T-AGOS",JB_S,"[PARENT]",JB_R,"",JB_N,"&lt;&gt;")+SUMIFS(JB_L,JB_B,1,JB_H,"T-AGOS",JB_S,"[PARENT]",JB_R,"",JB_N,"")</f>
        <v/>
      </c>
      <c r="D60" s="31">
        <f>IFERROR(C60/C$67,0)</f>
        <v/>
      </c>
    </row>
    <row r="61" ht="10" customHeight="1">
      <c r="A61" s="24" t="inlineStr">
        <is>
          <t>FFG (Surface Combatants)</t>
        </is>
      </c>
      <c r="B61" s="24" t="inlineStr">
        <is>
          <t>USN</t>
        </is>
      </c>
      <c r="C61" s="25">
        <f>SUMIFS(JB_R,JB_B,1,JB_H,"FFG",JB_S,"",JB_R,"&lt;&gt;")+SUMIFS(JB_N,JB_B,1,JB_H,"FFG",JB_S,"",JB_R,"",JB_N,"&lt;&gt;")+SUMIFS(JB_L,JB_B,1,JB_H,"FFG",JB_S,"",JB_R,"",JB_N,"")+SUMIFS(JB_R,JB_B,1,JB_H,"FFG",JB_S,"[PARENT]",JB_R,"&lt;&gt;")+SUMIFS(JB_N,JB_B,1,JB_H,"FFG",JB_S,"[PARENT]",JB_R,"",JB_N,"&lt;&gt;")+SUMIFS(JB_L,JB_B,1,JB_H,"FFG",JB_S,"[PARENT]",JB_R,"",JB_N,"")</f>
        <v/>
      </c>
      <c r="D61" s="31">
        <f>IFERROR(C61/C$67,0)</f>
        <v/>
      </c>
    </row>
    <row r="62" ht="10" customHeight="1">
      <c r="A62" s="24" t="inlineStr">
        <is>
          <t>T-ATS (Salvage Ships &amp; Fleet Ocean Tugs)</t>
        </is>
      </c>
      <c r="B62" s="24" t="inlineStr">
        <is>
          <t>MSC</t>
        </is>
      </c>
      <c r="C62" s="25">
        <f>SUMIFS(JB_R,JB_B,1,JB_H,"T-ATS",JB_S,"",JB_R,"&lt;&gt;")+SUMIFS(JB_N,JB_B,1,JB_H,"T-ATS",JB_S,"",JB_R,"",JB_N,"&lt;&gt;")+SUMIFS(JB_L,JB_B,1,JB_H,"T-ATS",JB_S,"",JB_R,"",JB_N,"")+SUMIFS(JB_R,JB_B,1,JB_H,"T-ATS",JB_S,"[PARENT]",JB_R,"&lt;&gt;")+SUMIFS(JB_N,JB_B,1,JB_H,"T-ATS",JB_S,"[PARENT]",JB_R,"",JB_N,"&lt;&gt;")+SUMIFS(JB_L,JB_B,1,JB_H,"T-ATS",JB_S,"[PARENT]",JB_R,"",JB_N,"")</f>
        <v/>
      </c>
      <c r="D62" s="31">
        <f>IFERROR(C62/C$67,0)</f>
        <v/>
      </c>
    </row>
    <row r="63" ht="10" customHeight="1">
      <c r="A63" s="24" t="inlineStr">
        <is>
          <t>WMSM (Offshore Patrol Cutter)</t>
        </is>
      </c>
      <c r="B63" s="24" t="inlineStr">
        <is>
          <t>USCG</t>
        </is>
      </c>
      <c r="C63" s="25">
        <f>SUMIFS(JB_R,JB_B,1,JB_H,"WMSM",JB_S,"",JB_R,"&lt;&gt;")+SUMIFS(JB_N,JB_B,1,JB_H,"WMSM",JB_S,"",JB_R,"",JB_N,"&lt;&gt;")+SUMIFS(JB_L,JB_B,1,JB_H,"WMSM",JB_S,"",JB_R,"",JB_N,"")+SUMIFS(JB_R,JB_B,1,JB_H,"WMSM",JB_S,"[PARENT]",JB_R,"&lt;&gt;")+SUMIFS(JB_N,JB_B,1,JB_H,"WMSM",JB_S,"[PARENT]",JB_R,"",JB_N,"&lt;&gt;")+SUMIFS(JB_L,JB_B,1,JB_H,"WMSM",JB_S,"[PARENT]",JB_R,"",JB_N,"")</f>
        <v/>
      </c>
      <c r="D63" s="31">
        <f>IFERROR(C63/C$67,0)</f>
        <v/>
      </c>
    </row>
    <row r="64" ht="10" customHeight="1">
      <c r="A64" s="24" t="inlineStr">
        <is>
          <t>WPC (Fast Response Cutters)</t>
        </is>
      </c>
      <c r="B64" s="24" t="inlineStr">
        <is>
          <t>USCG</t>
        </is>
      </c>
      <c r="C64" s="25">
        <f>SUMIFS(JB_R,JB_B,1,JB_H,"WPC",JB_S,"",JB_R,"&lt;&gt;")+SUMIFS(JB_N,JB_B,1,JB_H,"WPC",JB_S,"",JB_R,"",JB_N,"&lt;&gt;")+SUMIFS(JB_L,JB_B,1,JB_H,"WPC",JB_S,"",JB_R,"",JB_N,"")+SUMIFS(JB_R,JB_B,1,JB_H,"WPC",JB_S,"[PARENT]",JB_R,"&lt;&gt;")+SUMIFS(JB_N,JB_B,1,JB_H,"WPC",JB_S,"[PARENT]",JB_R,"",JB_N,"&lt;&gt;")+SUMIFS(JB_L,JB_B,1,JB_H,"WPC",JB_S,"[PARENT]",JB_R,"",JB_N,"")</f>
        <v/>
      </c>
      <c r="D64" s="31">
        <f>IFERROR(C64/C$67,0)</f>
        <v/>
      </c>
    </row>
    <row r="65" ht="10" customHeight="1">
      <c r="A65" s="24" t="inlineStr">
        <is>
          <t>WAGB (Icebreakers, Oceangoing)</t>
        </is>
      </c>
      <c r="B65" s="24" t="inlineStr">
        <is>
          <t>USCG</t>
        </is>
      </c>
      <c r="C65" s="25">
        <f>SUMIFS(JB_R,JB_B,1,JB_H,"WAGB",JB_S,"",JB_R,"&lt;&gt;")+SUMIFS(JB_N,JB_B,1,JB_H,"WAGB",JB_S,"",JB_R,"",JB_N,"&lt;&gt;")+SUMIFS(JB_L,JB_B,1,JB_H,"WAGB",JB_S,"",JB_R,"",JB_N,"")+SUMIFS(JB_R,JB_B,1,JB_H,"WAGB",JB_S,"[PARENT]",JB_R,"&lt;&gt;")+SUMIFS(JB_N,JB_B,1,JB_H,"WAGB",JB_S,"[PARENT]",JB_R,"",JB_N,"&lt;&gt;")+SUMIFS(JB_L,JB_B,1,JB_H,"WAGB",JB_S,"[PARENT]",JB_R,"",JB_N,"")</f>
        <v/>
      </c>
      <c r="D65" s="31">
        <f>IFERROR(C65/C$67,0)</f>
        <v/>
      </c>
    </row>
    <row r="66" ht="10" customHeight="1">
      <c r="A66" s="24" t="inlineStr">
        <is>
          <t>WCC (Waterways Commerce Cutters)</t>
        </is>
      </c>
      <c r="B66" s="24" t="inlineStr">
        <is>
          <t>USCG</t>
        </is>
      </c>
      <c r="C66" s="25">
        <f>SUMIFS(JB_R,JB_B,1,JB_H,"WCC",JB_S,"",JB_R,"&lt;&gt;")+SUMIFS(JB_N,JB_B,1,JB_H,"WCC",JB_S,"",JB_R,"",JB_N,"&lt;&gt;")+SUMIFS(JB_L,JB_B,1,JB_H,"WCC",JB_S,"",JB_R,"",JB_N,"")+SUMIFS(JB_R,JB_B,1,JB_H,"WCC",JB_S,"[PARENT]",JB_R,"&lt;&gt;")+SUMIFS(JB_N,JB_B,1,JB_H,"WCC",JB_S,"[PARENT]",JB_R,"",JB_N,"&lt;&gt;")+SUMIFS(JB_L,JB_B,1,JB_H,"WCC",JB_S,"[PARENT]",JB_R,"",JB_N,"")</f>
        <v/>
      </c>
      <c r="D66" s="31">
        <f>IFERROR(C66/C$67,0)</f>
        <v/>
      </c>
    </row>
    <row r="67" ht="10" customHeight="1">
      <c r="A67" s="26" t="inlineStr">
        <is>
          <t>Newbuild SAM</t>
        </is>
      </c>
      <c r="B67" s="26" t="inlineStr"/>
      <c r="C67" s="27">
        <f>SUM(C53:C66)</f>
        <v/>
      </c>
      <c r="D67" s="32" t="n">
        <v>1</v>
      </c>
    </row>
    <row r="68" ht="10" customHeight="1"/>
    <row r="69" ht="10" customHeight="1"/>
    <row r="70" ht="10" customHeight="1">
      <c r="A70" s="21" t="inlineStr">
        <is>
          <t>(E) P-5c Gross Cost Category Breakdown by Hull — FY2026 ($K)</t>
        </is>
      </c>
      <c r="B70" s="22" t="n"/>
      <c r="C70" s="22" t="n"/>
      <c r="D70" s="22" t="n"/>
      <c r="E70" s="22" t="n"/>
      <c r="F70" s="22" t="n"/>
      <c r="G70" s="22" t="n"/>
      <c r="H70" s="22" t="n"/>
      <c r="I70" s="22" t="n"/>
      <c r="J70" s="22" t="n"/>
    </row>
    <row r="71" ht="10" customHeight="1">
      <c r="A71" s="20" t="inlineStr">
        <is>
          <t>Gross total-ship-estimate costs from Exhibit P-5c. These are pre-AP/SFF and will NOT match SAM net totals.</t>
        </is>
      </c>
    </row>
    <row r="72" ht="10" customHeight="1">
      <c r="A72" s="33" t="n"/>
      <c r="B72" s="34" t="inlineStr">
        <is>
          <t>USN</t>
        </is>
      </c>
      <c r="C72" s="33" t="n"/>
      <c r="D72" s="33" t="n"/>
      <c r="E72" s="33" t="n"/>
      <c r="F72" s="33" t="n"/>
      <c r="G72" s="33" t="n"/>
      <c r="H72" s="33" t="n"/>
      <c r="I72" s="33" t="n"/>
      <c r="J72" s="35" t="n"/>
    </row>
    <row r="73" ht="10" customHeight="1">
      <c r="A73" s="23" t="inlineStr">
        <is>
          <t>Cost Category</t>
        </is>
      </c>
      <c r="B73" s="36" t="inlineStr">
        <is>
          <t>DDG</t>
        </is>
      </c>
      <c r="C73" s="23" t="inlineStr">
        <is>
          <t>FFG</t>
        </is>
      </c>
      <c r="D73" s="23" t="inlineStr">
        <is>
          <t>LPD</t>
        </is>
      </c>
      <c r="E73" s="23" t="inlineStr">
        <is>
          <t>LHA</t>
        </is>
      </c>
      <c r="F73" s="23" t="inlineStr">
        <is>
          <t>T-AGOS</t>
        </is>
      </c>
      <c r="G73" s="23" t="inlineStr">
        <is>
          <t>T-EPF</t>
        </is>
      </c>
      <c r="H73" s="23" t="inlineStr">
        <is>
          <t>T-AO</t>
        </is>
      </c>
      <c r="I73" s="23" t="inlineStr">
        <is>
          <t>T-ATS</t>
        </is>
      </c>
      <c r="J73" s="36" t="inlineStr">
        <is>
          <t>Total</t>
        </is>
      </c>
    </row>
    <row r="74" ht="10" customHeight="1">
      <c r="A74" s="24" t="inlineStr">
        <is>
          <t>Plan Costs</t>
        </is>
      </c>
      <c r="B74" s="39">
        <f>SUMIFS(JB_R,JB_S,"[ALT_VIEW]",JB_B,1,JB_EX,"P-5c",JB_CC,"Plan Costs",JB_H,"DDG",JB_R,"&lt;&gt;")+SUMIFS(JB_N,JB_S,"[ALT_VIEW]",JB_B,1,JB_EX,"P-5c",JB_CC,"Plan Costs",JB_H,"DDG",JB_R,"",JB_N,"&lt;&gt;")+SUMIFS(JB_L,JB_S,"[ALT_VIEW]",JB_B,1,JB_EX,"P-5c",JB_CC,"Plan Costs",JB_H,"DDG",JB_R,"",JB_N,"")</f>
        <v/>
      </c>
      <c r="C74" s="25">
        <f>SUMIFS(JB_R,JB_S,"[ALT_VIEW]",JB_B,1,JB_EX,"P-5c",JB_CC,"Plan Costs",JB_H,"FFG",JB_R,"&lt;&gt;")+SUMIFS(JB_N,JB_S,"[ALT_VIEW]",JB_B,1,JB_EX,"P-5c",JB_CC,"Plan Costs",JB_H,"FFG",JB_R,"",JB_N,"&lt;&gt;")+SUMIFS(JB_L,JB_S,"[ALT_VIEW]",JB_B,1,JB_EX,"P-5c",JB_CC,"Plan Costs",JB_H,"FFG",JB_R,"",JB_N,"")</f>
        <v/>
      </c>
      <c r="D74" s="25">
        <f>SUMIFS(JB_R,JB_S,"[ALT_VIEW]",JB_B,1,JB_EX,"P-5c",JB_CC,"Plan Costs",JB_H,"LPD",JB_R,"&lt;&gt;")+SUMIFS(JB_N,JB_S,"[ALT_VIEW]",JB_B,1,JB_EX,"P-5c",JB_CC,"Plan Costs",JB_H,"LPD",JB_R,"",JB_N,"&lt;&gt;")+SUMIFS(JB_L,JB_S,"[ALT_VIEW]",JB_B,1,JB_EX,"P-5c",JB_CC,"Plan Costs",JB_H,"LPD",JB_R,"",JB_N,"")</f>
        <v/>
      </c>
      <c r="E74" s="25">
        <f>SUMIFS(JB_R,JB_S,"[ALT_VIEW]",JB_B,1,JB_EX,"P-5c",JB_CC,"Plan Costs",JB_H,"LHA",JB_R,"&lt;&gt;")+SUMIFS(JB_N,JB_S,"[ALT_VIEW]",JB_B,1,JB_EX,"P-5c",JB_CC,"Plan Costs",JB_H,"LHA",JB_R,"",JB_N,"&lt;&gt;")+SUMIFS(JB_L,JB_S,"[ALT_VIEW]",JB_B,1,JB_EX,"P-5c",JB_CC,"Plan Costs",JB_H,"LHA",JB_R,"",JB_N,"")</f>
        <v/>
      </c>
      <c r="F74" s="25">
        <f>SUMIFS(JB_R,JB_S,"[ALT_VIEW]",JB_B,1,JB_EX,"P-5c",JB_CC,"Plan Costs",JB_H,"T-AGOS",JB_R,"&lt;&gt;")+SUMIFS(JB_N,JB_S,"[ALT_VIEW]",JB_B,1,JB_EX,"P-5c",JB_CC,"Plan Costs",JB_H,"T-AGOS",JB_R,"",JB_N,"&lt;&gt;")+SUMIFS(JB_L,JB_S,"[ALT_VIEW]",JB_B,1,JB_EX,"P-5c",JB_CC,"Plan Costs",JB_H,"T-AGOS",JB_R,"",JB_N,"")</f>
        <v/>
      </c>
      <c r="G74" s="25">
        <f>SUMIFS(JB_R,JB_S,"[ALT_VIEW]",JB_B,1,JB_EX,"P-5c",JB_CC,"Plan Costs",JB_H,"T-EPF",JB_R,"&lt;&gt;")+SUMIFS(JB_N,JB_S,"[ALT_VIEW]",JB_B,1,JB_EX,"P-5c",JB_CC,"Plan Costs",JB_H,"T-EPF",JB_R,"",JB_N,"&lt;&gt;")+SUMIFS(JB_L,JB_S,"[ALT_VIEW]",JB_B,1,JB_EX,"P-5c",JB_CC,"Plan Costs",JB_H,"T-EPF",JB_R,"",JB_N,"")</f>
        <v/>
      </c>
      <c r="H74" s="25">
        <f>SUMIFS(JB_R,JB_S,"[ALT_VIEW]",JB_B,1,JB_EX,"P-5c",JB_CC,"Plan Costs",JB_H,"T-AO",JB_R,"&lt;&gt;")+SUMIFS(JB_N,JB_S,"[ALT_VIEW]",JB_B,1,JB_EX,"P-5c",JB_CC,"Plan Costs",JB_H,"T-AO",JB_R,"",JB_N,"&lt;&gt;")+SUMIFS(JB_L,JB_S,"[ALT_VIEW]",JB_B,1,JB_EX,"P-5c",JB_CC,"Plan Costs",JB_H,"T-AO",JB_R,"",JB_N,"")</f>
        <v/>
      </c>
      <c r="I74" s="25">
        <f>SUMIFS(JB_R,JB_S,"[ALT_VIEW]",JB_B,1,JB_EX,"P-5c",JB_CC,"Plan Costs",JB_H,"T-ATS",JB_R,"&lt;&gt;")+SUMIFS(JB_N,JB_S,"[ALT_VIEW]",JB_B,1,JB_EX,"P-5c",JB_CC,"Plan Costs",JB_H,"T-ATS",JB_R,"",JB_N,"&lt;&gt;")+SUMIFS(JB_L,JB_S,"[ALT_VIEW]",JB_B,1,JB_EX,"P-5c",JB_CC,"Plan Costs",JB_H,"T-ATS",JB_R,"",JB_N,"")</f>
        <v/>
      </c>
      <c r="J74" s="39">
        <f>SUM(B74:I74)</f>
        <v/>
      </c>
    </row>
    <row r="75" ht="10" customHeight="1">
      <c r="A75" s="24" t="inlineStr">
        <is>
          <t>Basic Construction</t>
        </is>
      </c>
      <c r="B75" s="39">
        <f>SUMIFS(JB_R,JB_S,"[ALT_VIEW]",JB_B,1,JB_EX,"P-5c",JB_CC,"Basic Construction",JB_H,"DDG",JB_R,"&lt;&gt;")+SUMIFS(JB_N,JB_S,"[ALT_VIEW]",JB_B,1,JB_EX,"P-5c",JB_CC,"Basic Construction",JB_H,"DDG",JB_R,"",JB_N,"&lt;&gt;")+SUMIFS(JB_L,JB_S,"[ALT_VIEW]",JB_B,1,JB_EX,"P-5c",JB_CC,"Basic Construction",JB_H,"DDG",JB_R,"",JB_N,"")</f>
        <v/>
      </c>
      <c r="C75" s="25">
        <f>SUMIFS(JB_R,JB_S,"[ALT_VIEW]",JB_B,1,JB_EX,"P-5c",JB_CC,"Basic Construction",JB_H,"FFG",JB_R,"&lt;&gt;")+SUMIFS(JB_N,JB_S,"[ALT_VIEW]",JB_B,1,JB_EX,"P-5c",JB_CC,"Basic Construction",JB_H,"FFG",JB_R,"",JB_N,"&lt;&gt;")+SUMIFS(JB_L,JB_S,"[ALT_VIEW]",JB_B,1,JB_EX,"P-5c",JB_CC,"Basic Construction",JB_H,"FFG",JB_R,"",JB_N,"")</f>
        <v/>
      </c>
      <c r="D75" s="25">
        <f>SUMIFS(JB_R,JB_S,"[ALT_VIEW]",JB_B,1,JB_EX,"P-5c",JB_CC,"Basic Construction",JB_H,"LPD",JB_R,"&lt;&gt;")+SUMIFS(JB_N,JB_S,"[ALT_VIEW]",JB_B,1,JB_EX,"P-5c",JB_CC,"Basic Construction",JB_H,"LPD",JB_R,"",JB_N,"&lt;&gt;")+SUMIFS(JB_L,JB_S,"[ALT_VIEW]",JB_B,1,JB_EX,"P-5c",JB_CC,"Basic Construction",JB_H,"LPD",JB_R,"",JB_N,"")</f>
        <v/>
      </c>
      <c r="E75" s="25">
        <f>SUMIFS(JB_R,JB_S,"[ALT_VIEW]",JB_B,1,JB_EX,"P-5c",JB_CC,"Basic Construction",JB_H,"LHA",JB_R,"&lt;&gt;")+SUMIFS(JB_N,JB_S,"[ALT_VIEW]",JB_B,1,JB_EX,"P-5c",JB_CC,"Basic Construction",JB_H,"LHA",JB_R,"",JB_N,"&lt;&gt;")+SUMIFS(JB_L,JB_S,"[ALT_VIEW]",JB_B,1,JB_EX,"P-5c",JB_CC,"Basic Construction",JB_H,"LHA",JB_R,"",JB_N,"")</f>
        <v/>
      </c>
      <c r="F75" s="25">
        <f>SUMIFS(JB_R,JB_S,"[ALT_VIEW]",JB_B,1,JB_EX,"P-5c",JB_CC,"Basic Construction",JB_H,"T-AGOS",JB_R,"&lt;&gt;")+SUMIFS(JB_N,JB_S,"[ALT_VIEW]",JB_B,1,JB_EX,"P-5c",JB_CC,"Basic Construction",JB_H,"T-AGOS",JB_R,"",JB_N,"&lt;&gt;")+SUMIFS(JB_L,JB_S,"[ALT_VIEW]",JB_B,1,JB_EX,"P-5c",JB_CC,"Basic Construction",JB_H,"T-AGOS",JB_R,"",JB_N,"")</f>
        <v/>
      </c>
      <c r="G75" s="25">
        <f>SUMIFS(JB_R,JB_S,"[ALT_VIEW]",JB_B,1,JB_EX,"P-5c",JB_CC,"Basic Construction",JB_H,"T-EPF",JB_R,"&lt;&gt;")+SUMIFS(JB_N,JB_S,"[ALT_VIEW]",JB_B,1,JB_EX,"P-5c",JB_CC,"Basic Construction",JB_H,"T-EPF",JB_R,"",JB_N,"&lt;&gt;")+SUMIFS(JB_L,JB_S,"[ALT_VIEW]",JB_B,1,JB_EX,"P-5c",JB_CC,"Basic Construction",JB_H,"T-EPF",JB_R,"",JB_N,"")</f>
        <v/>
      </c>
      <c r="H75" s="25">
        <f>SUMIFS(JB_R,JB_S,"[ALT_VIEW]",JB_B,1,JB_EX,"P-5c",JB_CC,"Basic Construction",JB_H,"T-AO",JB_R,"&lt;&gt;")+SUMIFS(JB_N,JB_S,"[ALT_VIEW]",JB_B,1,JB_EX,"P-5c",JB_CC,"Basic Construction",JB_H,"T-AO",JB_R,"",JB_N,"&lt;&gt;")+SUMIFS(JB_L,JB_S,"[ALT_VIEW]",JB_B,1,JB_EX,"P-5c",JB_CC,"Basic Construction",JB_H,"T-AO",JB_R,"",JB_N,"")</f>
        <v/>
      </c>
      <c r="I75" s="25">
        <f>SUMIFS(JB_R,JB_S,"[ALT_VIEW]",JB_B,1,JB_EX,"P-5c",JB_CC,"Basic Construction",JB_H,"T-ATS",JB_R,"&lt;&gt;")+SUMIFS(JB_N,JB_S,"[ALT_VIEW]",JB_B,1,JB_EX,"P-5c",JB_CC,"Basic Construction",JB_H,"T-ATS",JB_R,"",JB_N,"&lt;&gt;")+SUMIFS(JB_L,JB_S,"[ALT_VIEW]",JB_B,1,JB_EX,"P-5c",JB_CC,"Basic Construction",JB_H,"T-ATS",JB_R,"",JB_N,"")</f>
        <v/>
      </c>
      <c r="J75" s="39">
        <f>SUM(B75:I75)</f>
        <v/>
      </c>
    </row>
    <row r="76" ht="10" customHeight="1">
      <c r="A76" s="24" t="inlineStr">
        <is>
          <t>Change Orders</t>
        </is>
      </c>
      <c r="B76" s="39">
        <f>SUMIFS(JB_R,JB_S,"[ALT_VIEW]",JB_B,1,JB_EX,"P-5c",JB_CC,"Change Orders",JB_H,"DDG",JB_R,"&lt;&gt;")+SUMIFS(JB_N,JB_S,"[ALT_VIEW]",JB_B,1,JB_EX,"P-5c",JB_CC,"Change Orders",JB_H,"DDG",JB_R,"",JB_N,"&lt;&gt;")+SUMIFS(JB_L,JB_S,"[ALT_VIEW]",JB_B,1,JB_EX,"P-5c",JB_CC,"Change Orders",JB_H,"DDG",JB_R,"",JB_N,"")</f>
        <v/>
      </c>
      <c r="C76" s="25">
        <f>SUMIFS(JB_R,JB_S,"[ALT_VIEW]",JB_B,1,JB_EX,"P-5c",JB_CC,"Change Orders",JB_H,"FFG",JB_R,"&lt;&gt;")+SUMIFS(JB_N,JB_S,"[ALT_VIEW]",JB_B,1,JB_EX,"P-5c",JB_CC,"Change Orders",JB_H,"FFG",JB_R,"",JB_N,"&lt;&gt;")+SUMIFS(JB_L,JB_S,"[ALT_VIEW]",JB_B,1,JB_EX,"P-5c",JB_CC,"Change Orders",JB_H,"FFG",JB_R,"",JB_N,"")</f>
        <v/>
      </c>
      <c r="D76" s="25">
        <f>SUMIFS(JB_R,JB_S,"[ALT_VIEW]",JB_B,1,JB_EX,"P-5c",JB_CC,"Change Orders",JB_H,"LPD",JB_R,"&lt;&gt;")+SUMIFS(JB_N,JB_S,"[ALT_VIEW]",JB_B,1,JB_EX,"P-5c",JB_CC,"Change Orders",JB_H,"LPD",JB_R,"",JB_N,"&lt;&gt;")+SUMIFS(JB_L,JB_S,"[ALT_VIEW]",JB_B,1,JB_EX,"P-5c",JB_CC,"Change Orders",JB_H,"LPD",JB_R,"",JB_N,"")</f>
        <v/>
      </c>
      <c r="E76" s="25">
        <f>SUMIFS(JB_R,JB_S,"[ALT_VIEW]",JB_B,1,JB_EX,"P-5c",JB_CC,"Change Orders",JB_H,"LHA",JB_R,"&lt;&gt;")+SUMIFS(JB_N,JB_S,"[ALT_VIEW]",JB_B,1,JB_EX,"P-5c",JB_CC,"Change Orders",JB_H,"LHA",JB_R,"",JB_N,"&lt;&gt;")+SUMIFS(JB_L,JB_S,"[ALT_VIEW]",JB_B,1,JB_EX,"P-5c",JB_CC,"Change Orders",JB_H,"LHA",JB_R,"",JB_N,"")</f>
        <v/>
      </c>
      <c r="F76" s="25">
        <f>SUMIFS(JB_R,JB_S,"[ALT_VIEW]",JB_B,1,JB_EX,"P-5c",JB_CC,"Change Orders",JB_H,"T-AGOS",JB_R,"&lt;&gt;")+SUMIFS(JB_N,JB_S,"[ALT_VIEW]",JB_B,1,JB_EX,"P-5c",JB_CC,"Change Orders",JB_H,"T-AGOS",JB_R,"",JB_N,"&lt;&gt;")+SUMIFS(JB_L,JB_S,"[ALT_VIEW]",JB_B,1,JB_EX,"P-5c",JB_CC,"Change Orders",JB_H,"T-AGOS",JB_R,"",JB_N,"")</f>
        <v/>
      </c>
      <c r="G76" s="25">
        <f>SUMIFS(JB_R,JB_S,"[ALT_VIEW]",JB_B,1,JB_EX,"P-5c",JB_CC,"Change Orders",JB_H,"T-EPF",JB_R,"&lt;&gt;")+SUMIFS(JB_N,JB_S,"[ALT_VIEW]",JB_B,1,JB_EX,"P-5c",JB_CC,"Change Orders",JB_H,"T-EPF",JB_R,"",JB_N,"&lt;&gt;")+SUMIFS(JB_L,JB_S,"[ALT_VIEW]",JB_B,1,JB_EX,"P-5c",JB_CC,"Change Orders",JB_H,"T-EPF",JB_R,"",JB_N,"")</f>
        <v/>
      </c>
      <c r="H76" s="25">
        <f>SUMIFS(JB_R,JB_S,"[ALT_VIEW]",JB_B,1,JB_EX,"P-5c",JB_CC,"Change Orders",JB_H,"T-AO",JB_R,"&lt;&gt;")+SUMIFS(JB_N,JB_S,"[ALT_VIEW]",JB_B,1,JB_EX,"P-5c",JB_CC,"Change Orders",JB_H,"T-AO",JB_R,"",JB_N,"&lt;&gt;")+SUMIFS(JB_L,JB_S,"[ALT_VIEW]",JB_B,1,JB_EX,"P-5c",JB_CC,"Change Orders",JB_H,"T-AO",JB_R,"",JB_N,"")</f>
        <v/>
      </c>
      <c r="I76" s="25">
        <f>SUMIFS(JB_R,JB_S,"[ALT_VIEW]",JB_B,1,JB_EX,"P-5c",JB_CC,"Change Orders",JB_H,"T-ATS",JB_R,"&lt;&gt;")+SUMIFS(JB_N,JB_S,"[ALT_VIEW]",JB_B,1,JB_EX,"P-5c",JB_CC,"Change Orders",JB_H,"T-ATS",JB_R,"",JB_N,"&lt;&gt;")+SUMIFS(JB_L,JB_S,"[ALT_VIEW]",JB_B,1,JB_EX,"P-5c",JB_CC,"Change Orders",JB_H,"T-ATS",JB_R,"",JB_N,"")</f>
        <v/>
      </c>
      <c r="J76" s="39">
        <f>SUM(B76:I76)</f>
        <v/>
      </c>
    </row>
    <row r="77" ht="10" customHeight="1">
      <c r="A77" s="24" t="inlineStr">
        <is>
          <t>Electronics</t>
        </is>
      </c>
      <c r="B77" s="39">
        <f>SUMIFS(JB_R,JB_S,"[ALT_VIEW]",JB_B,1,JB_EX,"P-5c",JB_CC,"Electronics",JB_H,"DDG",JB_R,"&lt;&gt;")+SUMIFS(JB_N,JB_S,"[ALT_VIEW]",JB_B,1,JB_EX,"P-5c",JB_CC,"Electronics",JB_H,"DDG",JB_R,"",JB_N,"&lt;&gt;")+SUMIFS(JB_L,JB_S,"[ALT_VIEW]",JB_B,1,JB_EX,"P-5c",JB_CC,"Electronics",JB_H,"DDG",JB_R,"",JB_N,"")</f>
        <v/>
      </c>
      <c r="C77" s="25">
        <f>SUMIFS(JB_R,JB_S,"[ALT_VIEW]",JB_B,1,JB_EX,"P-5c",JB_CC,"Electronics",JB_H,"FFG",JB_R,"&lt;&gt;")+SUMIFS(JB_N,JB_S,"[ALT_VIEW]",JB_B,1,JB_EX,"P-5c",JB_CC,"Electronics",JB_H,"FFG",JB_R,"",JB_N,"&lt;&gt;")+SUMIFS(JB_L,JB_S,"[ALT_VIEW]",JB_B,1,JB_EX,"P-5c",JB_CC,"Electronics",JB_H,"FFG",JB_R,"",JB_N,"")</f>
        <v/>
      </c>
      <c r="D77" s="25">
        <f>SUMIFS(JB_R,JB_S,"[ALT_VIEW]",JB_B,1,JB_EX,"P-5c",JB_CC,"Electronics",JB_H,"LPD",JB_R,"&lt;&gt;")+SUMIFS(JB_N,JB_S,"[ALT_VIEW]",JB_B,1,JB_EX,"P-5c",JB_CC,"Electronics",JB_H,"LPD",JB_R,"",JB_N,"&lt;&gt;")+SUMIFS(JB_L,JB_S,"[ALT_VIEW]",JB_B,1,JB_EX,"P-5c",JB_CC,"Electronics",JB_H,"LPD",JB_R,"",JB_N,"")</f>
        <v/>
      </c>
      <c r="E77" s="25">
        <f>SUMIFS(JB_R,JB_S,"[ALT_VIEW]",JB_B,1,JB_EX,"P-5c",JB_CC,"Electronics",JB_H,"LHA",JB_R,"&lt;&gt;")+SUMIFS(JB_N,JB_S,"[ALT_VIEW]",JB_B,1,JB_EX,"P-5c",JB_CC,"Electronics",JB_H,"LHA",JB_R,"",JB_N,"&lt;&gt;")+SUMIFS(JB_L,JB_S,"[ALT_VIEW]",JB_B,1,JB_EX,"P-5c",JB_CC,"Electronics",JB_H,"LHA",JB_R,"",JB_N,"")</f>
        <v/>
      </c>
      <c r="F77" s="25">
        <f>SUMIFS(JB_R,JB_S,"[ALT_VIEW]",JB_B,1,JB_EX,"P-5c",JB_CC,"Electronics",JB_H,"T-AGOS",JB_R,"&lt;&gt;")+SUMIFS(JB_N,JB_S,"[ALT_VIEW]",JB_B,1,JB_EX,"P-5c",JB_CC,"Electronics",JB_H,"T-AGOS",JB_R,"",JB_N,"&lt;&gt;")+SUMIFS(JB_L,JB_S,"[ALT_VIEW]",JB_B,1,JB_EX,"P-5c",JB_CC,"Electronics",JB_H,"T-AGOS",JB_R,"",JB_N,"")</f>
        <v/>
      </c>
      <c r="G77" s="25">
        <f>SUMIFS(JB_R,JB_S,"[ALT_VIEW]",JB_B,1,JB_EX,"P-5c",JB_CC,"Electronics",JB_H,"T-EPF",JB_R,"&lt;&gt;")+SUMIFS(JB_N,JB_S,"[ALT_VIEW]",JB_B,1,JB_EX,"P-5c",JB_CC,"Electronics",JB_H,"T-EPF",JB_R,"",JB_N,"&lt;&gt;")+SUMIFS(JB_L,JB_S,"[ALT_VIEW]",JB_B,1,JB_EX,"P-5c",JB_CC,"Electronics",JB_H,"T-EPF",JB_R,"",JB_N,"")</f>
        <v/>
      </c>
      <c r="H77" s="25">
        <f>SUMIFS(JB_R,JB_S,"[ALT_VIEW]",JB_B,1,JB_EX,"P-5c",JB_CC,"Electronics",JB_H,"T-AO",JB_R,"&lt;&gt;")+SUMIFS(JB_N,JB_S,"[ALT_VIEW]",JB_B,1,JB_EX,"P-5c",JB_CC,"Electronics",JB_H,"T-AO",JB_R,"",JB_N,"&lt;&gt;")+SUMIFS(JB_L,JB_S,"[ALT_VIEW]",JB_B,1,JB_EX,"P-5c",JB_CC,"Electronics",JB_H,"T-AO",JB_R,"",JB_N,"")</f>
        <v/>
      </c>
      <c r="I77" s="25">
        <f>SUMIFS(JB_R,JB_S,"[ALT_VIEW]",JB_B,1,JB_EX,"P-5c",JB_CC,"Electronics",JB_H,"T-ATS",JB_R,"&lt;&gt;")+SUMIFS(JB_N,JB_S,"[ALT_VIEW]",JB_B,1,JB_EX,"P-5c",JB_CC,"Electronics",JB_H,"T-ATS",JB_R,"",JB_N,"&lt;&gt;")+SUMIFS(JB_L,JB_S,"[ALT_VIEW]",JB_B,1,JB_EX,"P-5c",JB_CC,"Electronics",JB_H,"T-ATS",JB_R,"",JB_N,"")</f>
        <v/>
      </c>
      <c r="J77" s="39">
        <f>SUM(B77:I77)</f>
        <v/>
      </c>
    </row>
    <row r="78" ht="10" customHeight="1">
      <c r="A78" s="24" t="inlineStr">
        <is>
          <t>Hull, Mechanical, and Electrical</t>
        </is>
      </c>
      <c r="B78" s="39">
        <f>SUMIFS(JB_R,JB_S,"[ALT_VIEW]",JB_B,1,JB_EX,"P-5c",JB_CC,"Hull, Mechanical, and Electrical",JB_H,"DDG",JB_R,"&lt;&gt;")+SUMIFS(JB_N,JB_S,"[ALT_VIEW]",JB_B,1,JB_EX,"P-5c",JB_CC,"Hull, Mechanical, and Electrical",JB_H,"DDG",JB_R,"",JB_N,"&lt;&gt;")+SUMIFS(JB_L,JB_S,"[ALT_VIEW]",JB_B,1,JB_EX,"P-5c",JB_CC,"Hull, Mechanical, and Electrical",JB_H,"DDG",JB_R,"",JB_N,"")</f>
        <v/>
      </c>
      <c r="C78" s="25">
        <f>SUMIFS(JB_R,JB_S,"[ALT_VIEW]",JB_B,1,JB_EX,"P-5c",JB_CC,"Hull, Mechanical, and Electrical",JB_H,"FFG",JB_R,"&lt;&gt;")+SUMIFS(JB_N,JB_S,"[ALT_VIEW]",JB_B,1,JB_EX,"P-5c",JB_CC,"Hull, Mechanical, and Electrical",JB_H,"FFG",JB_R,"",JB_N,"&lt;&gt;")+SUMIFS(JB_L,JB_S,"[ALT_VIEW]",JB_B,1,JB_EX,"P-5c",JB_CC,"Hull, Mechanical, and Electrical",JB_H,"FFG",JB_R,"",JB_N,"")</f>
        <v/>
      </c>
      <c r="D78" s="25">
        <f>SUMIFS(JB_R,JB_S,"[ALT_VIEW]",JB_B,1,JB_EX,"P-5c",JB_CC,"Hull, Mechanical, and Electrical",JB_H,"LPD",JB_R,"&lt;&gt;")+SUMIFS(JB_N,JB_S,"[ALT_VIEW]",JB_B,1,JB_EX,"P-5c",JB_CC,"Hull, Mechanical, and Electrical",JB_H,"LPD",JB_R,"",JB_N,"&lt;&gt;")+SUMIFS(JB_L,JB_S,"[ALT_VIEW]",JB_B,1,JB_EX,"P-5c",JB_CC,"Hull, Mechanical, and Electrical",JB_H,"LPD",JB_R,"",JB_N,"")</f>
        <v/>
      </c>
      <c r="E78" s="25">
        <f>SUMIFS(JB_R,JB_S,"[ALT_VIEW]",JB_B,1,JB_EX,"P-5c",JB_CC,"Hull, Mechanical, and Electrical",JB_H,"LHA",JB_R,"&lt;&gt;")+SUMIFS(JB_N,JB_S,"[ALT_VIEW]",JB_B,1,JB_EX,"P-5c",JB_CC,"Hull, Mechanical, and Electrical",JB_H,"LHA",JB_R,"",JB_N,"&lt;&gt;")+SUMIFS(JB_L,JB_S,"[ALT_VIEW]",JB_B,1,JB_EX,"P-5c",JB_CC,"Hull, Mechanical, and Electrical",JB_H,"LHA",JB_R,"",JB_N,"")</f>
        <v/>
      </c>
      <c r="F78" s="25">
        <f>SUMIFS(JB_R,JB_S,"[ALT_VIEW]",JB_B,1,JB_EX,"P-5c",JB_CC,"Hull, Mechanical, and Electrical",JB_H,"T-AGOS",JB_R,"&lt;&gt;")+SUMIFS(JB_N,JB_S,"[ALT_VIEW]",JB_B,1,JB_EX,"P-5c",JB_CC,"Hull, Mechanical, and Electrical",JB_H,"T-AGOS",JB_R,"",JB_N,"&lt;&gt;")+SUMIFS(JB_L,JB_S,"[ALT_VIEW]",JB_B,1,JB_EX,"P-5c",JB_CC,"Hull, Mechanical, and Electrical",JB_H,"T-AGOS",JB_R,"",JB_N,"")</f>
        <v/>
      </c>
      <c r="G78" s="25">
        <f>SUMIFS(JB_R,JB_S,"[ALT_VIEW]",JB_B,1,JB_EX,"P-5c",JB_CC,"Hull, Mechanical, and Electrical",JB_H,"T-EPF",JB_R,"&lt;&gt;")+SUMIFS(JB_N,JB_S,"[ALT_VIEW]",JB_B,1,JB_EX,"P-5c",JB_CC,"Hull, Mechanical, and Electrical",JB_H,"T-EPF",JB_R,"",JB_N,"&lt;&gt;")+SUMIFS(JB_L,JB_S,"[ALT_VIEW]",JB_B,1,JB_EX,"P-5c",JB_CC,"Hull, Mechanical, and Electrical",JB_H,"T-EPF",JB_R,"",JB_N,"")</f>
        <v/>
      </c>
      <c r="H78" s="25">
        <f>SUMIFS(JB_R,JB_S,"[ALT_VIEW]",JB_B,1,JB_EX,"P-5c",JB_CC,"Hull, Mechanical, and Electrical",JB_H,"T-AO",JB_R,"&lt;&gt;")+SUMIFS(JB_N,JB_S,"[ALT_VIEW]",JB_B,1,JB_EX,"P-5c",JB_CC,"Hull, Mechanical, and Electrical",JB_H,"T-AO",JB_R,"",JB_N,"&lt;&gt;")+SUMIFS(JB_L,JB_S,"[ALT_VIEW]",JB_B,1,JB_EX,"P-5c",JB_CC,"Hull, Mechanical, and Electrical",JB_H,"T-AO",JB_R,"",JB_N,"")</f>
        <v/>
      </c>
      <c r="I78" s="25">
        <f>SUMIFS(JB_R,JB_S,"[ALT_VIEW]",JB_B,1,JB_EX,"P-5c",JB_CC,"Hull, Mechanical, and Electrical",JB_H,"T-ATS",JB_R,"&lt;&gt;")+SUMIFS(JB_N,JB_S,"[ALT_VIEW]",JB_B,1,JB_EX,"P-5c",JB_CC,"Hull, Mechanical, and Electrical",JB_H,"T-ATS",JB_R,"",JB_N,"&lt;&gt;")+SUMIFS(JB_L,JB_S,"[ALT_VIEW]",JB_B,1,JB_EX,"P-5c",JB_CC,"Hull, Mechanical, and Electrical",JB_H,"T-ATS",JB_R,"",JB_N,"")</f>
        <v/>
      </c>
      <c r="J78" s="39">
        <f>SUM(B78:I78)</f>
        <v/>
      </c>
    </row>
    <row r="79" ht="10" customHeight="1">
      <c r="A79" s="24" t="inlineStr">
        <is>
          <t>Ordnance</t>
        </is>
      </c>
      <c r="B79" s="39">
        <f>SUMIFS(JB_R,JB_S,"[ALT_VIEW]",JB_B,1,JB_EX,"P-5c",JB_CC,"Ordnance",JB_H,"DDG",JB_R,"&lt;&gt;")+SUMIFS(JB_N,JB_S,"[ALT_VIEW]",JB_B,1,JB_EX,"P-5c",JB_CC,"Ordnance",JB_H,"DDG",JB_R,"",JB_N,"&lt;&gt;")+SUMIFS(JB_L,JB_S,"[ALT_VIEW]",JB_B,1,JB_EX,"P-5c",JB_CC,"Ordnance",JB_H,"DDG",JB_R,"",JB_N,"")</f>
        <v/>
      </c>
      <c r="C79" s="25">
        <f>SUMIFS(JB_R,JB_S,"[ALT_VIEW]",JB_B,1,JB_EX,"P-5c",JB_CC,"Ordnance",JB_H,"FFG",JB_R,"&lt;&gt;")+SUMIFS(JB_N,JB_S,"[ALT_VIEW]",JB_B,1,JB_EX,"P-5c",JB_CC,"Ordnance",JB_H,"FFG",JB_R,"",JB_N,"&lt;&gt;")+SUMIFS(JB_L,JB_S,"[ALT_VIEW]",JB_B,1,JB_EX,"P-5c",JB_CC,"Ordnance",JB_H,"FFG",JB_R,"",JB_N,"")</f>
        <v/>
      </c>
      <c r="D79" s="25">
        <f>SUMIFS(JB_R,JB_S,"[ALT_VIEW]",JB_B,1,JB_EX,"P-5c",JB_CC,"Ordnance",JB_H,"LPD",JB_R,"&lt;&gt;")+SUMIFS(JB_N,JB_S,"[ALT_VIEW]",JB_B,1,JB_EX,"P-5c",JB_CC,"Ordnance",JB_H,"LPD",JB_R,"",JB_N,"&lt;&gt;")+SUMIFS(JB_L,JB_S,"[ALT_VIEW]",JB_B,1,JB_EX,"P-5c",JB_CC,"Ordnance",JB_H,"LPD",JB_R,"",JB_N,"")</f>
        <v/>
      </c>
      <c r="E79" s="25">
        <f>SUMIFS(JB_R,JB_S,"[ALT_VIEW]",JB_B,1,JB_EX,"P-5c",JB_CC,"Ordnance",JB_H,"LHA",JB_R,"&lt;&gt;")+SUMIFS(JB_N,JB_S,"[ALT_VIEW]",JB_B,1,JB_EX,"P-5c",JB_CC,"Ordnance",JB_H,"LHA",JB_R,"",JB_N,"&lt;&gt;")+SUMIFS(JB_L,JB_S,"[ALT_VIEW]",JB_B,1,JB_EX,"P-5c",JB_CC,"Ordnance",JB_H,"LHA",JB_R,"",JB_N,"")</f>
        <v/>
      </c>
      <c r="F79" s="25">
        <f>SUMIFS(JB_R,JB_S,"[ALT_VIEW]",JB_B,1,JB_EX,"P-5c",JB_CC,"Ordnance",JB_H,"T-AGOS",JB_R,"&lt;&gt;")+SUMIFS(JB_N,JB_S,"[ALT_VIEW]",JB_B,1,JB_EX,"P-5c",JB_CC,"Ordnance",JB_H,"T-AGOS",JB_R,"",JB_N,"&lt;&gt;")+SUMIFS(JB_L,JB_S,"[ALT_VIEW]",JB_B,1,JB_EX,"P-5c",JB_CC,"Ordnance",JB_H,"T-AGOS",JB_R,"",JB_N,"")</f>
        <v/>
      </c>
      <c r="G79" s="25">
        <f>SUMIFS(JB_R,JB_S,"[ALT_VIEW]",JB_B,1,JB_EX,"P-5c",JB_CC,"Ordnance",JB_H,"T-EPF",JB_R,"&lt;&gt;")+SUMIFS(JB_N,JB_S,"[ALT_VIEW]",JB_B,1,JB_EX,"P-5c",JB_CC,"Ordnance",JB_H,"T-EPF",JB_R,"",JB_N,"&lt;&gt;")+SUMIFS(JB_L,JB_S,"[ALT_VIEW]",JB_B,1,JB_EX,"P-5c",JB_CC,"Ordnance",JB_H,"T-EPF",JB_R,"",JB_N,"")</f>
        <v/>
      </c>
      <c r="H79" s="25">
        <f>SUMIFS(JB_R,JB_S,"[ALT_VIEW]",JB_B,1,JB_EX,"P-5c",JB_CC,"Ordnance",JB_H,"T-AO",JB_R,"&lt;&gt;")+SUMIFS(JB_N,JB_S,"[ALT_VIEW]",JB_B,1,JB_EX,"P-5c",JB_CC,"Ordnance",JB_H,"T-AO",JB_R,"",JB_N,"&lt;&gt;")+SUMIFS(JB_L,JB_S,"[ALT_VIEW]",JB_B,1,JB_EX,"P-5c",JB_CC,"Ordnance",JB_H,"T-AO",JB_R,"",JB_N,"")</f>
        <v/>
      </c>
      <c r="I79" s="25">
        <f>SUMIFS(JB_R,JB_S,"[ALT_VIEW]",JB_B,1,JB_EX,"P-5c",JB_CC,"Ordnance",JB_H,"T-ATS",JB_R,"&lt;&gt;")+SUMIFS(JB_N,JB_S,"[ALT_VIEW]",JB_B,1,JB_EX,"P-5c",JB_CC,"Ordnance",JB_H,"T-ATS",JB_R,"",JB_N,"&lt;&gt;")+SUMIFS(JB_L,JB_S,"[ALT_VIEW]",JB_B,1,JB_EX,"P-5c",JB_CC,"Ordnance",JB_H,"T-ATS",JB_R,"",JB_N,"")</f>
        <v/>
      </c>
      <c r="J79" s="39">
        <f>SUM(B79:I79)</f>
        <v/>
      </c>
    </row>
    <row r="80" ht="10" customHeight="1">
      <c r="A80" s="24" t="inlineStr">
        <is>
          <t>Other Cost</t>
        </is>
      </c>
      <c r="B80" s="39">
        <f>SUMIFS(JB_R,JB_S,"[ALT_VIEW]",JB_B,1,JB_EX,"P-5c",JB_CC,"Other Cost",JB_H,"DDG",JB_R,"&lt;&gt;")+SUMIFS(JB_N,JB_S,"[ALT_VIEW]",JB_B,1,JB_EX,"P-5c",JB_CC,"Other Cost",JB_H,"DDG",JB_R,"",JB_N,"&lt;&gt;")+SUMIFS(JB_L,JB_S,"[ALT_VIEW]",JB_B,1,JB_EX,"P-5c",JB_CC,"Other Cost",JB_H,"DDG",JB_R,"",JB_N,"")</f>
        <v/>
      </c>
      <c r="C80" s="25">
        <f>SUMIFS(JB_R,JB_S,"[ALT_VIEW]",JB_B,1,JB_EX,"P-5c",JB_CC,"Other Cost",JB_H,"FFG",JB_R,"&lt;&gt;")+SUMIFS(JB_N,JB_S,"[ALT_VIEW]",JB_B,1,JB_EX,"P-5c",JB_CC,"Other Cost",JB_H,"FFG",JB_R,"",JB_N,"&lt;&gt;")+SUMIFS(JB_L,JB_S,"[ALT_VIEW]",JB_B,1,JB_EX,"P-5c",JB_CC,"Other Cost",JB_H,"FFG",JB_R,"",JB_N,"")</f>
        <v/>
      </c>
      <c r="D80" s="25">
        <f>SUMIFS(JB_R,JB_S,"[ALT_VIEW]",JB_B,1,JB_EX,"P-5c",JB_CC,"Other Cost",JB_H,"LPD",JB_R,"&lt;&gt;")+SUMIFS(JB_N,JB_S,"[ALT_VIEW]",JB_B,1,JB_EX,"P-5c",JB_CC,"Other Cost",JB_H,"LPD",JB_R,"",JB_N,"&lt;&gt;")+SUMIFS(JB_L,JB_S,"[ALT_VIEW]",JB_B,1,JB_EX,"P-5c",JB_CC,"Other Cost",JB_H,"LPD",JB_R,"",JB_N,"")</f>
        <v/>
      </c>
      <c r="E80" s="25">
        <f>SUMIFS(JB_R,JB_S,"[ALT_VIEW]",JB_B,1,JB_EX,"P-5c",JB_CC,"Other Cost",JB_H,"LHA",JB_R,"&lt;&gt;")+SUMIFS(JB_N,JB_S,"[ALT_VIEW]",JB_B,1,JB_EX,"P-5c",JB_CC,"Other Cost",JB_H,"LHA",JB_R,"",JB_N,"&lt;&gt;")+SUMIFS(JB_L,JB_S,"[ALT_VIEW]",JB_B,1,JB_EX,"P-5c",JB_CC,"Other Cost",JB_H,"LHA",JB_R,"",JB_N,"")</f>
        <v/>
      </c>
      <c r="F80" s="25">
        <f>SUMIFS(JB_R,JB_S,"[ALT_VIEW]",JB_B,1,JB_EX,"P-5c",JB_CC,"Other Cost",JB_H,"T-AGOS",JB_R,"&lt;&gt;")+SUMIFS(JB_N,JB_S,"[ALT_VIEW]",JB_B,1,JB_EX,"P-5c",JB_CC,"Other Cost",JB_H,"T-AGOS",JB_R,"",JB_N,"&lt;&gt;")+SUMIFS(JB_L,JB_S,"[ALT_VIEW]",JB_B,1,JB_EX,"P-5c",JB_CC,"Other Cost",JB_H,"T-AGOS",JB_R,"",JB_N,"")</f>
        <v/>
      </c>
      <c r="G80" s="25">
        <f>SUMIFS(JB_R,JB_S,"[ALT_VIEW]",JB_B,1,JB_EX,"P-5c",JB_CC,"Other Cost",JB_H,"T-EPF",JB_R,"&lt;&gt;")+SUMIFS(JB_N,JB_S,"[ALT_VIEW]",JB_B,1,JB_EX,"P-5c",JB_CC,"Other Cost",JB_H,"T-EPF",JB_R,"",JB_N,"&lt;&gt;")+SUMIFS(JB_L,JB_S,"[ALT_VIEW]",JB_B,1,JB_EX,"P-5c",JB_CC,"Other Cost",JB_H,"T-EPF",JB_R,"",JB_N,"")</f>
        <v/>
      </c>
      <c r="H80" s="25">
        <f>SUMIFS(JB_R,JB_S,"[ALT_VIEW]",JB_B,1,JB_EX,"P-5c",JB_CC,"Other Cost",JB_H,"T-AO",JB_R,"&lt;&gt;")+SUMIFS(JB_N,JB_S,"[ALT_VIEW]",JB_B,1,JB_EX,"P-5c",JB_CC,"Other Cost",JB_H,"T-AO",JB_R,"",JB_N,"&lt;&gt;")+SUMIFS(JB_L,JB_S,"[ALT_VIEW]",JB_B,1,JB_EX,"P-5c",JB_CC,"Other Cost",JB_H,"T-AO",JB_R,"",JB_N,"")</f>
        <v/>
      </c>
      <c r="I80" s="25">
        <f>SUMIFS(JB_R,JB_S,"[ALT_VIEW]",JB_B,1,JB_EX,"P-5c",JB_CC,"Other Cost",JB_H,"T-ATS",JB_R,"&lt;&gt;")+SUMIFS(JB_N,JB_S,"[ALT_VIEW]",JB_B,1,JB_EX,"P-5c",JB_CC,"Other Cost",JB_H,"T-ATS",JB_R,"",JB_N,"&lt;&gt;")+SUMIFS(JB_L,JB_S,"[ALT_VIEW]",JB_B,1,JB_EX,"P-5c",JB_CC,"Other Cost",JB_H,"T-ATS",JB_R,"",JB_N,"")</f>
        <v/>
      </c>
      <c r="J80" s="39">
        <f>SUM(B80:I80)</f>
        <v/>
      </c>
    </row>
    <row r="81" ht="10" customHeight="1">
      <c r="A81" s="26" t="inlineStr">
        <is>
          <t>Gross Total ($K)</t>
        </is>
      </c>
      <c r="B81" s="38">
        <f>SUM(B74:B80)</f>
        <v/>
      </c>
      <c r="C81" s="27">
        <f>SUM(C74:C80)</f>
        <v/>
      </c>
      <c r="D81" s="27">
        <f>SUM(D74:D80)</f>
        <v/>
      </c>
      <c r="E81" s="27">
        <f>SUM(E74:E80)</f>
        <v/>
      </c>
      <c r="F81" s="27">
        <f>SUM(F74:F80)</f>
        <v/>
      </c>
      <c r="G81" s="27">
        <f>SUM(G74:G80)</f>
        <v/>
      </c>
      <c r="H81" s="27">
        <f>SUM(H74:H80)</f>
        <v/>
      </c>
      <c r="I81" s="27">
        <f>SUM(I74:I80)</f>
        <v/>
      </c>
      <c r="J81" s="38">
        <f>SUM(J74:J80)</f>
        <v/>
      </c>
    </row>
    <row r="82" ht="10" customHeight="1"/>
    <row r="83" ht="10" customHeight="1">
      <c r="A83" s="40" t="inlineStr">
        <is>
          <t>Cost category mix (% of gross total per hull program)</t>
        </is>
      </c>
      <c r="B83" s="35" t="n"/>
      <c r="C83" s="33" t="n"/>
      <c r="D83" s="33" t="n"/>
      <c r="E83" s="33" t="n"/>
      <c r="F83" s="33" t="n"/>
      <c r="G83" s="33" t="n"/>
      <c r="H83" s="33" t="n"/>
      <c r="I83" s="33" t="n"/>
      <c r="J83" s="35" t="n"/>
    </row>
    <row r="84" ht="10" customHeight="1">
      <c r="A84" s="23" t="inlineStr">
        <is>
          <t>Cost Category</t>
        </is>
      </c>
      <c r="B84" s="36" t="inlineStr">
        <is>
          <t>DDG</t>
        </is>
      </c>
      <c r="C84" s="23" t="inlineStr">
        <is>
          <t>FFG</t>
        </is>
      </c>
      <c r="D84" s="23" t="inlineStr">
        <is>
          <t>LPD</t>
        </is>
      </c>
      <c r="E84" s="23" t="inlineStr">
        <is>
          <t>LHA</t>
        </is>
      </c>
      <c r="F84" s="23" t="inlineStr">
        <is>
          <t>T-AGOS</t>
        </is>
      </c>
      <c r="G84" s="23" t="inlineStr">
        <is>
          <t>T-EPF</t>
        </is>
      </c>
      <c r="H84" s="23" t="inlineStr">
        <is>
          <t>T-AO</t>
        </is>
      </c>
      <c r="I84" s="23" t="inlineStr">
        <is>
          <t>T-ATS</t>
        </is>
      </c>
      <c r="J84" s="36" t="inlineStr">
        <is>
          <t>Total</t>
        </is>
      </c>
    </row>
    <row r="85" ht="10" customHeight="1">
      <c r="A85" s="24" t="inlineStr">
        <is>
          <t>Plan Costs</t>
        </is>
      </c>
      <c r="B85" s="37">
        <f>IFERROR(B74/B$81,0)</f>
        <v/>
      </c>
      <c r="C85" s="31">
        <f>IFERROR(C74/C$81,0)</f>
        <v/>
      </c>
      <c r="D85" s="31">
        <f>IFERROR(D74/D$81,0)</f>
        <v/>
      </c>
      <c r="E85" s="31">
        <f>IFERROR(E74/E$81,0)</f>
        <v/>
      </c>
      <c r="F85" s="31">
        <f>IFERROR(F74/F$81,0)</f>
        <v/>
      </c>
      <c r="G85" s="31">
        <f>IFERROR(G74/G$81,0)</f>
        <v/>
      </c>
      <c r="H85" s="31">
        <f>IFERROR(H74/H$81,0)</f>
        <v/>
      </c>
      <c r="I85" s="31">
        <f>IFERROR(I74/I$81,0)</f>
        <v/>
      </c>
      <c r="J85" s="37">
        <f>IFERROR(J74/J$81,0)</f>
        <v/>
      </c>
    </row>
    <row r="86" ht="10" customHeight="1">
      <c r="A86" s="24" t="inlineStr">
        <is>
          <t>Basic Construction</t>
        </is>
      </c>
      <c r="B86" s="37">
        <f>IFERROR(B75/B$81,0)</f>
        <v/>
      </c>
      <c r="C86" s="31">
        <f>IFERROR(C75/C$81,0)</f>
        <v/>
      </c>
      <c r="D86" s="31">
        <f>IFERROR(D75/D$81,0)</f>
        <v/>
      </c>
      <c r="E86" s="31">
        <f>IFERROR(E75/E$81,0)</f>
        <v/>
      </c>
      <c r="F86" s="31">
        <f>IFERROR(F75/F$81,0)</f>
        <v/>
      </c>
      <c r="G86" s="31">
        <f>IFERROR(G75/G$81,0)</f>
        <v/>
      </c>
      <c r="H86" s="31">
        <f>IFERROR(H75/H$81,0)</f>
        <v/>
      </c>
      <c r="I86" s="31">
        <f>IFERROR(I75/I$81,0)</f>
        <v/>
      </c>
      <c r="J86" s="37">
        <f>IFERROR(J75/J$81,0)</f>
        <v/>
      </c>
    </row>
    <row r="87" ht="10" customHeight="1">
      <c r="A87" s="24" t="inlineStr">
        <is>
          <t>Change Orders</t>
        </is>
      </c>
      <c r="B87" s="37">
        <f>IFERROR(B76/B$81,0)</f>
        <v/>
      </c>
      <c r="C87" s="31">
        <f>IFERROR(C76/C$81,0)</f>
        <v/>
      </c>
      <c r="D87" s="31">
        <f>IFERROR(D76/D$81,0)</f>
        <v/>
      </c>
      <c r="E87" s="31">
        <f>IFERROR(E76/E$81,0)</f>
        <v/>
      </c>
      <c r="F87" s="31">
        <f>IFERROR(F76/F$81,0)</f>
        <v/>
      </c>
      <c r="G87" s="31">
        <f>IFERROR(G76/G$81,0)</f>
        <v/>
      </c>
      <c r="H87" s="31">
        <f>IFERROR(H76/H$81,0)</f>
        <v/>
      </c>
      <c r="I87" s="31">
        <f>IFERROR(I76/I$81,0)</f>
        <v/>
      </c>
      <c r="J87" s="37">
        <f>IFERROR(J76/J$81,0)</f>
        <v/>
      </c>
    </row>
    <row r="88" ht="10" customHeight="1">
      <c r="A88" s="24" t="inlineStr">
        <is>
          <t>Electronics</t>
        </is>
      </c>
      <c r="B88" s="37">
        <f>IFERROR(B77/B$81,0)</f>
        <v/>
      </c>
      <c r="C88" s="31">
        <f>IFERROR(C77/C$81,0)</f>
        <v/>
      </c>
      <c r="D88" s="31">
        <f>IFERROR(D77/D$81,0)</f>
        <v/>
      </c>
      <c r="E88" s="31">
        <f>IFERROR(E77/E$81,0)</f>
        <v/>
      </c>
      <c r="F88" s="31">
        <f>IFERROR(F77/F$81,0)</f>
        <v/>
      </c>
      <c r="G88" s="31">
        <f>IFERROR(G77/G$81,0)</f>
        <v/>
      </c>
      <c r="H88" s="31">
        <f>IFERROR(H77/H$81,0)</f>
        <v/>
      </c>
      <c r="I88" s="31">
        <f>IFERROR(I77/I$81,0)</f>
        <v/>
      </c>
      <c r="J88" s="37">
        <f>IFERROR(J77/J$81,0)</f>
        <v/>
      </c>
    </row>
    <row r="89" ht="10" customHeight="1">
      <c r="A89" s="24" t="inlineStr">
        <is>
          <t>Hull, Mechanical, and Electrical</t>
        </is>
      </c>
      <c r="B89" s="37">
        <f>IFERROR(B78/B$81,0)</f>
        <v/>
      </c>
      <c r="C89" s="31">
        <f>IFERROR(C78/C$81,0)</f>
        <v/>
      </c>
      <c r="D89" s="31">
        <f>IFERROR(D78/D$81,0)</f>
        <v/>
      </c>
      <c r="E89" s="31">
        <f>IFERROR(E78/E$81,0)</f>
        <v/>
      </c>
      <c r="F89" s="31">
        <f>IFERROR(F78/F$81,0)</f>
        <v/>
      </c>
      <c r="G89" s="31">
        <f>IFERROR(G78/G$81,0)</f>
        <v/>
      </c>
      <c r="H89" s="31">
        <f>IFERROR(H78/H$81,0)</f>
        <v/>
      </c>
      <c r="I89" s="31">
        <f>IFERROR(I78/I$81,0)</f>
        <v/>
      </c>
      <c r="J89" s="37">
        <f>IFERROR(J78/J$81,0)</f>
        <v/>
      </c>
    </row>
    <row r="90" ht="10" customHeight="1">
      <c r="A90" s="24" t="inlineStr">
        <is>
          <t>Ordnance</t>
        </is>
      </c>
      <c r="B90" s="37">
        <f>IFERROR(B79/B$81,0)</f>
        <v/>
      </c>
      <c r="C90" s="31">
        <f>IFERROR(C79/C$81,0)</f>
        <v/>
      </c>
      <c r="D90" s="31">
        <f>IFERROR(D79/D$81,0)</f>
        <v/>
      </c>
      <c r="E90" s="31">
        <f>IFERROR(E79/E$81,0)</f>
        <v/>
      </c>
      <c r="F90" s="31">
        <f>IFERROR(F79/F$81,0)</f>
        <v/>
      </c>
      <c r="G90" s="31">
        <f>IFERROR(G79/G$81,0)</f>
        <v/>
      </c>
      <c r="H90" s="31">
        <f>IFERROR(H79/H$81,0)</f>
        <v/>
      </c>
      <c r="I90" s="31">
        <f>IFERROR(I79/I$81,0)</f>
        <v/>
      </c>
      <c r="J90" s="37">
        <f>IFERROR(J79/J$81,0)</f>
        <v/>
      </c>
    </row>
    <row r="91" ht="10" customHeight="1">
      <c r="A91" s="24" t="inlineStr">
        <is>
          <t>Other Cost</t>
        </is>
      </c>
      <c r="B91" s="37">
        <f>IFERROR(B80/B$81,0)</f>
        <v/>
      </c>
      <c r="C91" s="31">
        <f>IFERROR(C80/C$81,0)</f>
        <v/>
      </c>
      <c r="D91" s="31">
        <f>IFERROR(D80/D$81,0)</f>
        <v/>
      </c>
      <c r="E91" s="31">
        <f>IFERROR(E80/E$81,0)</f>
        <v/>
      </c>
      <c r="F91" s="31">
        <f>IFERROR(F80/F$81,0)</f>
        <v/>
      </c>
      <c r="G91" s="31">
        <f>IFERROR(G80/G$81,0)</f>
        <v/>
      </c>
      <c r="H91" s="31">
        <f>IFERROR(H80/H$81,0)</f>
        <v/>
      </c>
      <c r="I91" s="31">
        <f>IFERROR(I80/I$81,0)</f>
        <v/>
      </c>
      <c r="J91" s="37">
        <f>IFERROR(J80/J$81,0)</f>
        <v/>
      </c>
    </row>
    <row r="92" ht="10" customHeight="1">
      <c r="A92" s="26" t="inlineStr">
        <is>
          <t>Total</t>
        </is>
      </c>
      <c r="B92" s="41" t="n">
        <v>1</v>
      </c>
      <c r="C92" s="32" t="n">
        <v>1</v>
      </c>
      <c r="D92" s="32" t="n">
        <v>1</v>
      </c>
      <c r="E92" s="32" t="n">
        <v>1</v>
      </c>
      <c r="F92" s="32" t="n">
        <v>1</v>
      </c>
      <c r="G92" s="32" t="n">
        <v>1</v>
      </c>
      <c r="H92" s="32" t="n">
        <v>1</v>
      </c>
      <c r="I92" s="32" t="n">
        <v>1</v>
      </c>
      <c r="J92" s="41" t="n">
        <v>1</v>
      </c>
    </row>
    <row r="93" ht="10" customHeight="1"/>
    <row r="94" ht="10" customHeight="1"/>
    <row r="95" ht="10" customHeight="1">
      <c r="A95" s="21" t="inlineStr">
        <is>
          <t>(F) Proportional Cost Category Allocation to SAM Net Totals — FY2026 ($K)</t>
        </is>
      </c>
      <c r="B95" s="22" t="n"/>
      <c r="C95" s="22" t="n"/>
      <c r="D95" s="22" t="n"/>
      <c r="E95" s="22" t="n"/>
      <c r="F95" s="22" t="n"/>
      <c r="G95" s="22" t="n"/>
      <c r="H95" s="22" t="n"/>
      <c r="I95" s="22" t="n"/>
      <c r="J95" s="22" t="n"/>
    </row>
    <row r="96" ht="10" customHeight="1">
      <c r="A96" s="20" t="inlineStr">
        <is>
          <t>P-5c percentage mix from (E) applied to SAM net budget-authority totals from (D). Totals reconcile to SAM.</t>
        </is>
      </c>
    </row>
    <row r="97" ht="10" customHeight="1">
      <c r="A97" s="33" t="n"/>
      <c r="B97" s="34" t="inlineStr">
        <is>
          <t>USN</t>
        </is>
      </c>
      <c r="C97" s="33" t="n"/>
      <c r="D97" s="33" t="n"/>
      <c r="E97" s="33" t="n"/>
      <c r="F97" s="33" t="n"/>
      <c r="G97" s="33" t="n"/>
      <c r="H97" s="33" t="n"/>
      <c r="I97" s="33" t="n"/>
      <c r="J97" s="35" t="n"/>
    </row>
    <row r="98" ht="10" customHeight="1">
      <c r="A98" s="23" t="inlineStr">
        <is>
          <t>Cost Category</t>
        </is>
      </c>
      <c r="B98" s="36" t="inlineStr">
        <is>
          <t>DDG</t>
        </is>
      </c>
      <c r="C98" s="23" t="inlineStr">
        <is>
          <t>FFG</t>
        </is>
      </c>
      <c r="D98" s="23" t="inlineStr">
        <is>
          <t>LPD</t>
        </is>
      </c>
      <c r="E98" s="23" t="inlineStr">
        <is>
          <t>LHA</t>
        </is>
      </c>
      <c r="F98" s="23" t="inlineStr">
        <is>
          <t>T-AGOS</t>
        </is>
      </c>
      <c r="G98" s="23" t="inlineStr">
        <is>
          <t>T-EPF</t>
        </is>
      </c>
      <c r="H98" s="23" t="inlineStr">
        <is>
          <t>T-AO</t>
        </is>
      </c>
      <c r="I98" s="23" t="inlineStr">
        <is>
          <t>T-ATS</t>
        </is>
      </c>
      <c r="J98" s="36" t="inlineStr">
        <is>
          <t>Total</t>
        </is>
      </c>
    </row>
    <row r="99" ht="10" customHeight="1">
      <c r="A99" s="29" t="inlineStr">
        <is>
          <t>SAM Net Total ($K)</t>
        </is>
      </c>
      <c r="B99" s="42">
        <f>SUMIFS(JB_R,JB_B,1,JB_H,"DDG",JB_S,"",JB_R,"&lt;&gt;")+SUMIFS(JB_N,JB_B,1,JB_H,"DDG",JB_S,"",JB_R,"",JB_N,"&lt;&gt;")+SUMIFS(JB_L,JB_B,1,JB_H,"DDG",JB_S,"",JB_R,"",JB_N,"")+SUMIFS(JB_R,JB_B,1,JB_H,"DDG",JB_S,"[PARENT]",JB_R,"&lt;&gt;")+SUMIFS(JB_N,JB_B,1,JB_H,"DDG",JB_S,"[PARENT]",JB_R,"",JB_N,"&lt;&gt;")+SUMIFS(JB_L,JB_B,1,JB_H,"DDG",JB_S,"[PARENT]",JB_R,"",JB_N,"")</f>
        <v/>
      </c>
      <c r="C99" s="30">
        <f>SUMIFS(JB_R,JB_B,1,JB_H,"FFG",JB_S,"",JB_R,"&lt;&gt;")+SUMIFS(JB_N,JB_B,1,JB_H,"FFG",JB_S,"",JB_R,"",JB_N,"&lt;&gt;")+SUMIFS(JB_L,JB_B,1,JB_H,"FFG",JB_S,"",JB_R,"",JB_N,"")+SUMIFS(JB_R,JB_B,1,JB_H,"FFG",JB_S,"[PARENT]",JB_R,"&lt;&gt;")+SUMIFS(JB_N,JB_B,1,JB_H,"FFG",JB_S,"[PARENT]",JB_R,"",JB_N,"&lt;&gt;")+SUMIFS(JB_L,JB_B,1,JB_H,"FFG",JB_S,"[PARENT]",JB_R,"",JB_N,"")</f>
        <v/>
      </c>
      <c r="D99" s="30">
        <f>SUMIFS(JB_R,JB_B,1,JB_H,"LPD",JB_S,"",JB_R,"&lt;&gt;")+SUMIFS(JB_N,JB_B,1,JB_H,"LPD",JB_S,"",JB_R,"",JB_N,"&lt;&gt;")+SUMIFS(JB_L,JB_B,1,JB_H,"LPD",JB_S,"",JB_R,"",JB_N,"")+SUMIFS(JB_R,JB_B,1,JB_H,"LPD",JB_S,"[PARENT]",JB_R,"&lt;&gt;")+SUMIFS(JB_N,JB_B,1,JB_H,"LPD",JB_S,"[PARENT]",JB_R,"",JB_N,"&lt;&gt;")+SUMIFS(JB_L,JB_B,1,JB_H,"LPD",JB_S,"[PARENT]",JB_R,"",JB_N,"")</f>
        <v/>
      </c>
      <c r="E99" s="30">
        <f>SUMIFS(JB_R,JB_B,1,JB_H,"LHA",JB_S,"",JB_R,"&lt;&gt;")+SUMIFS(JB_N,JB_B,1,JB_H,"LHA",JB_S,"",JB_R,"",JB_N,"&lt;&gt;")+SUMIFS(JB_L,JB_B,1,JB_H,"LHA",JB_S,"",JB_R,"",JB_N,"")+SUMIFS(JB_R,JB_B,1,JB_H,"LHA",JB_S,"[PARENT]",JB_R,"&lt;&gt;")+SUMIFS(JB_N,JB_B,1,JB_H,"LHA",JB_S,"[PARENT]",JB_R,"",JB_N,"&lt;&gt;")+SUMIFS(JB_L,JB_B,1,JB_H,"LHA",JB_S,"[PARENT]",JB_R,"",JB_N,"")</f>
        <v/>
      </c>
      <c r="F99" s="30">
        <f>SUMIFS(JB_R,JB_B,1,JB_H,"T-AGOS",JB_S,"",JB_R,"&lt;&gt;")+SUMIFS(JB_N,JB_B,1,JB_H,"T-AGOS",JB_S,"",JB_R,"",JB_N,"&lt;&gt;")+SUMIFS(JB_L,JB_B,1,JB_H,"T-AGOS",JB_S,"",JB_R,"",JB_N,"")+SUMIFS(JB_R,JB_B,1,JB_H,"T-AGOS",JB_S,"[PARENT]",JB_R,"&lt;&gt;")+SUMIFS(JB_N,JB_B,1,JB_H,"T-AGOS",JB_S,"[PARENT]",JB_R,"",JB_N,"&lt;&gt;")+SUMIFS(JB_L,JB_B,1,JB_H,"T-AGOS",JB_S,"[PARENT]",JB_R,"",JB_N,"")</f>
        <v/>
      </c>
      <c r="G99" s="30">
        <f>SUMIFS(JB_R,JB_B,1,JB_H,"T-EPF",JB_S,"",JB_R,"&lt;&gt;")+SUMIFS(JB_N,JB_B,1,JB_H,"T-EPF",JB_S,"",JB_R,"",JB_N,"&lt;&gt;")+SUMIFS(JB_L,JB_B,1,JB_H,"T-EPF",JB_S,"",JB_R,"",JB_N,"")+SUMIFS(JB_R,JB_B,1,JB_H,"T-EPF",JB_S,"[PARENT]",JB_R,"&lt;&gt;")+SUMIFS(JB_N,JB_B,1,JB_H,"T-EPF",JB_S,"[PARENT]",JB_R,"",JB_N,"&lt;&gt;")+SUMIFS(JB_L,JB_B,1,JB_H,"T-EPF",JB_S,"[PARENT]",JB_R,"",JB_N,"")</f>
        <v/>
      </c>
      <c r="H99" s="30">
        <f>SUMIFS(JB_R,JB_B,1,JB_H,"T-AO",JB_S,"",JB_R,"&lt;&gt;")+SUMIFS(JB_N,JB_B,1,JB_H,"T-AO",JB_S,"",JB_R,"",JB_N,"&lt;&gt;")+SUMIFS(JB_L,JB_B,1,JB_H,"T-AO",JB_S,"",JB_R,"",JB_N,"")+SUMIFS(JB_R,JB_B,1,JB_H,"T-AO",JB_S,"[PARENT]",JB_R,"&lt;&gt;")+SUMIFS(JB_N,JB_B,1,JB_H,"T-AO",JB_S,"[PARENT]",JB_R,"",JB_N,"&lt;&gt;")+SUMIFS(JB_L,JB_B,1,JB_H,"T-AO",JB_S,"[PARENT]",JB_R,"",JB_N,"")</f>
        <v/>
      </c>
      <c r="I99" s="30">
        <f>SUMIFS(JB_R,JB_B,1,JB_H,"T-ATS",JB_S,"",JB_R,"&lt;&gt;")+SUMIFS(JB_N,JB_B,1,JB_H,"T-ATS",JB_S,"",JB_R,"",JB_N,"&lt;&gt;")+SUMIFS(JB_L,JB_B,1,JB_H,"T-ATS",JB_S,"",JB_R,"",JB_N,"")+SUMIFS(JB_R,JB_B,1,JB_H,"T-ATS",JB_S,"[PARENT]",JB_R,"&lt;&gt;")+SUMIFS(JB_N,JB_B,1,JB_H,"T-ATS",JB_S,"[PARENT]",JB_R,"",JB_N,"&lt;&gt;")+SUMIFS(JB_L,JB_B,1,JB_H,"T-ATS",JB_S,"[PARENT]",JB_R,"",JB_N,"")</f>
        <v/>
      </c>
      <c r="J99" s="42">
        <f>SUM(B99:I99)</f>
        <v/>
      </c>
    </row>
    <row r="100" ht="10" customHeight="1">
      <c r="A100" s="24" t="inlineStr">
        <is>
          <t>Plan Costs</t>
        </is>
      </c>
      <c r="B100" s="39">
        <f>IFERROR(B$99*B85,0)</f>
        <v/>
      </c>
      <c r="C100" s="25">
        <f>IFERROR(C$99*C85,0)</f>
        <v/>
      </c>
      <c r="D100" s="25">
        <f>IFERROR(D$99*D85,0)</f>
        <v/>
      </c>
      <c r="E100" s="25">
        <f>IFERROR(E$99*E85,0)</f>
        <v/>
      </c>
      <c r="F100" s="25">
        <f>IFERROR(F$99*F85,0)</f>
        <v/>
      </c>
      <c r="G100" s="25">
        <f>IFERROR(G$99*G85,0)</f>
        <v/>
      </c>
      <c r="H100" s="25">
        <f>IFERROR(H$99*H85,0)</f>
        <v/>
      </c>
      <c r="I100" s="25">
        <f>IFERROR(I$99*I85,0)</f>
        <v/>
      </c>
      <c r="J100" s="39">
        <f>IFERROR(J$99*J85,0)</f>
        <v/>
      </c>
    </row>
    <row r="101" ht="10" customHeight="1">
      <c r="A101" s="24" t="inlineStr">
        <is>
          <t>Basic Construction</t>
        </is>
      </c>
      <c r="B101" s="39">
        <f>IFERROR(B$99*B86,0)</f>
        <v/>
      </c>
      <c r="C101" s="25">
        <f>IFERROR(C$99*C86,0)</f>
        <v/>
      </c>
      <c r="D101" s="25">
        <f>IFERROR(D$99*D86,0)</f>
        <v/>
      </c>
      <c r="E101" s="25">
        <f>IFERROR(E$99*E86,0)</f>
        <v/>
      </c>
      <c r="F101" s="25">
        <f>IFERROR(F$99*F86,0)</f>
        <v/>
      </c>
      <c r="G101" s="25">
        <f>IFERROR(G$99*G86,0)</f>
        <v/>
      </c>
      <c r="H101" s="25">
        <f>IFERROR(H$99*H86,0)</f>
        <v/>
      </c>
      <c r="I101" s="25">
        <f>IFERROR(I$99*I86,0)</f>
        <v/>
      </c>
      <c r="J101" s="39">
        <f>IFERROR(J$99*J86,0)</f>
        <v/>
      </c>
    </row>
    <row r="102" ht="10" customHeight="1">
      <c r="A102" s="24" t="inlineStr">
        <is>
          <t>Change Orders</t>
        </is>
      </c>
      <c r="B102" s="39">
        <f>IFERROR(B$99*B87,0)</f>
        <v/>
      </c>
      <c r="C102" s="25">
        <f>IFERROR(C$99*C87,0)</f>
        <v/>
      </c>
      <c r="D102" s="25">
        <f>IFERROR(D$99*D87,0)</f>
        <v/>
      </c>
      <c r="E102" s="25">
        <f>IFERROR(E$99*E87,0)</f>
        <v/>
      </c>
      <c r="F102" s="25">
        <f>IFERROR(F$99*F87,0)</f>
        <v/>
      </c>
      <c r="G102" s="25">
        <f>IFERROR(G$99*G87,0)</f>
        <v/>
      </c>
      <c r="H102" s="25">
        <f>IFERROR(H$99*H87,0)</f>
        <v/>
      </c>
      <c r="I102" s="25">
        <f>IFERROR(I$99*I87,0)</f>
        <v/>
      </c>
      <c r="J102" s="39">
        <f>IFERROR(J$99*J87,0)</f>
        <v/>
      </c>
    </row>
    <row r="103" ht="10" customHeight="1">
      <c r="A103" s="24" t="inlineStr">
        <is>
          <t>Electronics</t>
        </is>
      </c>
      <c r="B103" s="39">
        <f>IFERROR(B$99*B88,0)</f>
        <v/>
      </c>
      <c r="C103" s="25">
        <f>IFERROR(C$99*C88,0)</f>
        <v/>
      </c>
      <c r="D103" s="25">
        <f>IFERROR(D$99*D88,0)</f>
        <v/>
      </c>
      <c r="E103" s="25">
        <f>IFERROR(E$99*E88,0)</f>
        <v/>
      </c>
      <c r="F103" s="25">
        <f>IFERROR(F$99*F88,0)</f>
        <v/>
      </c>
      <c r="G103" s="25">
        <f>IFERROR(G$99*G88,0)</f>
        <v/>
      </c>
      <c r="H103" s="25">
        <f>IFERROR(H$99*H88,0)</f>
        <v/>
      </c>
      <c r="I103" s="25">
        <f>IFERROR(I$99*I88,0)</f>
        <v/>
      </c>
      <c r="J103" s="39">
        <f>IFERROR(J$99*J88,0)</f>
        <v/>
      </c>
    </row>
    <row r="104" ht="10" customHeight="1">
      <c r="A104" s="24" t="inlineStr">
        <is>
          <t>Hull, Mechanical, and Electrical</t>
        </is>
      </c>
      <c r="B104" s="39">
        <f>IFERROR(B$99*B89,0)</f>
        <v/>
      </c>
      <c r="C104" s="25">
        <f>IFERROR(C$99*C89,0)</f>
        <v/>
      </c>
      <c r="D104" s="25">
        <f>IFERROR(D$99*D89,0)</f>
        <v/>
      </c>
      <c r="E104" s="25">
        <f>IFERROR(E$99*E89,0)</f>
        <v/>
      </c>
      <c r="F104" s="25">
        <f>IFERROR(F$99*F89,0)</f>
        <v/>
      </c>
      <c r="G104" s="25">
        <f>IFERROR(G$99*G89,0)</f>
        <v/>
      </c>
      <c r="H104" s="25">
        <f>IFERROR(H$99*H89,0)</f>
        <v/>
      </c>
      <c r="I104" s="25">
        <f>IFERROR(I$99*I89,0)</f>
        <v/>
      </c>
      <c r="J104" s="39">
        <f>IFERROR(J$99*J89,0)</f>
        <v/>
      </c>
    </row>
    <row r="105" ht="10" customHeight="1">
      <c r="A105" s="24" t="inlineStr">
        <is>
          <t>Ordnance</t>
        </is>
      </c>
      <c r="B105" s="39">
        <f>IFERROR(B$99*B90,0)</f>
        <v/>
      </c>
      <c r="C105" s="25">
        <f>IFERROR(C$99*C90,0)</f>
        <v/>
      </c>
      <c r="D105" s="25">
        <f>IFERROR(D$99*D90,0)</f>
        <v/>
      </c>
      <c r="E105" s="25">
        <f>IFERROR(E$99*E90,0)</f>
        <v/>
      </c>
      <c r="F105" s="25">
        <f>IFERROR(F$99*F90,0)</f>
        <v/>
      </c>
      <c r="G105" s="25">
        <f>IFERROR(G$99*G90,0)</f>
        <v/>
      </c>
      <c r="H105" s="25">
        <f>IFERROR(H$99*H90,0)</f>
        <v/>
      </c>
      <c r="I105" s="25">
        <f>IFERROR(I$99*I90,0)</f>
        <v/>
      </c>
      <c r="J105" s="39">
        <f>IFERROR(J$99*J90,0)</f>
        <v/>
      </c>
    </row>
    <row r="106" ht="10" customHeight="1">
      <c r="A106" s="24" t="inlineStr">
        <is>
          <t>Other Cost</t>
        </is>
      </c>
      <c r="B106" s="39">
        <f>IFERROR(B$99*B91,0)</f>
        <v/>
      </c>
      <c r="C106" s="25">
        <f>IFERROR(C$99*C91,0)</f>
        <v/>
      </c>
      <c r="D106" s="25">
        <f>IFERROR(D$99*D91,0)</f>
        <v/>
      </c>
      <c r="E106" s="25">
        <f>IFERROR(E$99*E91,0)</f>
        <v/>
      </c>
      <c r="F106" s="25">
        <f>IFERROR(F$99*F91,0)</f>
        <v/>
      </c>
      <c r="G106" s="25">
        <f>IFERROR(G$99*G91,0)</f>
        <v/>
      </c>
      <c r="H106" s="25">
        <f>IFERROR(H$99*H91,0)</f>
        <v/>
      </c>
      <c r="I106" s="25">
        <f>IFERROR(I$99*I91,0)</f>
        <v/>
      </c>
      <c r="J106" s="39">
        <f>IFERROR(J$99*J91,0)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24" customWidth="1" min="5" max="5"/>
    <col width="14" customWidth="1" min="6" max="6"/>
    <col width="14" customWidth="1" min="7" max="7"/>
    <col width="14" customWidth="1" min="8" max="8"/>
    <col width="14" customWidth="1" min="9" max="9"/>
    <col width="14" customWidth="1" min="10" max="10"/>
  </cols>
  <sheetData>
    <row r="1" ht="10" customHeight="1">
      <c r="A1" s="18" t="inlineStr">
        <is>
          <t>Newbuild SAM Cost Detail — FY2026 ($K)</t>
        </is>
      </c>
      <c r="B1" s="19" t="n"/>
      <c r="C1" s="19" t="n"/>
      <c r="D1" s="19" t="n"/>
      <c r="E1" s="19" t="n"/>
      <c r="F1" s="19" t="n"/>
      <c r="G1" s="19" t="n"/>
      <c r="H1" s="19" t="n"/>
      <c r="I1" s="19" t="n"/>
      <c r="J1" s="19" t="n"/>
    </row>
    <row r="2" ht="10" customHeight="1">
      <c r="A2" s="20" t="inlineStr">
        <is>
          <t>Gross ship-cost breakdown from P-5c and P-8a exhibits by hull program. NOT net budget authority — see Newbuild SAM for reconciled values.</t>
        </is>
      </c>
    </row>
    <row r="3" ht="10" customHeight="1"/>
    <row r="4" ht="10" customHeight="1">
      <c r="A4" s="21" t="inlineStr">
        <is>
          <t>(A) P-5c Total Ship Cost by Hull &amp; Cost Category — FY2026 ($K)</t>
        </is>
      </c>
      <c r="B4" s="22" t="n"/>
      <c r="C4" s="22" t="n"/>
      <c r="D4" s="22" t="n"/>
      <c r="E4" s="22" t="n"/>
      <c r="F4" s="22" t="n"/>
      <c r="G4" s="22" t="n"/>
      <c r="H4" s="22" t="n"/>
      <c r="I4" s="22" t="n"/>
      <c r="J4" s="22" t="n"/>
    </row>
    <row r="5" ht="10" customHeight="1">
      <c r="A5" s="33" t="n"/>
      <c r="B5" s="34" t="inlineStr">
        <is>
          <t>USN</t>
        </is>
      </c>
      <c r="C5" s="33" t="n"/>
      <c r="D5" s="33" t="n"/>
      <c r="E5" s="33" t="n"/>
      <c r="F5" s="33" t="n"/>
      <c r="G5" s="33" t="n"/>
      <c r="H5" s="33" t="n"/>
      <c r="I5" s="33" t="n"/>
      <c r="J5" s="35" t="n"/>
    </row>
    <row r="6" ht="10" customHeight="1">
      <c r="A6" s="23" t="inlineStr">
        <is>
          <t>Cost Category</t>
        </is>
      </c>
      <c r="B6" s="36" t="inlineStr">
        <is>
          <t>DDG</t>
        </is>
      </c>
      <c r="C6" s="23" t="inlineStr">
        <is>
          <t>FFG</t>
        </is>
      </c>
      <c r="D6" s="23" t="inlineStr">
        <is>
          <t>LPD</t>
        </is>
      </c>
      <c r="E6" s="23" t="inlineStr">
        <is>
          <t>LHA</t>
        </is>
      </c>
      <c r="F6" s="23" t="inlineStr">
        <is>
          <t>T-AGOS</t>
        </is>
      </c>
      <c r="G6" s="23" t="inlineStr">
        <is>
          <t>T-EPF</t>
        </is>
      </c>
      <c r="H6" s="23" t="inlineStr">
        <is>
          <t>T-AO</t>
        </is>
      </c>
      <c r="I6" s="23" t="inlineStr">
        <is>
          <t>T-ATS</t>
        </is>
      </c>
      <c r="J6" s="36" t="inlineStr">
        <is>
          <t>Total</t>
        </is>
      </c>
    </row>
    <row r="7" ht="10" customHeight="1">
      <c r="A7" s="24" t="inlineStr">
        <is>
          <t>Plan Costs</t>
        </is>
      </c>
      <c r="B7" s="39">
        <f>SUMIFS(JB_R,JB_S,"[ALT_VIEW]",JB_B,1,JB_EX,"P-5c",JB_CC,"Plan Costs",JB_H,"DDG",JB_R,"&lt;&gt;")+SUMIFS(JB_N,JB_S,"[ALT_VIEW]",JB_B,1,JB_EX,"P-5c",JB_CC,"Plan Costs",JB_H,"DDG",JB_R,"",JB_N,"&lt;&gt;")+SUMIFS(JB_L,JB_S,"[ALT_VIEW]",JB_B,1,JB_EX,"P-5c",JB_CC,"Plan Costs",JB_H,"DDG",JB_R,"",JB_N,"")</f>
        <v/>
      </c>
      <c r="C7" s="25">
        <f>SUMIFS(JB_R,JB_S,"[ALT_VIEW]",JB_B,1,JB_EX,"P-5c",JB_CC,"Plan Costs",JB_H,"FFG",JB_R,"&lt;&gt;")+SUMIFS(JB_N,JB_S,"[ALT_VIEW]",JB_B,1,JB_EX,"P-5c",JB_CC,"Plan Costs",JB_H,"FFG",JB_R,"",JB_N,"&lt;&gt;")+SUMIFS(JB_L,JB_S,"[ALT_VIEW]",JB_B,1,JB_EX,"P-5c",JB_CC,"Plan Costs",JB_H,"FFG",JB_R,"",JB_N,"")</f>
        <v/>
      </c>
      <c r="D7" s="25">
        <f>SUMIFS(JB_R,JB_S,"[ALT_VIEW]",JB_B,1,JB_EX,"P-5c",JB_CC,"Plan Costs",JB_H,"LPD",JB_R,"&lt;&gt;")+SUMIFS(JB_N,JB_S,"[ALT_VIEW]",JB_B,1,JB_EX,"P-5c",JB_CC,"Plan Costs",JB_H,"LPD",JB_R,"",JB_N,"&lt;&gt;")+SUMIFS(JB_L,JB_S,"[ALT_VIEW]",JB_B,1,JB_EX,"P-5c",JB_CC,"Plan Costs",JB_H,"LPD",JB_R,"",JB_N,"")</f>
        <v/>
      </c>
      <c r="E7" s="25">
        <f>SUMIFS(JB_R,JB_S,"[ALT_VIEW]",JB_B,1,JB_EX,"P-5c",JB_CC,"Plan Costs",JB_H,"LHA",JB_R,"&lt;&gt;")+SUMIFS(JB_N,JB_S,"[ALT_VIEW]",JB_B,1,JB_EX,"P-5c",JB_CC,"Plan Costs",JB_H,"LHA",JB_R,"",JB_N,"&lt;&gt;")+SUMIFS(JB_L,JB_S,"[ALT_VIEW]",JB_B,1,JB_EX,"P-5c",JB_CC,"Plan Costs",JB_H,"LHA",JB_R,"",JB_N,"")</f>
        <v/>
      </c>
      <c r="F7" s="25">
        <f>SUMIFS(JB_R,JB_S,"[ALT_VIEW]",JB_B,1,JB_EX,"P-5c",JB_CC,"Plan Costs",JB_H,"T-AGOS",JB_R,"&lt;&gt;")+SUMIFS(JB_N,JB_S,"[ALT_VIEW]",JB_B,1,JB_EX,"P-5c",JB_CC,"Plan Costs",JB_H,"T-AGOS",JB_R,"",JB_N,"&lt;&gt;")+SUMIFS(JB_L,JB_S,"[ALT_VIEW]",JB_B,1,JB_EX,"P-5c",JB_CC,"Plan Costs",JB_H,"T-AGOS",JB_R,"",JB_N,"")</f>
        <v/>
      </c>
      <c r="G7" s="25">
        <f>SUMIFS(JB_R,JB_S,"[ALT_VIEW]",JB_B,1,JB_EX,"P-5c",JB_CC,"Plan Costs",JB_H,"T-EPF",JB_R,"&lt;&gt;")+SUMIFS(JB_N,JB_S,"[ALT_VIEW]",JB_B,1,JB_EX,"P-5c",JB_CC,"Plan Costs",JB_H,"T-EPF",JB_R,"",JB_N,"&lt;&gt;")+SUMIFS(JB_L,JB_S,"[ALT_VIEW]",JB_B,1,JB_EX,"P-5c",JB_CC,"Plan Costs",JB_H,"T-EPF",JB_R,"",JB_N,"")</f>
        <v/>
      </c>
      <c r="H7" s="25">
        <f>SUMIFS(JB_R,JB_S,"[ALT_VIEW]",JB_B,1,JB_EX,"P-5c",JB_CC,"Plan Costs",JB_H,"T-AO",JB_R,"&lt;&gt;")+SUMIFS(JB_N,JB_S,"[ALT_VIEW]",JB_B,1,JB_EX,"P-5c",JB_CC,"Plan Costs",JB_H,"T-AO",JB_R,"",JB_N,"&lt;&gt;")+SUMIFS(JB_L,JB_S,"[ALT_VIEW]",JB_B,1,JB_EX,"P-5c",JB_CC,"Plan Costs",JB_H,"T-AO",JB_R,"",JB_N,"")</f>
        <v/>
      </c>
      <c r="I7" s="25">
        <f>SUMIFS(JB_R,JB_S,"[ALT_VIEW]",JB_B,1,JB_EX,"P-5c",JB_CC,"Plan Costs",JB_H,"T-ATS",JB_R,"&lt;&gt;")+SUMIFS(JB_N,JB_S,"[ALT_VIEW]",JB_B,1,JB_EX,"P-5c",JB_CC,"Plan Costs",JB_H,"T-ATS",JB_R,"",JB_N,"&lt;&gt;")+SUMIFS(JB_L,JB_S,"[ALT_VIEW]",JB_B,1,JB_EX,"P-5c",JB_CC,"Plan Costs",JB_H,"T-ATS",JB_R,"",JB_N,"")</f>
        <v/>
      </c>
      <c r="J7" s="39">
        <f>SUM(B7:I7)</f>
        <v/>
      </c>
    </row>
    <row r="8" ht="10" customHeight="1">
      <c r="A8" s="24" t="inlineStr">
        <is>
          <t>Basic Construction</t>
        </is>
      </c>
      <c r="B8" s="39">
        <f>SUMIFS(JB_R,JB_S,"[ALT_VIEW]",JB_B,1,JB_EX,"P-5c",JB_CC,"Basic Construction",JB_H,"DDG",JB_R,"&lt;&gt;")+SUMIFS(JB_N,JB_S,"[ALT_VIEW]",JB_B,1,JB_EX,"P-5c",JB_CC,"Basic Construction",JB_H,"DDG",JB_R,"",JB_N,"&lt;&gt;")+SUMIFS(JB_L,JB_S,"[ALT_VIEW]",JB_B,1,JB_EX,"P-5c",JB_CC,"Basic Construction",JB_H,"DDG",JB_R,"",JB_N,"")</f>
        <v/>
      </c>
      <c r="C8" s="25">
        <f>SUMIFS(JB_R,JB_S,"[ALT_VIEW]",JB_B,1,JB_EX,"P-5c",JB_CC,"Basic Construction",JB_H,"FFG",JB_R,"&lt;&gt;")+SUMIFS(JB_N,JB_S,"[ALT_VIEW]",JB_B,1,JB_EX,"P-5c",JB_CC,"Basic Construction",JB_H,"FFG",JB_R,"",JB_N,"&lt;&gt;")+SUMIFS(JB_L,JB_S,"[ALT_VIEW]",JB_B,1,JB_EX,"P-5c",JB_CC,"Basic Construction",JB_H,"FFG",JB_R,"",JB_N,"")</f>
        <v/>
      </c>
      <c r="D8" s="25">
        <f>SUMIFS(JB_R,JB_S,"[ALT_VIEW]",JB_B,1,JB_EX,"P-5c",JB_CC,"Basic Construction",JB_H,"LPD",JB_R,"&lt;&gt;")+SUMIFS(JB_N,JB_S,"[ALT_VIEW]",JB_B,1,JB_EX,"P-5c",JB_CC,"Basic Construction",JB_H,"LPD",JB_R,"",JB_N,"&lt;&gt;")+SUMIFS(JB_L,JB_S,"[ALT_VIEW]",JB_B,1,JB_EX,"P-5c",JB_CC,"Basic Construction",JB_H,"LPD",JB_R,"",JB_N,"")</f>
        <v/>
      </c>
      <c r="E8" s="25">
        <f>SUMIFS(JB_R,JB_S,"[ALT_VIEW]",JB_B,1,JB_EX,"P-5c",JB_CC,"Basic Construction",JB_H,"LHA",JB_R,"&lt;&gt;")+SUMIFS(JB_N,JB_S,"[ALT_VIEW]",JB_B,1,JB_EX,"P-5c",JB_CC,"Basic Construction",JB_H,"LHA",JB_R,"",JB_N,"&lt;&gt;")+SUMIFS(JB_L,JB_S,"[ALT_VIEW]",JB_B,1,JB_EX,"P-5c",JB_CC,"Basic Construction",JB_H,"LHA",JB_R,"",JB_N,"")</f>
        <v/>
      </c>
      <c r="F8" s="25">
        <f>SUMIFS(JB_R,JB_S,"[ALT_VIEW]",JB_B,1,JB_EX,"P-5c",JB_CC,"Basic Construction",JB_H,"T-AGOS",JB_R,"&lt;&gt;")+SUMIFS(JB_N,JB_S,"[ALT_VIEW]",JB_B,1,JB_EX,"P-5c",JB_CC,"Basic Construction",JB_H,"T-AGOS",JB_R,"",JB_N,"&lt;&gt;")+SUMIFS(JB_L,JB_S,"[ALT_VIEW]",JB_B,1,JB_EX,"P-5c",JB_CC,"Basic Construction",JB_H,"T-AGOS",JB_R,"",JB_N,"")</f>
        <v/>
      </c>
      <c r="G8" s="25">
        <f>SUMIFS(JB_R,JB_S,"[ALT_VIEW]",JB_B,1,JB_EX,"P-5c",JB_CC,"Basic Construction",JB_H,"T-EPF",JB_R,"&lt;&gt;")+SUMIFS(JB_N,JB_S,"[ALT_VIEW]",JB_B,1,JB_EX,"P-5c",JB_CC,"Basic Construction",JB_H,"T-EPF",JB_R,"",JB_N,"&lt;&gt;")+SUMIFS(JB_L,JB_S,"[ALT_VIEW]",JB_B,1,JB_EX,"P-5c",JB_CC,"Basic Construction",JB_H,"T-EPF",JB_R,"",JB_N,"")</f>
        <v/>
      </c>
      <c r="H8" s="25">
        <f>SUMIFS(JB_R,JB_S,"[ALT_VIEW]",JB_B,1,JB_EX,"P-5c",JB_CC,"Basic Construction",JB_H,"T-AO",JB_R,"&lt;&gt;")+SUMIFS(JB_N,JB_S,"[ALT_VIEW]",JB_B,1,JB_EX,"P-5c",JB_CC,"Basic Construction",JB_H,"T-AO",JB_R,"",JB_N,"&lt;&gt;")+SUMIFS(JB_L,JB_S,"[ALT_VIEW]",JB_B,1,JB_EX,"P-5c",JB_CC,"Basic Construction",JB_H,"T-AO",JB_R,"",JB_N,"")</f>
        <v/>
      </c>
      <c r="I8" s="25">
        <f>SUMIFS(JB_R,JB_S,"[ALT_VIEW]",JB_B,1,JB_EX,"P-5c",JB_CC,"Basic Construction",JB_H,"T-ATS",JB_R,"&lt;&gt;")+SUMIFS(JB_N,JB_S,"[ALT_VIEW]",JB_B,1,JB_EX,"P-5c",JB_CC,"Basic Construction",JB_H,"T-ATS",JB_R,"",JB_N,"&lt;&gt;")+SUMIFS(JB_L,JB_S,"[ALT_VIEW]",JB_B,1,JB_EX,"P-5c",JB_CC,"Basic Construction",JB_H,"T-ATS",JB_R,"",JB_N,"")</f>
        <v/>
      </c>
      <c r="J8" s="39">
        <f>SUM(B8:I8)</f>
        <v/>
      </c>
    </row>
    <row r="9" ht="10" customHeight="1">
      <c r="A9" s="24" t="inlineStr">
        <is>
          <t>Change Orders</t>
        </is>
      </c>
      <c r="B9" s="39">
        <f>SUMIFS(JB_R,JB_S,"[ALT_VIEW]",JB_B,1,JB_EX,"P-5c",JB_CC,"Change Orders",JB_H,"DDG",JB_R,"&lt;&gt;")+SUMIFS(JB_N,JB_S,"[ALT_VIEW]",JB_B,1,JB_EX,"P-5c",JB_CC,"Change Orders",JB_H,"DDG",JB_R,"",JB_N,"&lt;&gt;")+SUMIFS(JB_L,JB_S,"[ALT_VIEW]",JB_B,1,JB_EX,"P-5c",JB_CC,"Change Orders",JB_H,"DDG",JB_R,"",JB_N,"")</f>
        <v/>
      </c>
      <c r="C9" s="25">
        <f>SUMIFS(JB_R,JB_S,"[ALT_VIEW]",JB_B,1,JB_EX,"P-5c",JB_CC,"Change Orders",JB_H,"FFG",JB_R,"&lt;&gt;")+SUMIFS(JB_N,JB_S,"[ALT_VIEW]",JB_B,1,JB_EX,"P-5c",JB_CC,"Change Orders",JB_H,"FFG",JB_R,"",JB_N,"&lt;&gt;")+SUMIFS(JB_L,JB_S,"[ALT_VIEW]",JB_B,1,JB_EX,"P-5c",JB_CC,"Change Orders",JB_H,"FFG",JB_R,"",JB_N,"")</f>
        <v/>
      </c>
      <c r="D9" s="25">
        <f>SUMIFS(JB_R,JB_S,"[ALT_VIEW]",JB_B,1,JB_EX,"P-5c",JB_CC,"Change Orders",JB_H,"LPD",JB_R,"&lt;&gt;")+SUMIFS(JB_N,JB_S,"[ALT_VIEW]",JB_B,1,JB_EX,"P-5c",JB_CC,"Change Orders",JB_H,"LPD",JB_R,"",JB_N,"&lt;&gt;")+SUMIFS(JB_L,JB_S,"[ALT_VIEW]",JB_B,1,JB_EX,"P-5c",JB_CC,"Change Orders",JB_H,"LPD",JB_R,"",JB_N,"")</f>
        <v/>
      </c>
      <c r="E9" s="25">
        <f>SUMIFS(JB_R,JB_S,"[ALT_VIEW]",JB_B,1,JB_EX,"P-5c",JB_CC,"Change Orders",JB_H,"LHA",JB_R,"&lt;&gt;")+SUMIFS(JB_N,JB_S,"[ALT_VIEW]",JB_B,1,JB_EX,"P-5c",JB_CC,"Change Orders",JB_H,"LHA",JB_R,"",JB_N,"&lt;&gt;")+SUMIFS(JB_L,JB_S,"[ALT_VIEW]",JB_B,1,JB_EX,"P-5c",JB_CC,"Change Orders",JB_H,"LHA",JB_R,"",JB_N,"")</f>
        <v/>
      </c>
      <c r="F9" s="25">
        <f>SUMIFS(JB_R,JB_S,"[ALT_VIEW]",JB_B,1,JB_EX,"P-5c",JB_CC,"Change Orders",JB_H,"T-AGOS",JB_R,"&lt;&gt;")+SUMIFS(JB_N,JB_S,"[ALT_VIEW]",JB_B,1,JB_EX,"P-5c",JB_CC,"Change Orders",JB_H,"T-AGOS",JB_R,"",JB_N,"&lt;&gt;")+SUMIFS(JB_L,JB_S,"[ALT_VIEW]",JB_B,1,JB_EX,"P-5c",JB_CC,"Change Orders",JB_H,"T-AGOS",JB_R,"",JB_N,"")</f>
        <v/>
      </c>
      <c r="G9" s="25">
        <f>SUMIFS(JB_R,JB_S,"[ALT_VIEW]",JB_B,1,JB_EX,"P-5c",JB_CC,"Change Orders",JB_H,"T-EPF",JB_R,"&lt;&gt;")+SUMIFS(JB_N,JB_S,"[ALT_VIEW]",JB_B,1,JB_EX,"P-5c",JB_CC,"Change Orders",JB_H,"T-EPF",JB_R,"",JB_N,"&lt;&gt;")+SUMIFS(JB_L,JB_S,"[ALT_VIEW]",JB_B,1,JB_EX,"P-5c",JB_CC,"Change Orders",JB_H,"T-EPF",JB_R,"",JB_N,"")</f>
        <v/>
      </c>
      <c r="H9" s="25">
        <f>SUMIFS(JB_R,JB_S,"[ALT_VIEW]",JB_B,1,JB_EX,"P-5c",JB_CC,"Change Orders",JB_H,"T-AO",JB_R,"&lt;&gt;")+SUMIFS(JB_N,JB_S,"[ALT_VIEW]",JB_B,1,JB_EX,"P-5c",JB_CC,"Change Orders",JB_H,"T-AO",JB_R,"",JB_N,"&lt;&gt;")+SUMIFS(JB_L,JB_S,"[ALT_VIEW]",JB_B,1,JB_EX,"P-5c",JB_CC,"Change Orders",JB_H,"T-AO",JB_R,"",JB_N,"")</f>
        <v/>
      </c>
      <c r="I9" s="25">
        <f>SUMIFS(JB_R,JB_S,"[ALT_VIEW]",JB_B,1,JB_EX,"P-5c",JB_CC,"Change Orders",JB_H,"T-ATS",JB_R,"&lt;&gt;")+SUMIFS(JB_N,JB_S,"[ALT_VIEW]",JB_B,1,JB_EX,"P-5c",JB_CC,"Change Orders",JB_H,"T-ATS",JB_R,"",JB_N,"&lt;&gt;")+SUMIFS(JB_L,JB_S,"[ALT_VIEW]",JB_B,1,JB_EX,"P-5c",JB_CC,"Change Orders",JB_H,"T-ATS",JB_R,"",JB_N,"")</f>
        <v/>
      </c>
      <c r="J9" s="39">
        <f>SUM(B9:I9)</f>
        <v/>
      </c>
    </row>
    <row r="10" ht="10" customHeight="1">
      <c r="A10" s="24" t="inlineStr">
        <is>
          <t>Electronics</t>
        </is>
      </c>
      <c r="B10" s="39">
        <f>SUMIFS(JB_R,JB_S,"[ALT_VIEW]",JB_B,1,JB_EX,"P-5c",JB_CC,"Electronics",JB_H,"DDG",JB_R,"&lt;&gt;")+SUMIFS(JB_N,JB_S,"[ALT_VIEW]",JB_B,1,JB_EX,"P-5c",JB_CC,"Electronics",JB_H,"DDG",JB_R,"",JB_N,"&lt;&gt;")+SUMIFS(JB_L,JB_S,"[ALT_VIEW]",JB_B,1,JB_EX,"P-5c",JB_CC,"Electronics",JB_H,"DDG",JB_R,"",JB_N,"")</f>
        <v/>
      </c>
      <c r="C10" s="25">
        <f>SUMIFS(JB_R,JB_S,"[ALT_VIEW]",JB_B,1,JB_EX,"P-5c",JB_CC,"Electronics",JB_H,"FFG",JB_R,"&lt;&gt;")+SUMIFS(JB_N,JB_S,"[ALT_VIEW]",JB_B,1,JB_EX,"P-5c",JB_CC,"Electronics",JB_H,"FFG",JB_R,"",JB_N,"&lt;&gt;")+SUMIFS(JB_L,JB_S,"[ALT_VIEW]",JB_B,1,JB_EX,"P-5c",JB_CC,"Electronics",JB_H,"FFG",JB_R,"",JB_N,"")</f>
        <v/>
      </c>
      <c r="D10" s="25">
        <f>SUMIFS(JB_R,JB_S,"[ALT_VIEW]",JB_B,1,JB_EX,"P-5c",JB_CC,"Electronics",JB_H,"LPD",JB_R,"&lt;&gt;")+SUMIFS(JB_N,JB_S,"[ALT_VIEW]",JB_B,1,JB_EX,"P-5c",JB_CC,"Electronics",JB_H,"LPD",JB_R,"",JB_N,"&lt;&gt;")+SUMIFS(JB_L,JB_S,"[ALT_VIEW]",JB_B,1,JB_EX,"P-5c",JB_CC,"Electronics",JB_H,"LPD",JB_R,"",JB_N,"")</f>
        <v/>
      </c>
      <c r="E10" s="25">
        <f>SUMIFS(JB_R,JB_S,"[ALT_VIEW]",JB_B,1,JB_EX,"P-5c",JB_CC,"Electronics",JB_H,"LHA",JB_R,"&lt;&gt;")+SUMIFS(JB_N,JB_S,"[ALT_VIEW]",JB_B,1,JB_EX,"P-5c",JB_CC,"Electronics",JB_H,"LHA",JB_R,"",JB_N,"&lt;&gt;")+SUMIFS(JB_L,JB_S,"[ALT_VIEW]",JB_B,1,JB_EX,"P-5c",JB_CC,"Electronics",JB_H,"LHA",JB_R,"",JB_N,"")</f>
        <v/>
      </c>
      <c r="F10" s="25">
        <f>SUMIFS(JB_R,JB_S,"[ALT_VIEW]",JB_B,1,JB_EX,"P-5c",JB_CC,"Electronics",JB_H,"T-AGOS",JB_R,"&lt;&gt;")+SUMIFS(JB_N,JB_S,"[ALT_VIEW]",JB_B,1,JB_EX,"P-5c",JB_CC,"Electronics",JB_H,"T-AGOS",JB_R,"",JB_N,"&lt;&gt;")+SUMIFS(JB_L,JB_S,"[ALT_VIEW]",JB_B,1,JB_EX,"P-5c",JB_CC,"Electronics",JB_H,"T-AGOS",JB_R,"",JB_N,"")</f>
        <v/>
      </c>
      <c r="G10" s="25">
        <f>SUMIFS(JB_R,JB_S,"[ALT_VIEW]",JB_B,1,JB_EX,"P-5c",JB_CC,"Electronics",JB_H,"T-EPF",JB_R,"&lt;&gt;")+SUMIFS(JB_N,JB_S,"[ALT_VIEW]",JB_B,1,JB_EX,"P-5c",JB_CC,"Electronics",JB_H,"T-EPF",JB_R,"",JB_N,"&lt;&gt;")+SUMIFS(JB_L,JB_S,"[ALT_VIEW]",JB_B,1,JB_EX,"P-5c",JB_CC,"Electronics",JB_H,"T-EPF",JB_R,"",JB_N,"")</f>
        <v/>
      </c>
      <c r="H10" s="25">
        <f>SUMIFS(JB_R,JB_S,"[ALT_VIEW]",JB_B,1,JB_EX,"P-5c",JB_CC,"Electronics",JB_H,"T-AO",JB_R,"&lt;&gt;")+SUMIFS(JB_N,JB_S,"[ALT_VIEW]",JB_B,1,JB_EX,"P-5c",JB_CC,"Electronics",JB_H,"T-AO",JB_R,"",JB_N,"&lt;&gt;")+SUMIFS(JB_L,JB_S,"[ALT_VIEW]",JB_B,1,JB_EX,"P-5c",JB_CC,"Electronics",JB_H,"T-AO",JB_R,"",JB_N,"")</f>
        <v/>
      </c>
      <c r="I10" s="25">
        <f>SUMIFS(JB_R,JB_S,"[ALT_VIEW]",JB_B,1,JB_EX,"P-5c",JB_CC,"Electronics",JB_H,"T-ATS",JB_R,"&lt;&gt;")+SUMIFS(JB_N,JB_S,"[ALT_VIEW]",JB_B,1,JB_EX,"P-5c",JB_CC,"Electronics",JB_H,"T-ATS",JB_R,"",JB_N,"&lt;&gt;")+SUMIFS(JB_L,JB_S,"[ALT_VIEW]",JB_B,1,JB_EX,"P-5c",JB_CC,"Electronics",JB_H,"T-ATS",JB_R,"",JB_N,"")</f>
        <v/>
      </c>
      <c r="J10" s="39">
        <f>SUM(B10:I10)</f>
        <v/>
      </c>
    </row>
    <row r="11" ht="10" customHeight="1">
      <c r="A11" s="24" t="inlineStr">
        <is>
          <t>Hull, Mechanical, and Electrical</t>
        </is>
      </c>
      <c r="B11" s="39">
        <f>SUMIFS(JB_R,JB_S,"[ALT_VIEW]",JB_B,1,JB_EX,"P-5c",JB_CC,"Hull, Mechanical, and Electrical",JB_H,"DDG",JB_R,"&lt;&gt;")+SUMIFS(JB_N,JB_S,"[ALT_VIEW]",JB_B,1,JB_EX,"P-5c",JB_CC,"Hull, Mechanical, and Electrical",JB_H,"DDG",JB_R,"",JB_N,"&lt;&gt;")+SUMIFS(JB_L,JB_S,"[ALT_VIEW]",JB_B,1,JB_EX,"P-5c",JB_CC,"Hull, Mechanical, and Electrical",JB_H,"DDG",JB_R,"",JB_N,"")</f>
        <v/>
      </c>
      <c r="C11" s="25">
        <f>SUMIFS(JB_R,JB_S,"[ALT_VIEW]",JB_B,1,JB_EX,"P-5c",JB_CC,"Hull, Mechanical, and Electrical",JB_H,"FFG",JB_R,"&lt;&gt;")+SUMIFS(JB_N,JB_S,"[ALT_VIEW]",JB_B,1,JB_EX,"P-5c",JB_CC,"Hull, Mechanical, and Electrical",JB_H,"FFG",JB_R,"",JB_N,"&lt;&gt;")+SUMIFS(JB_L,JB_S,"[ALT_VIEW]",JB_B,1,JB_EX,"P-5c",JB_CC,"Hull, Mechanical, and Electrical",JB_H,"FFG",JB_R,"",JB_N,"")</f>
        <v/>
      </c>
      <c r="D11" s="25">
        <f>SUMIFS(JB_R,JB_S,"[ALT_VIEW]",JB_B,1,JB_EX,"P-5c",JB_CC,"Hull, Mechanical, and Electrical",JB_H,"LPD",JB_R,"&lt;&gt;")+SUMIFS(JB_N,JB_S,"[ALT_VIEW]",JB_B,1,JB_EX,"P-5c",JB_CC,"Hull, Mechanical, and Electrical",JB_H,"LPD",JB_R,"",JB_N,"&lt;&gt;")+SUMIFS(JB_L,JB_S,"[ALT_VIEW]",JB_B,1,JB_EX,"P-5c",JB_CC,"Hull, Mechanical, and Electrical",JB_H,"LPD",JB_R,"",JB_N,"")</f>
        <v/>
      </c>
      <c r="E11" s="25">
        <f>SUMIFS(JB_R,JB_S,"[ALT_VIEW]",JB_B,1,JB_EX,"P-5c",JB_CC,"Hull, Mechanical, and Electrical",JB_H,"LHA",JB_R,"&lt;&gt;")+SUMIFS(JB_N,JB_S,"[ALT_VIEW]",JB_B,1,JB_EX,"P-5c",JB_CC,"Hull, Mechanical, and Electrical",JB_H,"LHA",JB_R,"",JB_N,"&lt;&gt;")+SUMIFS(JB_L,JB_S,"[ALT_VIEW]",JB_B,1,JB_EX,"P-5c",JB_CC,"Hull, Mechanical, and Electrical",JB_H,"LHA",JB_R,"",JB_N,"")</f>
        <v/>
      </c>
      <c r="F11" s="25">
        <f>SUMIFS(JB_R,JB_S,"[ALT_VIEW]",JB_B,1,JB_EX,"P-5c",JB_CC,"Hull, Mechanical, and Electrical",JB_H,"T-AGOS",JB_R,"&lt;&gt;")+SUMIFS(JB_N,JB_S,"[ALT_VIEW]",JB_B,1,JB_EX,"P-5c",JB_CC,"Hull, Mechanical, and Electrical",JB_H,"T-AGOS",JB_R,"",JB_N,"&lt;&gt;")+SUMIFS(JB_L,JB_S,"[ALT_VIEW]",JB_B,1,JB_EX,"P-5c",JB_CC,"Hull, Mechanical, and Electrical",JB_H,"T-AGOS",JB_R,"",JB_N,"")</f>
        <v/>
      </c>
      <c r="G11" s="25">
        <f>SUMIFS(JB_R,JB_S,"[ALT_VIEW]",JB_B,1,JB_EX,"P-5c",JB_CC,"Hull, Mechanical, and Electrical",JB_H,"T-EPF",JB_R,"&lt;&gt;")+SUMIFS(JB_N,JB_S,"[ALT_VIEW]",JB_B,1,JB_EX,"P-5c",JB_CC,"Hull, Mechanical, and Electrical",JB_H,"T-EPF",JB_R,"",JB_N,"&lt;&gt;")+SUMIFS(JB_L,JB_S,"[ALT_VIEW]",JB_B,1,JB_EX,"P-5c",JB_CC,"Hull, Mechanical, and Electrical",JB_H,"T-EPF",JB_R,"",JB_N,"")</f>
        <v/>
      </c>
      <c r="H11" s="25">
        <f>SUMIFS(JB_R,JB_S,"[ALT_VIEW]",JB_B,1,JB_EX,"P-5c",JB_CC,"Hull, Mechanical, and Electrical",JB_H,"T-AO",JB_R,"&lt;&gt;")+SUMIFS(JB_N,JB_S,"[ALT_VIEW]",JB_B,1,JB_EX,"P-5c",JB_CC,"Hull, Mechanical, and Electrical",JB_H,"T-AO",JB_R,"",JB_N,"&lt;&gt;")+SUMIFS(JB_L,JB_S,"[ALT_VIEW]",JB_B,1,JB_EX,"P-5c",JB_CC,"Hull, Mechanical, and Electrical",JB_H,"T-AO",JB_R,"",JB_N,"")</f>
        <v/>
      </c>
      <c r="I11" s="25">
        <f>SUMIFS(JB_R,JB_S,"[ALT_VIEW]",JB_B,1,JB_EX,"P-5c",JB_CC,"Hull, Mechanical, and Electrical",JB_H,"T-ATS",JB_R,"&lt;&gt;")+SUMIFS(JB_N,JB_S,"[ALT_VIEW]",JB_B,1,JB_EX,"P-5c",JB_CC,"Hull, Mechanical, and Electrical",JB_H,"T-ATS",JB_R,"",JB_N,"&lt;&gt;")+SUMIFS(JB_L,JB_S,"[ALT_VIEW]",JB_B,1,JB_EX,"P-5c",JB_CC,"Hull, Mechanical, and Electrical",JB_H,"T-ATS",JB_R,"",JB_N,"")</f>
        <v/>
      </c>
      <c r="J11" s="39">
        <f>SUM(B11:I11)</f>
        <v/>
      </c>
    </row>
    <row r="12" ht="10" customHeight="1">
      <c r="A12" s="24" t="inlineStr">
        <is>
          <t>Ordnance</t>
        </is>
      </c>
      <c r="B12" s="39">
        <f>SUMIFS(JB_R,JB_S,"[ALT_VIEW]",JB_B,1,JB_EX,"P-5c",JB_CC,"Ordnance",JB_H,"DDG",JB_R,"&lt;&gt;")+SUMIFS(JB_N,JB_S,"[ALT_VIEW]",JB_B,1,JB_EX,"P-5c",JB_CC,"Ordnance",JB_H,"DDG",JB_R,"",JB_N,"&lt;&gt;")+SUMIFS(JB_L,JB_S,"[ALT_VIEW]",JB_B,1,JB_EX,"P-5c",JB_CC,"Ordnance",JB_H,"DDG",JB_R,"",JB_N,"")</f>
        <v/>
      </c>
      <c r="C12" s="25">
        <f>SUMIFS(JB_R,JB_S,"[ALT_VIEW]",JB_B,1,JB_EX,"P-5c",JB_CC,"Ordnance",JB_H,"FFG",JB_R,"&lt;&gt;")+SUMIFS(JB_N,JB_S,"[ALT_VIEW]",JB_B,1,JB_EX,"P-5c",JB_CC,"Ordnance",JB_H,"FFG",JB_R,"",JB_N,"&lt;&gt;")+SUMIFS(JB_L,JB_S,"[ALT_VIEW]",JB_B,1,JB_EX,"P-5c",JB_CC,"Ordnance",JB_H,"FFG",JB_R,"",JB_N,"")</f>
        <v/>
      </c>
      <c r="D12" s="25">
        <f>SUMIFS(JB_R,JB_S,"[ALT_VIEW]",JB_B,1,JB_EX,"P-5c",JB_CC,"Ordnance",JB_H,"LPD",JB_R,"&lt;&gt;")+SUMIFS(JB_N,JB_S,"[ALT_VIEW]",JB_B,1,JB_EX,"P-5c",JB_CC,"Ordnance",JB_H,"LPD",JB_R,"",JB_N,"&lt;&gt;")+SUMIFS(JB_L,JB_S,"[ALT_VIEW]",JB_B,1,JB_EX,"P-5c",JB_CC,"Ordnance",JB_H,"LPD",JB_R,"",JB_N,"")</f>
        <v/>
      </c>
      <c r="E12" s="25">
        <f>SUMIFS(JB_R,JB_S,"[ALT_VIEW]",JB_B,1,JB_EX,"P-5c",JB_CC,"Ordnance",JB_H,"LHA",JB_R,"&lt;&gt;")+SUMIFS(JB_N,JB_S,"[ALT_VIEW]",JB_B,1,JB_EX,"P-5c",JB_CC,"Ordnance",JB_H,"LHA",JB_R,"",JB_N,"&lt;&gt;")+SUMIFS(JB_L,JB_S,"[ALT_VIEW]",JB_B,1,JB_EX,"P-5c",JB_CC,"Ordnance",JB_H,"LHA",JB_R,"",JB_N,"")</f>
        <v/>
      </c>
      <c r="F12" s="25">
        <f>SUMIFS(JB_R,JB_S,"[ALT_VIEW]",JB_B,1,JB_EX,"P-5c",JB_CC,"Ordnance",JB_H,"T-AGOS",JB_R,"&lt;&gt;")+SUMIFS(JB_N,JB_S,"[ALT_VIEW]",JB_B,1,JB_EX,"P-5c",JB_CC,"Ordnance",JB_H,"T-AGOS",JB_R,"",JB_N,"&lt;&gt;")+SUMIFS(JB_L,JB_S,"[ALT_VIEW]",JB_B,1,JB_EX,"P-5c",JB_CC,"Ordnance",JB_H,"T-AGOS",JB_R,"",JB_N,"")</f>
        <v/>
      </c>
      <c r="G12" s="25">
        <f>SUMIFS(JB_R,JB_S,"[ALT_VIEW]",JB_B,1,JB_EX,"P-5c",JB_CC,"Ordnance",JB_H,"T-EPF",JB_R,"&lt;&gt;")+SUMIFS(JB_N,JB_S,"[ALT_VIEW]",JB_B,1,JB_EX,"P-5c",JB_CC,"Ordnance",JB_H,"T-EPF",JB_R,"",JB_N,"&lt;&gt;")+SUMIFS(JB_L,JB_S,"[ALT_VIEW]",JB_B,1,JB_EX,"P-5c",JB_CC,"Ordnance",JB_H,"T-EPF",JB_R,"",JB_N,"")</f>
        <v/>
      </c>
      <c r="H12" s="25">
        <f>SUMIFS(JB_R,JB_S,"[ALT_VIEW]",JB_B,1,JB_EX,"P-5c",JB_CC,"Ordnance",JB_H,"T-AO",JB_R,"&lt;&gt;")+SUMIFS(JB_N,JB_S,"[ALT_VIEW]",JB_B,1,JB_EX,"P-5c",JB_CC,"Ordnance",JB_H,"T-AO",JB_R,"",JB_N,"&lt;&gt;")+SUMIFS(JB_L,JB_S,"[ALT_VIEW]",JB_B,1,JB_EX,"P-5c",JB_CC,"Ordnance",JB_H,"T-AO",JB_R,"",JB_N,"")</f>
        <v/>
      </c>
      <c r="I12" s="25">
        <f>SUMIFS(JB_R,JB_S,"[ALT_VIEW]",JB_B,1,JB_EX,"P-5c",JB_CC,"Ordnance",JB_H,"T-ATS",JB_R,"&lt;&gt;")+SUMIFS(JB_N,JB_S,"[ALT_VIEW]",JB_B,1,JB_EX,"P-5c",JB_CC,"Ordnance",JB_H,"T-ATS",JB_R,"",JB_N,"&lt;&gt;")+SUMIFS(JB_L,JB_S,"[ALT_VIEW]",JB_B,1,JB_EX,"P-5c",JB_CC,"Ordnance",JB_H,"T-ATS",JB_R,"",JB_N,"")</f>
        <v/>
      </c>
      <c r="J12" s="39">
        <f>SUM(B12:I12)</f>
        <v/>
      </c>
    </row>
    <row r="13" ht="10" customHeight="1">
      <c r="A13" s="24" t="inlineStr">
        <is>
          <t>Other Cost</t>
        </is>
      </c>
      <c r="B13" s="39">
        <f>SUMIFS(JB_R,JB_S,"[ALT_VIEW]",JB_B,1,JB_EX,"P-5c",JB_CC,"Other Cost",JB_H,"DDG",JB_R,"&lt;&gt;")+SUMIFS(JB_N,JB_S,"[ALT_VIEW]",JB_B,1,JB_EX,"P-5c",JB_CC,"Other Cost",JB_H,"DDG",JB_R,"",JB_N,"&lt;&gt;")+SUMIFS(JB_L,JB_S,"[ALT_VIEW]",JB_B,1,JB_EX,"P-5c",JB_CC,"Other Cost",JB_H,"DDG",JB_R,"",JB_N,"")</f>
        <v/>
      </c>
      <c r="C13" s="25">
        <f>SUMIFS(JB_R,JB_S,"[ALT_VIEW]",JB_B,1,JB_EX,"P-5c",JB_CC,"Other Cost",JB_H,"FFG",JB_R,"&lt;&gt;")+SUMIFS(JB_N,JB_S,"[ALT_VIEW]",JB_B,1,JB_EX,"P-5c",JB_CC,"Other Cost",JB_H,"FFG",JB_R,"",JB_N,"&lt;&gt;")+SUMIFS(JB_L,JB_S,"[ALT_VIEW]",JB_B,1,JB_EX,"P-5c",JB_CC,"Other Cost",JB_H,"FFG",JB_R,"",JB_N,"")</f>
        <v/>
      </c>
      <c r="D13" s="25">
        <f>SUMIFS(JB_R,JB_S,"[ALT_VIEW]",JB_B,1,JB_EX,"P-5c",JB_CC,"Other Cost",JB_H,"LPD",JB_R,"&lt;&gt;")+SUMIFS(JB_N,JB_S,"[ALT_VIEW]",JB_B,1,JB_EX,"P-5c",JB_CC,"Other Cost",JB_H,"LPD",JB_R,"",JB_N,"&lt;&gt;")+SUMIFS(JB_L,JB_S,"[ALT_VIEW]",JB_B,1,JB_EX,"P-5c",JB_CC,"Other Cost",JB_H,"LPD",JB_R,"",JB_N,"")</f>
        <v/>
      </c>
      <c r="E13" s="25">
        <f>SUMIFS(JB_R,JB_S,"[ALT_VIEW]",JB_B,1,JB_EX,"P-5c",JB_CC,"Other Cost",JB_H,"LHA",JB_R,"&lt;&gt;")+SUMIFS(JB_N,JB_S,"[ALT_VIEW]",JB_B,1,JB_EX,"P-5c",JB_CC,"Other Cost",JB_H,"LHA",JB_R,"",JB_N,"&lt;&gt;")+SUMIFS(JB_L,JB_S,"[ALT_VIEW]",JB_B,1,JB_EX,"P-5c",JB_CC,"Other Cost",JB_H,"LHA",JB_R,"",JB_N,"")</f>
        <v/>
      </c>
      <c r="F13" s="25">
        <f>SUMIFS(JB_R,JB_S,"[ALT_VIEW]",JB_B,1,JB_EX,"P-5c",JB_CC,"Other Cost",JB_H,"T-AGOS",JB_R,"&lt;&gt;")+SUMIFS(JB_N,JB_S,"[ALT_VIEW]",JB_B,1,JB_EX,"P-5c",JB_CC,"Other Cost",JB_H,"T-AGOS",JB_R,"",JB_N,"&lt;&gt;")+SUMIFS(JB_L,JB_S,"[ALT_VIEW]",JB_B,1,JB_EX,"P-5c",JB_CC,"Other Cost",JB_H,"T-AGOS",JB_R,"",JB_N,"")</f>
        <v/>
      </c>
      <c r="G13" s="25">
        <f>SUMIFS(JB_R,JB_S,"[ALT_VIEW]",JB_B,1,JB_EX,"P-5c",JB_CC,"Other Cost",JB_H,"T-EPF",JB_R,"&lt;&gt;")+SUMIFS(JB_N,JB_S,"[ALT_VIEW]",JB_B,1,JB_EX,"P-5c",JB_CC,"Other Cost",JB_H,"T-EPF",JB_R,"",JB_N,"&lt;&gt;")+SUMIFS(JB_L,JB_S,"[ALT_VIEW]",JB_B,1,JB_EX,"P-5c",JB_CC,"Other Cost",JB_H,"T-EPF",JB_R,"",JB_N,"")</f>
        <v/>
      </c>
      <c r="H13" s="25">
        <f>SUMIFS(JB_R,JB_S,"[ALT_VIEW]",JB_B,1,JB_EX,"P-5c",JB_CC,"Other Cost",JB_H,"T-AO",JB_R,"&lt;&gt;")+SUMIFS(JB_N,JB_S,"[ALT_VIEW]",JB_B,1,JB_EX,"P-5c",JB_CC,"Other Cost",JB_H,"T-AO",JB_R,"",JB_N,"&lt;&gt;")+SUMIFS(JB_L,JB_S,"[ALT_VIEW]",JB_B,1,JB_EX,"P-5c",JB_CC,"Other Cost",JB_H,"T-AO",JB_R,"",JB_N,"")</f>
        <v/>
      </c>
      <c r="I13" s="25">
        <f>SUMIFS(JB_R,JB_S,"[ALT_VIEW]",JB_B,1,JB_EX,"P-5c",JB_CC,"Other Cost",JB_H,"T-ATS",JB_R,"&lt;&gt;")+SUMIFS(JB_N,JB_S,"[ALT_VIEW]",JB_B,1,JB_EX,"P-5c",JB_CC,"Other Cost",JB_H,"T-ATS",JB_R,"",JB_N,"&lt;&gt;")+SUMIFS(JB_L,JB_S,"[ALT_VIEW]",JB_B,1,JB_EX,"P-5c",JB_CC,"Other Cost",JB_H,"T-ATS",JB_R,"",JB_N,"")</f>
        <v/>
      </c>
      <c r="J13" s="39">
        <f>SUM(B13:I13)</f>
        <v/>
      </c>
    </row>
    <row r="14" ht="10" customHeight="1">
      <c r="A14" s="26" t="inlineStr">
        <is>
          <t>Gross Total ($K)</t>
        </is>
      </c>
      <c r="B14" s="38">
        <f>SUM(B7:B13)</f>
        <v/>
      </c>
      <c r="C14" s="27">
        <f>SUM(C7:C13)</f>
        <v/>
      </c>
      <c r="D14" s="27">
        <f>SUM(D7:D13)</f>
        <v/>
      </c>
      <c r="E14" s="27">
        <f>SUM(E7:E13)</f>
        <v/>
      </c>
      <c r="F14" s="27">
        <f>SUM(F7:F13)</f>
        <v/>
      </c>
      <c r="G14" s="27">
        <f>SUM(G7:G13)</f>
        <v/>
      </c>
      <c r="H14" s="27">
        <f>SUM(H7:H13)</f>
        <v/>
      </c>
      <c r="I14" s="27">
        <f>SUM(I7:I13)</f>
        <v/>
      </c>
      <c r="J14" s="38">
        <f>SUM(J7:J13)</f>
        <v/>
      </c>
    </row>
    <row r="15" ht="10" customHeight="1"/>
    <row r="16" ht="10" customHeight="1"/>
    <row r="17" ht="10" customHeight="1">
      <c r="A17" s="21" t="inlineStr">
        <is>
          <t>(B) P-8a System-Level Detail by Hull Program — FY2026 ($K)</t>
        </is>
      </c>
      <c r="B17" s="22" t="n"/>
      <c r="C17" s="22" t="n"/>
      <c r="D17" s="22" t="n"/>
    </row>
    <row r="18" ht="10" customHeight="1">
      <c r="A18" s="20" t="inlineStr">
        <is>
          <t>Individual GFE systems from Exhibit P-8a, grouped by cost category within each hull program.</t>
        </is>
      </c>
    </row>
    <row r="19" ht="10" customHeight="1"/>
    <row r="20" ht="10" customHeight="1">
      <c r="A20" s="40" t="inlineStr">
        <is>
          <t>DDG (Surface Combatants)</t>
        </is>
      </c>
      <c r="B20" s="33" t="n"/>
      <c r="C20" s="33" t="n"/>
      <c r="D20" s="33" t="n"/>
    </row>
    <row r="21" ht="10" customHeight="1">
      <c r="A21" s="23" t="inlineStr">
        <is>
          <t>System</t>
        </is>
      </c>
      <c r="B21" s="23" t="inlineStr">
        <is>
          <t>Cost Category</t>
        </is>
      </c>
      <c r="C21" s="23" t="inlineStr">
        <is>
          <t>FY2026 ($K)</t>
        </is>
      </c>
      <c r="D21" s="23" t="inlineStr">
        <is>
          <t>% of Hull</t>
        </is>
      </c>
    </row>
    <row r="22" ht="10" customHeight="1">
      <c r="A22" s="24" t="inlineStr">
        <is>
          <t>VERTICAL LAUNCHING SYSTEM (VLS) MK 57 4-CELL MODULES</t>
        </is>
      </c>
      <c r="B22" s="20" t="inlineStr">
        <is>
          <t>Electronics</t>
        </is>
      </c>
      <c r="C22" s="43">
        <f>SUMIFS(JB_R,JB_S,"[ALT_VIEW]",JB_B,1,JB_EX,"P-8a",JB_CC,"Electronics",JB_H,"DDG",JB_CE,"VERTICAL LAUNCHING SYSTEM (VLS) MK 57 4-CELL MODULES",JB_R,"&lt;&gt;")+SUMIFS(JB_N,JB_S,"[ALT_VIEW]",JB_B,1,JB_EX,"P-8a",JB_CC,"Electronics",JB_H,"DDG",JB_CE,"VERTICAL LAUNCHING SYSTEM (VLS) MK 57 4-CELL MODULES",JB_R,"",JB_N,"&lt;&gt;")+SUMIFS(JB_L,JB_S,"[ALT_VIEW]",JB_B,1,JB_EX,"P-8a",JB_CC,"Electronics",JB_H,"DDG",JB_CE,"VERTICAL LAUNCHING SYSTEM (VLS) MK 57 4-CELL MODULES",JB_R,"",JB_N,"")</f>
        <v/>
      </c>
      <c r="D22" s="31">
        <f>IFERROR(C22/C$80,0)</f>
        <v/>
      </c>
    </row>
    <row r="23" ht="10" customHeight="1">
      <c r="A23" s="24" t="inlineStr">
        <is>
          <t>MULTI FUNCTION RADAR (MFR)</t>
        </is>
      </c>
      <c r="B23" s="20" t="inlineStr">
        <is>
          <t>Electronics</t>
        </is>
      </c>
      <c r="C23" s="43">
        <f>SUMIFS(JB_R,JB_S,"[ALT_VIEW]",JB_B,1,JB_EX,"P-8a",JB_CC,"Electronics",JB_H,"DDG",JB_CE,"MULTI FUNCTION RADAR (MFR)",JB_R,"&lt;&gt;")+SUMIFS(JB_N,JB_S,"[ALT_VIEW]",JB_B,1,JB_EX,"P-8a",JB_CC,"Electronics",JB_H,"DDG",JB_CE,"MULTI FUNCTION RADAR (MFR)",JB_R,"",JB_N,"&lt;&gt;")+SUMIFS(JB_L,JB_S,"[ALT_VIEW]",JB_B,1,JB_EX,"P-8a",JB_CC,"Electronics",JB_H,"DDG",JB_CE,"MULTI FUNCTION RADAR (MFR)",JB_R,"",JB_N,"")</f>
        <v/>
      </c>
      <c r="D23" s="31">
        <f>IFERROR(C23/C$80,0)</f>
        <v/>
      </c>
    </row>
    <row r="24" ht="10" customHeight="1">
      <c r="A24" s="24" t="inlineStr">
        <is>
          <t>TOTAL SHIP COMPUTING ENVIRONMENT (TSCE)</t>
        </is>
      </c>
      <c r="B24" s="20" t="inlineStr">
        <is>
          <t>Electronics</t>
        </is>
      </c>
      <c r="C24" s="43">
        <f>SUMIFS(JB_R,JB_S,"[ALT_VIEW]",JB_B,1,JB_EX,"P-8a",JB_CC,"Electronics",JB_H,"DDG",JB_CE,"TOTAL SHIP COMPUTING ENVIRONMENT (TSCE)",JB_R,"&lt;&gt;")+SUMIFS(JB_N,JB_S,"[ALT_VIEW]",JB_B,1,JB_EX,"P-8a",JB_CC,"Electronics",JB_H,"DDG",JB_CE,"TOTAL SHIP COMPUTING ENVIRONMENT (TSCE)",JB_R,"",JB_N,"&lt;&gt;")+SUMIFS(JB_L,JB_S,"[ALT_VIEW]",JB_B,1,JB_EX,"P-8a",JB_CC,"Electronics",JB_H,"DDG",JB_CE,"TOTAL SHIP COMPUTING ENVIRONMENT (TSCE)",JB_R,"",JB_N,"")</f>
        <v/>
      </c>
      <c r="D24" s="31">
        <f>IFERROR(C24/C$80,0)</f>
        <v/>
      </c>
    </row>
    <row r="25" ht="10" customHeight="1">
      <c r="A25" s="24" t="inlineStr">
        <is>
          <t>AN/SLQ-32 SEWIP V(7)</t>
        </is>
      </c>
      <c r="B25" s="20" t="inlineStr">
        <is>
          <t>Electronics</t>
        </is>
      </c>
      <c r="C25" s="43">
        <f>SUMIFS(JB_R,JB_S,"[ALT_VIEW]",JB_B,1,JB_EX,"P-8a",JB_CC,"Electronics",JB_H,"DDG",JB_CE,"AN/SLQ-32 SEWIP V(7)",JB_R,"&lt;&gt;")+SUMIFS(JB_N,JB_S,"[ALT_VIEW]",JB_B,1,JB_EX,"P-8a",JB_CC,"Electronics",JB_H,"DDG",JB_CE,"AN/SLQ-32 SEWIP V(7)",JB_R,"",JB_N,"&lt;&gt;")+SUMIFS(JB_L,JB_S,"[ALT_VIEW]",JB_B,1,JB_EX,"P-8a",JB_CC,"Electronics",JB_H,"DDG",JB_CE,"AN/SLQ-32 SEWIP V(7)",JB_R,"",JB_N,"")</f>
        <v/>
      </c>
      <c r="D25" s="31">
        <f>IFERROR(C25/C$80,0)</f>
        <v/>
      </c>
    </row>
    <row r="26" ht="10" customHeight="1">
      <c r="A26" s="24" t="inlineStr">
        <is>
          <t>EXCOMM</t>
        </is>
      </c>
      <c r="B26" s="20" t="inlineStr">
        <is>
          <t>Electronics</t>
        </is>
      </c>
      <c r="C26" s="43">
        <f>SUMIFS(JB_R,JB_S,"[ALT_VIEW]",JB_B,1,JB_EX,"P-8a",JB_CC,"Electronics",JB_H,"DDG",JB_CE,"EXCOMM",JB_R,"&lt;&gt;")+SUMIFS(JB_N,JB_S,"[ALT_VIEW]",JB_B,1,JB_EX,"P-8a",JB_CC,"Electronics",JB_H,"DDG",JB_CE,"EXCOMM",JB_R,"",JB_N,"&lt;&gt;")+SUMIFS(JB_L,JB_S,"[ALT_VIEW]",JB_B,1,JB_EX,"P-8a",JB_CC,"Electronics",JB_H,"DDG",JB_CE,"EXCOMM",JB_R,"",JB_N,"")</f>
        <v/>
      </c>
      <c r="D26" s="31">
        <f>IFERROR(C26/C$80,0)</f>
        <v/>
      </c>
    </row>
    <row r="27" ht="10" customHeight="1">
      <c r="A27" s="24" t="inlineStr">
        <is>
          <t>SQQ 89 ASW</t>
        </is>
      </c>
      <c r="B27" s="20" t="inlineStr">
        <is>
          <t>Electronics</t>
        </is>
      </c>
      <c r="C27" s="43">
        <f>SUMIFS(JB_R,JB_S,"[ALT_VIEW]",JB_B,1,JB_EX,"P-8a",JB_CC,"Electronics",JB_H,"DDG",JB_CE,"SQQ 89 ASW",JB_R,"&lt;&gt;")+SUMIFS(JB_N,JB_S,"[ALT_VIEW]",JB_B,1,JB_EX,"P-8a",JB_CC,"Electronics",JB_H,"DDG",JB_CE,"SQQ 89 ASW",JB_R,"",JB_N,"&lt;&gt;")+SUMIFS(JB_L,JB_S,"[ALT_VIEW]",JB_B,1,JB_EX,"P-8a",JB_CC,"Electronics",JB_H,"DDG",JB_CE,"SQQ 89 ASW",JB_R,"",JB_N,"")</f>
        <v/>
      </c>
      <c r="D27" s="31">
        <f>IFERROR(C27/C$80,0)</f>
        <v/>
      </c>
    </row>
    <row r="28" ht="10" customHeight="1">
      <c r="A28" s="24" t="inlineStr">
        <is>
          <t>MISSION SYSTEM ENGR INTEGR &amp; TEST (MSEIT)</t>
        </is>
      </c>
      <c r="B28" s="20" t="inlineStr">
        <is>
          <t>Electronics</t>
        </is>
      </c>
      <c r="C28" s="43">
        <f>SUMIFS(JB_R,JB_S,"[ALT_VIEW]",JB_B,1,JB_EX,"P-8a",JB_CC,"Electronics",JB_H,"DDG",JB_CE,"MISSION SYSTEM ENGR INTEGR &amp; TEST (MSEIT)",JB_R,"&lt;&gt;")+SUMIFS(JB_N,JB_S,"[ALT_VIEW]",JB_B,1,JB_EX,"P-8a",JB_CC,"Electronics",JB_H,"DDG",JB_CE,"MISSION SYSTEM ENGR INTEGR &amp; TEST (MSEIT)",JB_R,"",JB_N,"&lt;&gt;")+SUMIFS(JB_L,JB_S,"[ALT_VIEW]",JB_B,1,JB_EX,"P-8a",JB_CC,"Electronics",JB_H,"DDG",JB_CE,"MISSION SYSTEM ENGR INTEGR &amp; TEST (MSEIT)",JB_R,"",JB_N,"")</f>
        <v/>
      </c>
      <c r="D28" s="31">
        <f>IFERROR(C28/C$80,0)</f>
        <v/>
      </c>
    </row>
    <row r="29" ht="10" customHeight="1">
      <c r="A29" s="24" t="inlineStr">
        <is>
          <t>MISSION SYSTEM ACTIVATION</t>
        </is>
      </c>
      <c r="B29" s="20" t="inlineStr">
        <is>
          <t>Electronics</t>
        </is>
      </c>
      <c r="C29" s="43">
        <f>SUMIFS(JB_R,JB_S,"[ALT_VIEW]",JB_B,1,JB_EX,"P-8a",JB_CC,"Electronics",JB_H,"DDG",JB_CE,"MISSION SYSTEM ACTIVATION",JB_R,"&lt;&gt;")+SUMIFS(JB_N,JB_S,"[ALT_VIEW]",JB_B,1,JB_EX,"P-8a",JB_CC,"Electronics",JB_H,"DDG",JB_CE,"MISSION SYSTEM ACTIVATION",JB_R,"",JB_N,"&lt;&gt;")+SUMIFS(JB_L,JB_S,"[ALT_VIEW]",JB_B,1,JB_EX,"P-8a",JB_CC,"Electronics",JB_H,"DDG",JB_CE,"MISSION SYSTEM ACTIVATION",JB_R,"",JB_N,"")</f>
        <v/>
      </c>
      <c r="D29" s="31">
        <f>IFERROR(C29/C$80,0)</f>
        <v/>
      </c>
    </row>
    <row r="30" ht="10" customHeight="1">
      <c r="A30" s="24" t="inlineStr">
        <is>
          <t>SHIP CONTROL SYSTEM (SCS)</t>
        </is>
      </c>
      <c r="B30" s="20" t="inlineStr">
        <is>
          <t>Electronics</t>
        </is>
      </c>
      <c r="C30" s="43">
        <f>SUMIFS(JB_R,JB_S,"[ALT_VIEW]",JB_B,1,JB_EX,"P-8a",JB_CC,"Electronics",JB_H,"DDG",JB_CE,"SHIP CONTROL SYSTEM (SCS)",JB_R,"&lt;&gt;")+SUMIFS(JB_N,JB_S,"[ALT_VIEW]",JB_B,1,JB_EX,"P-8a",JB_CC,"Electronics",JB_H,"DDG",JB_CE,"SHIP CONTROL SYSTEM (SCS)",JB_R,"",JB_N,"&lt;&gt;")+SUMIFS(JB_L,JB_S,"[ALT_VIEW]",JB_B,1,JB_EX,"P-8a",JB_CC,"Electronics",JB_H,"DDG",JB_CE,"SHIP CONTROL SYSTEM (SCS)",JB_R,"",JB_N,"")</f>
        <v/>
      </c>
      <c r="D30" s="31">
        <f>IFERROR(C30/C$80,0)</f>
        <v/>
      </c>
    </row>
    <row r="31" ht="10" customHeight="1">
      <c r="A31" s="24" t="inlineStr">
        <is>
          <t>INTEGRATED UNDERSEA WARFARE (IUSW) SYSTEM</t>
        </is>
      </c>
      <c r="B31" s="20" t="inlineStr">
        <is>
          <t>Electronics</t>
        </is>
      </c>
      <c r="C31" s="43">
        <f>SUMIFS(JB_R,JB_S,"[ALT_VIEW]",JB_B,1,JB_EX,"P-8a",JB_CC,"Electronics",JB_H,"DDG",JB_CE,"INTEGRATED UNDERSEA WARFARE (IUSW) SYSTEM",JB_R,"&lt;&gt;")+SUMIFS(JB_N,JB_S,"[ALT_VIEW]",JB_B,1,JB_EX,"P-8a",JB_CC,"Electronics",JB_H,"DDG",JB_CE,"INTEGRATED UNDERSEA WARFARE (IUSW) SYSTEM",JB_R,"",JB_N,"&lt;&gt;")+SUMIFS(JB_L,JB_S,"[ALT_VIEW]",JB_B,1,JB_EX,"P-8a",JB_CC,"Electronics",JB_H,"DDG",JB_CE,"INTEGRATED UNDERSEA WARFARE (IUSW) SYSTEM",JB_R,"",JB_N,"")</f>
        <v/>
      </c>
      <c r="D31" s="31">
        <f>IFERROR(C31/C$80,0)</f>
        <v/>
      </c>
    </row>
    <row r="32" ht="10" customHeight="1">
      <c r="A32" s="24" t="inlineStr">
        <is>
          <t>MISC. ELECTRONICS</t>
        </is>
      </c>
      <c r="B32" s="20" t="inlineStr">
        <is>
          <t>Electronics</t>
        </is>
      </c>
      <c r="C32" s="43">
        <f>SUMIFS(JB_R,JB_S,"[ALT_VIEW]",JB_B,1,JB_EX,"P-8a",JB_CC,"Electronics",JB_H,"DDG",JB_CE,"MISC. ELECTRONICS",JB_R,"&lt;&gt;")+SUMIFS(JB_N,JB_S,"[ALT_VIEW]",JB_B,1,JB_EX,"P-8a",JB_CC,"Electronics",JB_H,"DDG",JB_CE,"MISC. ELECTRONICS",JB_R,"",JB_N,"&lt;&gt;")+SUMIFS(JB_L,JB_S,"[ALT_VIEW]",JB_B,1,JB_EX,"P-8a",JB_CC,"Electronics",JB_H,"DDG",JB_CE,"MISC. ELECTRONICS",JB_R,"",JB_N,"")</f>
        <v/>
      </c>
      <c r="D32" s="31">
        <f>IFERROR(C32/C$80,0)</f>
        <v/>
      </c>
    </row>
    <row r="33" ht="10" customHeight="1">
      <c r="A33" s="24" t="inlineStr">
        <is>
          <t>EXTERIOR COMMUNICATIONS (EXCOMMS)</t>
        </is>
      </c>
      <c r="B33" s="20" t="inlineStr">
        <is>
          <t>Electronics</t>
        </is>
      </c>
      <c r="C33" s="43">
        <f>SUMIFS(JB_R,JB_S,"[ALT_VIEW]",JB_B,1,JB_EX,"P-8a",JB_CC,"Electronics",JB_H,"DDG",JB_CE,"EXTERIOR COMMUNICATIONS (EXCOMMS)",JB_R,"&lt;&gt;")+SUMIFS(JB_N,JB_S,"[ALT_VIEW]",JB_B,1,JB_EX,"P-8a",JB_CC,"Electronics",JB_H,"DDG",JB_CE,"EXTERIOR COMMUNICATIONS (EXCOMMS)",JB_R,"",JB_N,"&lt;&gt;")+SUMIFS(JB_L,JB_S,"[ALT_VIEW]",JB_B,1,JB_EX,"P-8a",JB_CC,"Electronics",JB_H,"DDG",JB_CE,"EXTERIOR COMMUNICATIONS (EXCOMMS)",JB_R,"",JB_N,"")</f>
        <v/>
      </c>
      <c r="D33" s="31">
        <f>IFERROR(C33/C$80,0)</f>
        <v/>
      </c>
    </row>
    <row r="34" ht="10" customHeight="1">
      <c r="A34" s="24" t="inlineStr">
        <is>
          <t>SPECTRAL</t>
        </is>
      </c>
      <c r="B34" s="20" t="inlineStr">
        <is>
          <t>Electronics</t>
        </is>
      </c>
      <c r="C34" s="43">
        <f>SUMIFS(JB_R,JB_S,"[ALT_VIEW]",JB_B,1,JB_EX,"P-8a",JB_CC,"Electronics",JB_H,"DDG",JB_CE,"SPECTRAL",JB_R,"&lt;&gt;")+SUMIFS(JB_N,JB_S,"[ALT_VIEW]",JB_B,1,JB_EX,"P-8a",JB_CC,"Electronics",JB_H,"DDG",JB_CE,"SPECTRAL",JB_R,"",JB_N,"&lt;&gt;")+SUMIFS(JB_L,JB_S,"[ALT_VIEW]",JB_B,1,JB_EX,"P-8a",JB_CC,"Electronics",JB_H,"DDG",JB_CE,"SPECTRAL",JB_R,"",JB_N,"")</f>
        <v/>
      </c>
      <c r="D34" s="31">
        <f>IFERROR(C34/C$80,0)</f>
        <v/>
      </c>
    </row>
    <row r="35" ht="10" customHeight="1">
      <c r="A35" s="24" t="inlineStr">
        <is>
          <t>DDG 1002 TSCE MODERNIZATION</t>
        </is>
      </c>
      <c r="B35" s="20" t="inlineStr">
        <is>
          <t>Electronics</t>
        </is>
      </c>
      <c r="C35" s="43">
        <f>SUMIFS(JB_R,JB_S,"[ALT_VIEW]",JB_B,1,JB_EX,"P-8a",JB_CC,"Electronics",JB_H,"DDG",JB_CE,"DDG 1002 TSCE MODERNIZATION",JB_R,"&lt;&gt;")+SUMIFS(JB_N,JB_S,"[ALT_VIEW]",JB_B,1,JB_EX,"P-8a",JB_CC,"Electronics",JB_H,"DDG",JB_CE,"DDG 1002 TSCE MODERNIZATION",JB_R,"",JB_N,"&lt;&gt;")+SUMIFS(JB_L,JB_S,"[ALT_VIEW]",JB_B,1,JB_EX,"P-8a",JB_CC,"Electronics",JB_H,"DDG",JB_CE,"DDG 1002 TSCE MODERNIZATION",JB_R,"",JB_N,"")</f>
        <v/>
      </c>
      <c r="D35" s="31">
        <f>IFERROR(C35/C$80,0)</f>
        <v/>
      </c>
    </row>
    <row r="36" ht="10" customHeight="1">
      <c r="A36" s="24" t="inlineStr">
        <is>
          <t>USQ 82(V) GEDMS</t>
        </is>
      </c>
      <c r="B36" s="20" t="inlineStr">
        <is>
          <t>Electronics</t>
        </is>
      </c>
      <c r="C36" s="43">
        <f>SUMIFS(JB_R,JB_S,"[ALT_VIEW]",JB_B,1,JB_EX,"P-8a",JB_CC,"Electronics",JB_H,"DDG",JB_CE,"USQ 82(V) GEDMS",JB_R,"&lt;&gt;")+SUMIFS(JB_N,JB_S,"[ALT_VIEW]",JB_B,1,JB_EX,"P-8a",JB_CC,"Electronics",JB_H,"DDG",JB_CE,"USQ 82(V) GEDMS",JB_R,"",JB_N,"&lt;&gt;")+SUMIFS(JB_L,JB_S,"[ALT_VIEW]",JB_B,1,JB_EX,"P-8a",JB_CC,"Electronics",JB_H,"DDG",JB_CE,"USQ 82(V) GEDMS",JB_R,"",JB_N,"")</f>
        <v/>
      </c>
      <c r="D36" s="31">
        <f>IFERROR(C36/C$80,0)</f>
        <v/>
      </c>
    </row>
    <row r="37" ht="10" customHeight="1">
      <c r="A37" s="24" t="inlineStr">
        <is>
          <t>ELECTRO-OPTICAL / INFRARED (EO/IR)</t>
        </is>
      </c>
      <c r="B37" s="20" t="inlineStr">
        <is>
          <t>Electronics</t>
        </is>
      </c>
      <c r="C37" s="43">
        <f>SUMIFS(JB_R,JB_S,"[ALT_VIEW]",JB_B,1,JB_EX,"P-8a",JB_CC,"Electronics",JB_H,"DDG",JB_CE,"ELECTRO-OPTICAL / INFRARED (EO/IR)",JB_R,"&lt;&gt;")+SUMIFS(JB_N,JB_S,"[ALT_VIEW]",JB_B,1,JB_EX,"P-8a",JB_CC,"Electronics",JB_H,"DDG",JB_CE,"ELECTRO-OPTICAL / INFRARED (EO/IR)",JB_R,"",JB_N,"&lt;&gt;")+SUMIFS(JB_L,JB_S,"[ALT_VIEW]",JB_B,1,JB_EX,"P-8a",JB_CC,"Electronics",JB_H,"DDG",JB_CE,"ELECTRO-OPTICAL / INFRARED (EO/IR)",JB_R,"",JB_N,"")</f>
        <v/>
      </c>
      <c r="D37" s="31">
        <f>IFERROR(C37/C$80,0)</f>
        <v/>
      </c>
    </row>
    <row r="38" ht="10" customHeight="1">
      <c r="A38" s="24" t="inlineStr">
        <is>
          <t>IDENTIFICATION FRIEND OR FOE (IFF)</t>
        </is>
      </c>
      <c r="B38" s="20" t="inlineStr">
        <is>
          <t>Electronics</t>
        </is>
      </c>
      <c r="C38" s="43">
        <f>SUMIFS(JB_R,JB_S,"[ALT_VIEW]",JB_B,1,JB_EX,"P-8a",JB_CC,"Electronics",JB_H,"DDG",JB_CE,"IDENTIFICATION FRIEND OR FOE (IFF)",JB_R,"&lt;&gt;")+SUMIFS(JB_N,JB_S,"[ALT_VIEW]",JB_B,1,JB_EX,"P-8a",JB_CC,"Electronics",JB_H,"DDG",JB_CE,"IDENTIFICATION FRIEND OR FOE (IFF)",JB_R,"",JB_N,"&lt;&gt;")+SUMIFS(JB_L,JB_S,"[ALT_VIEW]",JB_B,1,JB_EX,"P-8a",JB_CC,"Electronics",JB_H,"DDG",JB_CE,"IDENTIFICATION FRIEND OR FOE (IFF)",JB_R,"",JB_N,"")</f>
        <v/>
      </c>
      <c r="D38" s="31">
        <f>IFERROR(C38/C$80,0)</f>
        <v/>
      </c>
    </row>
    <row r="39" ht="10" customHeight="1">
      <c r="A39" s="24" t="inlineStr">
        <is>
          <t>DDG 1002 UNIVERSAL CANISTER ELECTRICAL UNITS (UCEU)</t>
        </is>
      </c>
      <c r="B39" s="20" t="inlineStr">
        <is>
          <t>Electronics</t>
        </is>
      </c>
      <c r="C39" s="43">
        <f>SUMIFS(JB_R,JB_S,"[ALT_VIEW]",JB_B,1,JB_EX,"P-8a",JB_CC,"Electronics",JB_H,"DDG",JB_CE,"DDG 1002 UNIVERSAL CANISTER ELECTRICAL UNITS (UCEU)",JB_R,"&lt;&gt;")+SUMIFS(JB_N,JB_S,"[ALT_VIEW]",JB_B,1,JB_EX,"P-8a",JB_CC,"Electronics",JB_H,"DDG",JB_CE,"DDG 1002 UNIVERSAL CANISTER ELECTRICAL UNITS (UCEU)",JB_R,"",JB_N,"&lt;&gt;")+SUMIFS(JB_L,JB_S,"[ALT_VIEW]",JB_B,1,JB_EX,"P-8a",JB_CC,"Electronics",JB_H,"DDG",JB_CE,"DDG 1002 UNIVERSAL CANISTER ELECTRICAL UNITS (UCEU)",JB_R,"",JB_N,"")</f>
        <v/>
      </c>
      <c r="D39" s="31">
        <f>IFERROR(C39/C$80,0)</f>
        <v/>
      </c>
    </row>
    <row r="40" ht="10" customHeight="1">
      <c r="A40" s="24" t="inlineStr">
        <is>
          <t>AN/UPX 29(V) IFF and TACAN</t>
        </is>
      </c>
      <c r="B40" s="20" t="inlineStr">
        <is>
          <t>Electronics</t>
        </is>
      </c>
      <c r="C40" s="43">
        <f>SUMIFS(JB_R,JB_S,"[ALT_VIEW]",JB_B,1,JB_EX,"P-8a",JB_CC,"Electronics",JB_H,"DDG",JB_CE,"AN/UPX 29(V) IFF and TACAN",JB_R,"&lt;&gt;")+SUMIFS(JB_N,JB_S,"[ALT_VIEW]",JB_B,1,JB_EX,"P-8a",JB_CC,"Electronics",JB_H,"DDG",JB_CE,"AN/UPX 29(V) IFF and TACAN",JB_R,"",JB_N,"&lt;&gt;")+SUMIFS(JB_L,JB_S,"[ALT_VIEW]",JB_B,1,JB_EX,"P-8a",JB_CC,"Electronics",JB_H,"DDG",JB_CE,"AN/UPX 29(V) IFF and TACAN",JB_R,"",JB_N,"")</f>
        <v/>
      </c>
      <c r="D40" s="31">
        <f>IFERROR(C40/C$80,0)</f>
        <v/>
      </c>
    </row>
    <row r="41" ht="10" customHeight="1">
      <c r="A41" s="24" t="inlineStr">
        <is>
          <t>SRQ 4 LAMPS III</t>
        </is>
      </c>
      <c r="B41" s="20" t="inlineStr">
        <is>
          <t>Electronics</t>
        </is>
      </c>
      <c r="C41" s="43">
        <f>SUMIFS(JB_R,JB_S,"[ALT_VIEW]",JB_B,1,JB_EX,"P-8a",JB_CC,"Electronics",JB_H,"DDG",JB_CE,"SRQ 4 LAMPS III",JB_R,"&lt;&gt;")+SUMIFS(JB_N,JB_S,"[ALT_VIEW]",JB_B,1,JB_EX,"P-8a",JB_CC,"Electronics",JB_H,"DDG",JB_CE,"SRQ 4 LAMPS III",JB_R,"",JB_N,"&lt;&gt;")+SUMIFS(JB_L,JB_S,"[ALT_VIEW]",JB_B,1,JB_EX,"P-8a",JB_CC,"Electronics",JB_H,"DDG",JB_CE,"SRQ 4 LAMPS III",JB_R,"",JB_N,"")</f>
        <v/>
      </c>
      <c r="D41" s="31">
        <f>IFERROR(C41/C$80,0)</f>
        <v/>
      </c>
    </row>
    <row r="42" ht="10" customHeight="1">
      <c r="A42" s="24" t="inlineStr">
        <is>
          <t>CEC</t>
        </is>
      </c>
      <c r="B42" s="20" t="inlineStr">
        <is>
          <t>Electronics</t>
        </is>
      </c>
      <c r="C42" s="43">
        <f>SUMIFS(JB_R,JB_S,"[ALT_VIEW]",JB_B,1,JB_EX,"P-8a",JB_CC,"Electronics",JB_H,"DDG",JB_CE,"CEC",JB_R,"&lt;&gt;")+SUMIFS(JB_N,JB_S,"[ALT_VIEW]",JB_B,1,JB_EX,"P-8a",JB_CC,"Electronics",JB_H,"DDG",JB_CE,"CEC",JB_R,"",JB_N,"&lt;&gt;")+SUMIFS(JB_L,JB_S,"[ALT_VIEW]",JB_B,1,JB_EX,"P-8a",JB_CC,"Electronics",JB_H,"DDG",JB_CE,"CEC",JB_R,"",JB_N,"")</f>
        <v/>
      </c>
      <c r="D42" s="31">
        <f>IFERROR(C42/C$80,0)</f>
        <v/>
      </c>
    </row>
    <row r="43" ht="10" customHeight="1">
      <c r="A43" s="24" t="inlineStr">
        <is>
          <t>SURFACE ELECTRONIC WARFARE IMPROVEMENT PROGRAM (SEWIP)</t>
        </is>
      </c>
      <c r="B43" s="20" t="inlineStr">
        <is>
          <t>Electronics</t>
        </is>
      </c>
      <c r="C43" s="43">
        <f>SUMIFS(JB_R,JB_S,"[ALT_VIEW]",JB_B,1,JB_EX,"P-8a",JB_CC,"Electronics",JB_H,"DDG",JB_CE,"SURFACE ELECTRONIC WARFARE IMPROVEMENT PROGRAM (SEWIP)",JB_R,"&lt;&gt;")+SUMIFS(JB_N,JB_S,"[ALT_VIEW]",JB_B,1,JB_EX,"P-8a",JB_CC,"Electronics",JB_H,"DDG",JB_CE,"SURFACE ELECTRONIC WARFARE IMPROVEMENT PROGRAM (SEWIP)",JB_R,"",JB_N,"&lt;&gt;")+SUMIFS(JB_L,JB_S,"[ALT_VIEW]",JB_B,1,JB_EX,"P-8a",JB_CC,"Electronics",JB_H,"DDG",JB_CE,"SURFACE ELECTRONIC WARFARE IMPROVEMENT PROGRAM (SEWIP)",JB_R,"",JB_N,"")</f>
        <v/>
      </c>
      <c r="D43" s="31">
        <f>IFERROR(C43/C$80,0)</f>
        <v/>
      </c>
    </row>
    <row r="44" ht="10" customHeight="1">
      <c r="A44" s="24" t="inlineStr">
        <is>
          <t>COMMON ARRAY POWER SYSTEM (CAPS)</t>
        </is>
      </c>
      <c r="B44" s="20" t="inlineStr">
        <is>
          <t>Electronics</t>
        </is>
      </c>
      <c r="C44" s="43">
        <f>SUMIFS(JB_R,JB_S,"[ALT_VIEW]",JB_B,1,JB_EX,"P-8a",JB_CC,"Electronics",JB_H,"DDG",JB_CE,"COMMON ARRAY POWER SYSTEM (CAPS)",JB_R,"&lt;&gt;")+SUMIFS(JB_N,JB_S,"[ALT_VIEW]",JB_B,1,JB_EX,"P-8a",JB_CC,"Electronics",JB_H,"DDG",JB_CE,"COMMON ARRAY POWER SYSTEM (CAPS)",JB_R,"",JB_N,"&lt;&gt;")+SUMIFS(JB_L,JB_S,"[ALT_VIEW]",JB_B,1,JB_EX,"P-8a",JB_CC,"Electronics",JB_H,"DDG",JB_CE,"COMMON ARRAY POWER SYSTEM (CAPS)",JB_R,"",JB_N,"")</f>
        <v/>
      </c>
      <c r="D44" s="31">
        <f>IFERROR(C44/C$80,0)</f>
        <v/>
      </c>
    </row>
    <row r="45" ht="10" customHeight="1">
      <c r="A45" s="24" t="inlineStr">
        <is>
          <t>NAVIGATION SYSTEM</t>
        </is>
      </c>
      <c r="B45" s="20" t="inlineStr">
        <is>
          <t>Electronics</t>
        </is>
      </c>
      <c r="C45" s="43">
        <f>SUMIFS(JB_R,JB_S,"[ALT_VIEW]",JB_B,1,JB_EX,"P-8a",JB_CC,"Electronics",JB_H,"DDG",JB_CE,"NAVIGATION SYSTEM",JB_R,"&lt;&gt;")+SUMIFS(JB_N,JB_S,"[ALT_VIEW]",JB_B,1,JB_EX,"P-8a",JB_CC,"Electronics",JB_H,"DDG",JB_CE,"NAVIGATION SYSTEM",JB_R,"",JB_N,"&lt;&gt;")+SUMIFS(JB_L,JB_S,"[ALT_VIEW]",JB_B,1,JB_EX,"P-8a",JB_CC,"Electronics",JB_H,"DDG",JB_CE,"NAVIGATION SYSTEM",JB_R,"",JB_N,"")</f>
        <v/>
      </c>
      <c r="D45" s="31">
        <f>IFERROR(C45/C$80,0)</f>
        <v/>
      </c>
    </row>
    <row r="46" ht="10" customHeight="1">
      <c r="A46" s="24" t="inlineStr">
        <is>
          <t>MIDS</t>
        </is>
      </c>
      <c r="B46" s="20" t="inlineStr">
        <is>
          <t>Electronics</t>
        </is>
      </c>
      <c r="C46" s="43">
        <f>SUMIFS(JB_R,JB_S,"[ALT_VIEW]",JB_B,1,JB_EX,"P-8a",JB_CC,"Electronics",JB_H,"DDG",JB_CE,"MIDS",JB_R,"&lt;&gt;")+SUMIFS(JB_N,JB_S,"[ALT_VIEW]",JB_B,1,JB_EX,"P-8a",JB_CC,"Electronics",JB_H,"DDG",JB_CE,"MIDS",JB_R,"",JB_N,"&lt;&gt;")+SUMIFS(JB_L,JB_S,"[ALT_VIEW]",JB_B,1,JB_EX,"P-8a",JB_CC,"Electronics",JB_H,"DDG",JB_CE,"MIDS",JB_R,"",JB_N,"")</f>
        <v/>
      </c>
      <c r="D46" s="31">
        <f>IFERROR(C46/C$80,0)</f>
        <v/>
      </c>
    </row>
    <row r="47" ht="10" customHeight="1">
      <c r="A47" s="24" t="inlineStr">
        <is>
          <t>SLQ 25 NIXIE</t>
        </is>
      </c>
      <c r="B47" s="20" t="inlineStr">
        <is>
          <t>Electronics</t>
        </is>
      </c>
      <c r="C47" s="43">
        <f>SUMIFS(JB_R,JB_S,"[ALT_VIEW]",JB_B,1,JB_EX,"P-8a",JB_CC,"Electronics",JB_H,"DDG",JB_CE,"SLQ 25 NIXIE",JB_R,"&lt;&gt;")+SUMIFS(JB_N,JB_S,"[ALT_VIEW]",JB_B,1,JB_EX,"P-8a",JB_CC,"Electronics",JB_H,"DDG",JB_CE,"SLQ 25 NIXIE",JB_R,"",JB_N,"&lt;&gt;")+SUMIFS(JB_L,JB_S,"[ALT_VIEW]",JB_B,1,JB_EX,"P-8a",JB_CC,"Electronics",JB_H,"DDG",JB_CE,"SLQ 25 NIXIE",JB_R,"",JB_N,"")</f>
        <v/>
      </c>
      <c r="D47" s="31">
        <f>IFERROR(C47/C$80,0)</f>
        <v/>
      </c>
    </row>
    <row r="48" ht="10" customHeight="1">
      <c r="A48" s="24" t="inlineStr">
        <is>
          <t>NGSSR</t>
        </is>
      </c>
      <c r="B48" s="20" t="inlineStr">
        <is>
          <t>Electronics</t>
        </is>
      </c>
      <c r="C48" s="43">
        <f>SUMIFS(JB_R,JB_S,"[ALT_VIEW]",JB_B,1,JB_EX,"P-8a",JB_CC,"Electronics",JB_H,"DDG",JB_CE,"NGSSR",JB_R,"&lt;&gt;")+SUMIFS(JB_N,JB_S,"[ALT_VIEW]",JB_B,1,JB_EX,"P-8a",JB_CC,"Electronics",JB_H,"DDG",JB_CE,"NGSSR",JB_R,"",JB_N,"&lt;&gt;")+SUMIFS(JB_L,JB_S,"[ALT_VIEW]",JB_B,1,JB_EX,"P-8a",JB_CC,"Electronics",JB_H,"DDG",JB_CE,"NGSSR",JB_R,"",JB_N,"")</f>
        <v/>
      </c>
      <c r="D48" s="31">
        <f>IFERROR(C48/C$80,0)</f>
        <v/>
      </c>
    </row>
    <row r="49" ht="10" customHeight="1">
      <c r="A49" s="24" t="inlineStr">
        <is>
          <t>COOPERATIVE ENGAGEMENT CAPABILITY (CEC)</t>
        </is>
      </c>
      <c r="B49" s="20" t="inlineStr">
        <is>
          <t>Electronics</t>
        </is>
      </c>
      <c r="C49" s="43">
        <f>SUMIFS(JB_R,JB_S,"[ALT_VIEW]",JB_B,1,JB_EX,"P-8a",JB_CC,"Electronics",JB_H,"DDG",JB_CE,"COOPERATIVE ENGAGEMENT CAPABILITY (CEC)",JB_R,"&lt;&gt;")+SUMIFS(JB_N,JB_S,"[ALT_VIEW]",JB_B,1,JB_EX,"P-8a",JB_CC,"Electronics",JB_H,"DDG",JB_CE,"COOPERATIVE ENGAGEMENT CAPABILITY (CEC)",JB_R,"",JB_N,"&lt;&gt;")+SUMIFS(JB_L,JB_S,"[ALT_VIEW]",JB_B,1,JB_EX,"P-8a",JB_CC,"Electronics",JB_H,"DDG",JB_CE,"COOPERATIVE ENGAGEMENT CAPABILITY (CEC)",JB_R,"",JB_N,"")</f>
        <v/>
      </c>
      <c r="D49" s="31">
        <f>IFERROR(C49/C$80,0)</f>
        <v/>
      </c>
    </row>
    <row r="50" ht="10" customHeight="1">
      <c r="A50" s="24" t="inlineStr">
        <is>
          <t>MK 53 NULKA</t>
        </is>
      </c>
      <c r="B50" s="20" t="inlineStr">
        <is>
          <t>Electronics</t>
        </is>
      </c>
      <c r="C50" s="43">
        <f>SUMIFS(JB_R,JB_S,"[ALT_VIEW]",JB_B,1,JB_EX,"P-8a",JB_CC,"Electronics",JB_H,"DDG",JB_CE,"MK 53 NULKA",JB_R,"&lt;&gt;")+SUMIFS(JB_N,JB_S,"[ALT_VIEW]",JB_B,1,JB_EX,"P-8a",JB_CC,"Electronics",JB_H,"DDG",JB_CE,"MK 53 NULKA",JB_R,"",JB_N,"&lt;&gt;")+SUMIFS(JB_L,JB_S,"[ALT_VIEW]",JB_B,1,JB_EX,"P-8a",JB_CC,"Electronics",JB_H,"DDG",JB_CE,"MK 53 NULKA",JB_R,"",JB_N,"")</f>
        <v/>
      </c>
      <c r="D50" s="31">
        <f>IFERROR(C50/C$80,0)</f>
        <v/>
      </c>
    </row>
    <row r="51" ht="10" customHeight="1">
      <c r="A51" s="24" t="inlineStr">
        <is>
          <t>TSA ANTENNA</t>
        </is>
      </c>
      <c r="B51" s="20" t="inlineStr">
        <is>
          <t>Electronics</t>
        </is>
      </c>
      <c r="C51" s="43">
        <f>SUMIFS(JB_R,JB_S,"[ALT_VIEW]",JB_B,1,JB_EX,"P-8a",JB_CC,"Electronics",JB_H,"DDG",JB_CE,"TSA ANTENNA",JB_R,"&lt;&gt;")+SUMIFS(JB_N,JB_S,"[ALT_VIEW]",JB_B,1,JB_EX,"P-8a",JB_CC,"Electronics",JB_H,"DDG",JB_CE,"TSA ANTENNA",JB_R,"",JB_N,"&lt;&gt;")+SUMIFS(JB_L,JB_S,"[ALT_VIEW]",JB_B,1,JB_EX,"P-8a",JB_CC,"Electronics",JB_H,"DDG",JB_CE,"TSA ANTENNA",JB_R,"",JB_N,"")</f>
        <v/>
      </c>
      <c r="D51" s="31">
        <f>IFERROR(C51/C$80,0)</f>
        <v/>
      </c>
    </row>
    <row r="52" ht="10" customHeight="1">
      <c r="A52" s="24" t="inlineStr">
        <is>
          <t>SPARES</t>
        </is>
      </c>
      <c r="B52" s="20" t="inlineStr">
        <is>
          <t>Electronics</t>
        </is>
      </c>
      <c r="C52" s="43">
        <f>SUMIFS(JB_R,JB_S,"[ALT_VIEW]",JB_B,1,JB_EX,"P-8a",JB_CC,"Electronics",JB_H,"DDG",JB_CE,"SPARES",JB_R,"&lt;&gt;")+SUMIFS(JB_N,JB_S,"[ALT_VIEW]",JB_B,1,JB_EX,"P-8a",JB_CC,"Electronics",JB_H,"DDG",JB_CE,"SPARES",JB_R,"",JB_N,"&lt;&gt;")+SUMIFS(JB_L,JB_S,"[ALT_VIEW]",JB_B,1,JB_EX,"P-8a",JB_CC,"Electronics",JB_H,"DDG",JB_CE,"SPARES",JB_R,"",JB_N,"")</f>
        <v/>
      </c>
      <c r="D52" s="31">
        <f>IFERROR(C52/C$80,0)</f>
        <v/>
      </c>
    </row>
    <row r="53" ht="10" customHeight="1">
      <c r="A53" s="24" t="inlineStr">
        <is>
          <t>COMMON ARRAY COOLING SYSTEM (CACS)</t>
        </is>
      </c>
      <c r="B53" s="20" t="inlineStr">
        <is>
          <t>Electronics</t>
        </is>
      </c>
      <c r="C53" s="43">
        <f>SUMIFS(JB_R,JB_S,"[ALT_VIEW]",JB_B,1,JB_EX,"P-8a",JB_CC,"Electronics",JB_H,"DDG",JB_CE,"COMMON ARRAY COOLING SYSTEM (CACS)",JB_R,"&lt;&gt;")+SUMIFS(JB_N,JB_S,"[ALT_VIEW]",JB_B,1,JB_EX,"P-8a",JB_CC,"Electronics",JB_H,"DDG",JB_CE,"COMMON ARRAY COOLING SYSTEM (CACS)",JB_R,"",JB_N,"&lt;&gt;")+SUMIFS(JB_L,JB_S,"[ALT_VIEW]",JB_B,1,JB_EX,"P-8a",JB_CC,"Electronics",JB_H,"DDG",JB_CE,"COMMON ARRAY COOLING SYSTEM (CACS)",JB_R,"",JB_N,"")</f>
        <v/>
      </c>
      <c r="D53" s="31">
        <f>IFERROR(C53/C$80,0)</f>
        <v/>
      </c>
    </row>
    <row r="54" ht="10" customHeight="1">
      <c r="A54" s="24" t="inlineStr">
        <is>
          <t>AN/SPY-6(V)1 (AMDR)</t>
        </is>
      </c>
      <c r="B54" s="20" t="inlineStr">
        <is>
          <t>Ordnance</t>
        </is>
      </c>
      <c r="C54" s="43">
        <f>SUMIFS(JB_R,JB_S,"[ALT_VIEW]",JB_B,1,JB_EX,"P-8a",JB_CC,"Ordnance",JB_H,"DDG",JB_CE,"AN/SPY-6(V)1 (AMDR)",JB_R,"&lt;&gt;")+SUMIFS(JB_N,JB_S,"[ALT_VIEW]",JB_B,1,JB_EX,"P-8a",JB_CC,"Ordnance",JB_H,"DDG",JB_CE,"AN/SPY-6(V)1 (AMDR)",JB_R,"",JB_N,"&lt;&gt;")+SUMIFS(JB_L,JB_S,"[ALT_VIEW]",JB_B,1,JB_EX,"P-8a",JB_CC,"Ordnance",JB_H,"DDG",JB_CE,"AN/SPY-6(V)1 (AMDR)",JB_R,"",JB_N,"")</f>
        <v/>
      </c>
      <c r="D54" s="31">
        <f>IFERROR(C54/C$80,0)</f>
        <v/>
      </c>
    </row>
    <row r="55" ht="10" customHeight="1">
      <c r="A55" s="24" t="inlineStr">
        <is>
          <t>AEGIS WEAPON SYSTEM (MK-7)</t>
        </is>
      </c>
      <c r="B55" s="20" t="inlineStr">
        <is>
          <t>Ordnance</t>
        </is>
      </c>
      <c r="C55" s="43">
        <f>SUMIFS(JB_R,JB_S,"[ALT_VIEW]",JB_B,1,JB_EX,"P-8a",JB_CC,"Ordnance",JB_H,"DDG",JB_CE,"AEGIS WEAPON SYSTEM (MK-7)",JB_R,"&lt;&gt;")+SUMIFS(JB_N,JB_S,"[ALT_VIEW]",JB_B,1,JB_EX,"P-8a",JB_CC,"Ordnance",JB_H,"DDG",JB_CE,"AEGIS WEAPON SYSTEM (MK-7)",JB_R,"",JB_N,"&lt;&gt;")+SUMIFS(JB_L,JB_S,"[ALT_VIEW]",JB_B,1,JB_EX,"P-8a",JB_CC,"Ordnance",JB_H,"DDG",JB_CE,"AEGIS WEAPON SYSTEM (MK-7)",JB_R,"",JB_N,"")</f>
        <v/>
      </c>
      <c r="D55" s="31">
        <f>IFERROR(C55/C$80,0)</f>
        <v/>
      </c>
    </row>
    <row r="56" ht="10" customHeight="1">
      <c r="A56" s="24" t="inlineStr">
        <is>
          <t>ADVANCED GUN SYSTEM (AGS)</t>
        </is>
      </c>
      <c r="B56" s="20" t="inlineStr">
        <is>
          <t>Ordnance</t>
        </is>
      </c>
      <c r="C56" s="43">
        <f>SUMIFS(JB_R,JB_S,"[ALT_VIEW]",JB_B,1,JB_EX,"P-8a",JB_CC,"Ordnance",JB_H,"DDG",JB_CE,"ADVANCED GUN SYSTEM (AGS)",JB_R,"&lt;&gt;")+SUMIFS(JB_N,JB_S,"[ALT_VIEW]",JB_B,1,JB_EX,"P-8a",JB_CC,"Ordnance",JB_H,"DDG",JB_CE,"ADVANCED GUN SYSTEM (AGS)",JB_R,"",JB_N,"&lt;&gt;")+SUMIFS(JB_L,JB_S,"[ALT_VIEW]",JB_B,1,JB_EX,"P-8a",JB_CC,"Ordnance",JB_H,"DDG",JB_CE,"ADVANCED GUN SYSTEM (AGS)",JB_R,"",JB_N,"")</f>
        <v/>
      </c>
      <c r="D56" s="31">
        <f>IFERROR(C56/C$80,0)</f>
        <v/>
      </c>
    </row>
    <row r="57" ht="10" customHeight="1">
      <c r="A57" s="24" t="inlineStr">
        <is>
          <t>VLS MK 41</t>
        </is>
      </c>
      <c r="B57" s="20" t="inlineStr">
        <is>
          <t>Ordnance</t>
        </is>
      </c>
      <c r="C57" s="43">
        <f>SUMIFS(JB_R,JB_S,"[ALT_VIEW]",JB_B,1,JB_EX,"P-8a",JB_CC,"Ordnance",JB_H,"DDG",JB_CE,"VLS MK 41",JB_R,"&lt;&gt;")+SUMIFS(JB_N,JB_S,"[ALT_VIEW]",JB_B,1,JB_EX,"P-8a",JB_CC,"Ordnance",JB_H,"DDG",JB_CE,"VLS MK 41",JB_R,"",JB_N,"&lt;&gt;")+SUMIFS(JB_L,JB_S,"[ALT_VIEW]",JB_B,1,JB_EX,"P-8a",JB_CC,"Ordnance",JB_H,"DDG",JB_CE,"VLS MK 41",JB_R,"",JB_N,"")</f>
        <v/>
      </c>
      <c r="D57" s="31">
        <f>IFERROR(C57/C$80,0)</f>
        <v/>
      </c>
    </row>
    <row r="58" ht="10" customHeight="1">
      <c r="A58" s="24" t="inlineStr">
        <is>
          <t>MISC. ORDNANCE</t>
        </is>
      </c>
      <c r="B58" s="20" t="inlineStr">
        <is>
          <t>Ordnance</t>
        </is>
      </c>
      <c r="C58" s="43">
        <f>SUMIFS(JB_R,JB_S,"[ALT_VIEW]",JB_B,1,JB_EX,"P-8a",JB_CC,"Ordnance",JB_H,"DDG",JB_CE,"MISC. ORDNANCE",JB_R,"&lt;&gt;")+SUMIFS(JB_N,JB_S,"[ALT_VIEW]",JB_B,1,JB_EX,"P-8a",JB_CC,"Ordnance",JB_H,"DDG",JB_CE,"MISC. ORDNANCE",JB_R,"",JB_N,"&lt;&gt;")+SUMIFS(JB_L,JB_S,"[ALT_VIEW]",JB_B,1,JB_EX,"P-8a",JB_CC,"Ordnance",JB_H,"DDG",JB_CE,"MISC. ORDNANCE",JB_R,"",JB_N,"")</f>
        <v/>
      </c>
      <c r="D58" s="31">
        <f>IFERROR(C58/C$80,0)</f>
        <v/>
      </c>
    </row>
    <row r="59" ht="10" customHeight="1">
      <c r="A59" s="24" t="inlineStr">
        <is>
          <t>MK 45 Light Weight Gun (LWG)</t>
        </is>
      </c>
      <c r="B59" s="20" t="inlineStr">
        <is>
          <t>Ordnance</t>
        </is>
      </c>
      <c r="C59" s="43">
        <f>SUMIFS(JB_R,JB_S,"[ALT_VIEW]",JB_B,1,JB_EX,"P-8a",JB_CC,"Ordnance",JB_H,"DDG",JB_CE,"MK 45 Light Weight Gun (LWG)",JB_R,"&lt;&gt;")+SUMIFS(JB_N,JB_S,"[ALT_VIEW]",JB_B,1,JB_EX,"P-8a",JB_CC,"Ordnance",JB_H,"DDG",JB_CE,"MK 45 Light Weight Gun (LWG)",JB_R,"",JB_N,"&lt;&gt;")+SUMIFS(JB_L,JB_S,"[ALT_VIEW]",JB_B,1,JB_EX,"P-8a",JB_CC,"Ordnance",JB_H,"DDG",JB_CE,"MK 45 Light Weight Gun (LWG)",JB_R,"",JB_N,"")</f>
        <v/>
      </c>
      <c r="D59" s="31">
        <f>IFERROR(C59/C$80,0)</f>
        <v/>
      </c>
    </row>
    <row r="60" ht="10" customHeight="1">
      <c r="A60" s="24" t="inlineStr">
        <is>
          <t>MK 37 TOMAHAWK</t>
        </is>
      </c>
      <c r="B60" s="20" t="inlineStr">
        <is>
          <t>Ordnance</t>
        </is>
      </c>
      <c r="C60" s="43">
        <f>SUMIFS(JB_R,JB_S,"[ALT_VIEW]",JB_B,1,JB_EX,"P-8a",JB_CC,"Ordnance",JB_H,"DDG",JB_CE,"MK 37 TOMAHAWK",JB_R,"&lt;&gt;")+SUMIFS(JB_N,JB_S,"[ALT_VIEW]",JB_B,1,JB_EX,"P-8a",JB_CC,"Ordnance",JB_H,"DDG",JB_CE,"MK 37 TOMAHAWK",JB_R,"",JB_N,"&lt;&gt;")+SUMIFS(JB_L,JB_S,"[ALT_VIEW]",JB_B,1,JB_EX,"P-8a",JB_CC,"Ordnance",JB_H,"DDG",JB_CE,"MK 37 TOMAHAWK",JB_R,"",JB_N,"")</f>
        <v/>
      </c>
      <c r="D60" s="31">
        <f>IFERROR(C60/C$80,0)</f>
        <v/>
      </c>
    </row>
    <row r="61" ht="10" customHeight="1">
      <c r="A61" s="24" t="inlineStr">
        <is>
          <t>SPQ-9B Radar</t>
        </is>
      </c>
      <c r="B61" s="20" t="inlineStr">
        <is>
          <t>Ordnance</t>
        </is>
      </c>
      <c r="C61" s="43">
        <f>SUMIFS(JB_R,JB_S,"[ALT_VIEW]",JB_B,1,JB_EX,"P-8a",JB_CC,"Ordnance",JB_H,"DDG",JB_CE,"SPQ-9B Radar",JB_R,"&lt;&gt;")+SUMIFS(JB_N,JB_S,"[ALT_VIEW]",JB_B,1,JB_EX,"P-8a",JB_CC,"Ordnance",JB_H,"DDG",JB_CE,"SPQ-9B Radar",JB_R,"",JB_N,"&lt;&gt;")+SUMIFS(JB_L,JB_S,"[ALT_VIEW]",JB_B,1,JB_EX,"P-8a",JB_CC,"Ordnance",JB_H,"DDG",JB_CE,"SPQ-9B Radar",JB_R,"",JB_N,"")</f>
        <v/>
      </c>
      <c r="D61" s="31">
        <f>IFERROR(C61/C$80,0)</f>
        <v/>
      </c>
    </row>
    <row r="62" ht="10" customHeight="1">
      <c r="A62" s="24" t="inlineStr">
        <is>
          <t>PHALANX (CIWS)</t>
        </is>
      </c>
      <c r="B62" s="20" t="inlineStr">
        <is>
          <t>Ordnance</t>
        </is>
      </c>
      <c r="C62" s="43">
        <f>SUMIFS(JB_R,JB_S,"[ALT_VIEW]",JB_B,1,JB_EX,"P-8a",JB_CC,"Ordnance",JB_H,"DDG",JB_CE,"PHALANX (CIWS)",JB_R,"&lt;&gt;")+SUMIFS(JB_N,JB_S,"[ALT_VIEW]",JB_B,1,JB_EX,"P-8a",JB_CC,"Ordnance",JB_H,"DDG",JB_CE,"PHALANX (CIWS)",JB_R,"",JB_N,"&lt;&gt;")+SUMIFS(JB_L,JB_S,"[ALT_VIEW]",JB_B,1,JB_EX,"P-8a",JB_CC,"Ordnance",JB_H,"DDG",JB_CE,"PHALANX (CIWS)",JB_R,"",JB_N,"")</f>
        <v/>
      </c>
      <c r="D62" s="31">
        <f>IFERROR(C62/C$80,0)</f>
        <v/>
      </c>
    </row>
    <row r="63" ht="10" customHeight="1">
      <c r="A63" s="24" t="inlineStr">
        <is>
          <t>DDG 1002 Missile Tubes (CPS)</t>
        </is>
      </c>
      <c r="B63" s="20" t="inlineStr">
        <is>
          <t>Ordnance</t>
        </is>
      </c>
      <c r="C63" s="43">
        <f>SUMIFS(JB_R,JB_S,"[ALT_VIEW]",JB_B,1,JB_EX,"P-8a",JB_CC,"Ordnance",JB_H,"DDG",JB_CE,"DDG 1002 Missile Tubes (CPS)",JB_R,"&lt;&gt;")+SUMIFS(JB_N,JB_S,"[ALT_VIEW]",JB_B,1,JB_EX,"P-8a",JB_CC,"Ordnance",JB_H,"DDG",JB_CE,"DDG 1002 Missile Tubes (CPS)",JB_R,"",JB_N,"&lt;&gt;")+SUMIFS(JB_L,JB_S,"[ALT_VIEW]",JB_B,1,JB_EX,"P-8a",JB_CC,"Ordnance",JB_H,"DDG",JB_CE,"DDG 1002 Missile Tubes (CPS)",JB_R,"",JB_N,"")</f>
        <v/>
      </c>
      <c r="D63" s="31">
        <f>IFERROR(C63/C$80,0)</f>
        <v/>
      </c>
    </row>
    <row r="64" ht="10" customHeight="1">
      <c r="A64" s="24" t="inlineStr">
        <is>
          <t>MK-38 Gun Weapon System (GWS)</t>
        </is>
      </c>
      <c r="B64" s="20" t="inlineStr">
        <is>
          <t>Ordnance</t>
        </is>
      </c>
      <c r="C64" s="43">
        <f>SUMIFS(JB_R,JB_S,"[ALT_VIEW]",JB_B,1,JB_EX,"P-8a",JB_CC,"Ordnance",JB_H,"DDG",JB_CE,"MK-38 Gun Weapon System (GWS)",JB_R,"&lt;&gt;")+SUMIFS(JB_N,JB_S,"[ALT_VIEW]",JB_B,1,JB_EX,"P-8a",JB_CC,"Ordnance",JB_H,"DDG",JB_CE,"MK-38 Gun Weapon System (GWS)",JB_R,"",JB_N,"&lt;&gt;")+SUMIFS(JB_L,JB_S,"[ALT_VIEW]",JB_B,1,JB_EX,"P-8a",JB_CC,"Ordnance",JB_H,"DDG",JB_CE,"MK-38 Gun Weapon System (GWS)",JB_R,"",JB_N,"")</f>
        <v/>
      </c>
      <c r="D64" s="31">
        <f>IFERROR(C64/C$80,0)</f>
        <v/>
      </c>
    </row>
    <row r="65" ht="10" customHeight="1">
      <c r="A65" s="24" t="inlineStr">
        <is>
          <t>DDG 1002 Rubber Boots, Hatches, Shock Isolation (CPS)</t>
        </is>
      </c>
      <c r="B65" s="20" t="inlineStr">
        <is>
          <t>Ordnance</t>
        </is>
      </c>
      <c r="C65" s="43">
        <f>SUMIFS(JB_R,JB_S,"[ALT_VIEW]",JB_B,1,JB_EX,"P-8a",JB_CC,"Ordnance",JB_H,"DDG",JB_CE,"DDG 1002 Rubber Boots, Hatches, Shock Isolation (CPS)",JB_R,"&lt;&gt;")+SUMIFS(JB_N,JB_S,"[ALT_VIEW]",JB_B,1,JB_EX,"P-8a",JB_CC,"Ordnance",JB_H,"DDG",JB_CE,"DDG 1002 Rubber Boots, Hatches, Shock Isolation (CPS)",JB_R,"",JB_N,"&lt;&gt;")+SUMIFS(JB_L,JB_S,"[ALT_VIEW]",JB_B,1,JB_EX,"P-8a",JB_CC,"Ordnance",JB_H,"DDG",JB_CE,"DDG 1002 Rubber Boots, Hatches, Shock Isolation (CPS)",JB_R,"",JB_N,"")</f>
        <v/>
      </c>
      <c r="D65" s="31">
        <f>IFERROR(C65/C$80,0)</f>
        <v/>
      </c>
    </row>
    <row r="66" ht="10" customHeight="1">
      <c r="A66" s="24" t="inlineStr">
        <is>
          <t>CLOSE-IN GUN SYSTEM (CIGS)</t>
        </is>
      </c>
      <c r="B66" s="20" t="inlineStr">
        <is>
          <t>Ordnance</t>
        </is>
      </c>
      <c r="C66" s="43">
        <f>SUMIFS(JB_R,JB_S,"[ALT_VIEW]",JB_B,1,JB_EX,"P-8a",JB_CC,"Ordnance",JB_H,"DDG",JB_CE,"CLOSE-IN GUN SYSTEM (CIGS)",JB_R,"&lt;&gt;")+SUMIFS(JB_N,JB_S,"[ALT_VIEW]",JB_B,1,JB_EX,"P-8a",JB_CC,"Ordnance",JB_H,"DDG",JB_CE,"CLOSE-IN GUN SYSTEM (CIGS)",JB_R,"",JB_N,"&lt;&gt;")+SUMIFS(JB_L,JB_S,"[ALT_VIEW]",JB_B,1,JB_EX,"P-8a",JB_CC,"Ordnance",JB_H,"DDG",JB_CE,"CLOSE-IN GUN SYSTEM (CIGS)",JB_R,"",JB_N,"")</f>
        <v/>
      </c>
      <c r="D66" s="31">
        <f>IFERROR(C66/C$80,0)</f>
        <v/>
      </c>
    </row>
    <row r="67" ht="10" customHeight="1">
      <c r="A67" s="24" t="inlineStr">
        <is>
          <t>MK 160 Gun Fire Control System (GFCS)</t>
        </is>
      </c>
      <c r="B67" s="20" t="inlineStr">
        <is>
          <t>Ordnance</t>
        </is>
      </c>
      <c r="C67" s="43">
        <f>SUMIFS(JB_R,JB_S,"[ALT_VIEW]",JB_B,1,JB_EX,"P-8a",JB_CC,"Ordnance",JB_H,"DDG",JB_CE,"MK 160 Gun Fire Control System (GFCS)",JB_R,"&lt;&gt;")+SUMIFS(JB_N,JB_S,"[ALT_VIEW]",JB_B,1,JB_EX,"P-8a",JB_CC,"Ordnance",JB_H,"DDG",JB_CE,"MK 160 Gun Fire Control System (GFCS)",JB_R,"",JB_N,"&lt;&gt;")+SUMIFS(JB_L,JB_S,"[ALT_VIEW]",JB_B,1,JB_EX,"P-8a",JB_CC,"Ordnance",JB_H,"DDG",JB_CE,"MK 160 Gun Fire Control System (GFCS)",JB_R,"",JB_N,"")</f>
        <v/>
      </c>
      <c r="D67" s="31">
        <f>IFERROR(C67/C$80,0)</f>
        <v/>
      </c>
    </row>
    <row r="68" ht="10" customHeight="1">
      <c r="A68" s="24" t="inlineStr">
        <is>
          <t>ELECTRO-OPTICAL SYSTEM</t>
        </is>
      </c>
      <c r="B68" s="20" t="inlineStr">
        <is>
          <t>Ordnance</t>
        </is>
      </c>
      <c r="C68" s="43">
        <f>SUMIFS(JB_R,JB_S,"[ALT_VIEW]",JB_B,1,JB_EX,"P-8a",JB_CC,"Ordnance",JB_H,"DDG",JB_CE,"ELECTRO-OPTICAL SYSTEM",JB_R,"&lt;&gt;")+SUMIFS(JB_N,JB_S,"[ALT_VIEW]",JB_B,1,JB_EX,"P-8a",JB_CC,"Ordnance",JB_H,"DDG",JB_CE,"ELECTRO-OPTICAL SYSTEM",JB_R,"",JB_N,"&lt;&gt;")+SUMIFS(JB_L,JB_S,"[ALT_VIEW]",JB_B,1,JB_EX,"P-8a",JB_CC,"Ordnance",JB_H,"DDG",JB_CE,"ELECTRO-OPTICAL SYSTEM",JB_R,"",JB_N,"")</f>
        <v/>
      </c>
      <c r="D68" s="31">
        <f>IFERROR(C68/C$80,0)</f>
        <v/>
      </c>
    </row>
    <row r="69" ht="10" customHeight="1">
      <c r="A69" s="24" t="inlineStr">
        <is>
          <t>MK 32 Surface Vessel Torpedo Tubes (SVTT)</t>
        </is>
      </c>
      <c r="B69" s="20" t="inlineStr">
        <is>
          <t>Ordnance</t>
        </is>
      </c>
      <c r="C69" s="43">
        <f>SUMIFS(JB_R,JB_S,"[ALT_VIEW]",JB_B,1,JB_EX,"P-8a",JB_CC,"Ordnance",JB_H,"DDG",JB_CE,"MK 32 Surface Vessel Torpedo Tubes (SVTT)",JB_R,"&lt;&gt;")+SUMIFS(JB_N,JB_S,"[ALT_VIEW]",JB_B,1,JB_EX,"P-8a",JB_CC,"Ordnance",JB_H,"DDG",JB_CE,"MK 32 Surface Vessel Torpedo Tubes (SVTT)",JB_R,"",JB_N,"&lt;&gt;")+SUMIFS(JB_L,JB_S,"[ALT_VIEW]",JB_B,1,JB_EX,"P-8a",JB_CC,"Ordnance",JB_H,"DDG",JB_CE,"MK 32 Surface Vessel Torpedo Tubes (SVTT)",JB_R,"",JB_N,"")</f>
        <v/>
      </c>
      <c r="D69" s="31">
        <f>IFERROR(C69/C$80,0)</f>
        <v/>
      </c>
    </row>
    <row r="70" ht="10" customHeight="1">
      <c r="A70" s="24" t="inlineStr">
        <is>
          <t>MISC. HM&amp;E</t>
        </is>
      </c>
      <c r="B70" s="20" t="inlineStr">
        <is>
          <t>Hull, Mechanical, and Electrical</t>
        </is>
      </c>
      <c r="C70" s="43">
        <f>SUMIFS(JB_R,JB_S,"[ALT_VIEW]",JB_B,1,JB_EX,"P-8a",JB_CC,"Hull, Mechanical, and Electrical",JB_H,"DDG",JB_CE,"MISC. HM&amp;E",JB_R,"&lt;&gt;")+SUMIFS(JB_N,JB_S,"[ALT_VIEW]",JB_B,1,JB_EX,"P-8a",JB_CC,"Hull, Mechanical, and Electrical",JB_H,"DDG",JB_CE,"MISC. HM&amp;E",JB_R,"",JB_N,"&lt;&gt;")+SUMIFS(JB_L,JB_S,"[ALT_VIEW]",JB_B,1,JB_EX,"P-8a",JB_CC,"Hull, Mechanical, and Electrical",JB_H,"DDG",JB_CE,"MISC. HM&amp;E",JB_R,"",JB_N,"")</f>
        <v/>
      </c>
      <c r="D70" s="31">
        <f>IFERROR(C70/C$80,0)</f>
        <v/>
      </c>
    </row>
    <row r="71" ht="10" customHeight="1">
      <c r="A71" s="24" t="inlineStr">
        <is>
          <t>MAIN TURBINE GENERATOR (MTG)</t>
        </is>
      </c>
      <c r="B71" s="20" t="inlineStr">
        <is>
          <t>Hull, Mechanical, and Electrical</t>
        </is>
      </c>
      <c r="C71" s="43">
        <f>SUMIFS(JB_R,JB_S,"[ALT_VIEW]",JB_B,1,JB_EX,"P-8a",JB_CC,"Hull, Mechanical, and Electrical",JB_H,"DDG",JB_CE,"MAIN TURBINE GENERATOR (MTG)",JB_R,"&lt;&gt;")+SUMIFS(JB_N,JB_S,"[ALT_VIEW]",JB_B,1,JB_EX,"P-8a",JB_CC,"Hull, Mechanical, and Electrical",JB_H,"DDG",JB_CE,"MAIN TURBINE GENERATOR (MTG)",JB_R,"",JB_N,"&lt;&gt;")+SUMIFS(JB_L,JB_S,"[ALT_VIEW]",JB_B,1,JB_EX,"P-8a",JB_CC,"Hull, Mechanical, and Electrical",JB_H,"DDG",JB_CE,"MAIN TURBINE GENERATOR (MTG)",JB_R,"",JB_N,"")</f>
        <v/>
      </c>
      <c r="D71" s="31">
        <f>IFERROR(C71/C$80,0)</f>
        <v/>
      </c>
    </row>
    <row r="72" ht="10" customHeight="1">
      <c r="A72" s="24" t="inlineStr">
        <is>
          <t>Integrated Bridge Navigation System</t>
        </is>
      </c>
      <c r="B72" s="20" t="inlineStr">
        <is>
          <t>Hull, Mechanical, and Electrical</t>
        </is>
      </c>
      <c r="C72" s="43">
        <f>SUMIFS(JB_R,JB_S,"[ALT_VIEW]",JB_B,1,JB_EX,"P-8a",JB_CC,"Hull, Mechanical, and Electrical",JB_H,"DDG",JB_CE,"Integrated Bridge Navigation System",JB_R,"&lt;&gt;")+SUMIFS(JB_N,JB_S,"[ALT_VIEW]",JB_B,1,JB_EX,"P-8a",JB_CC,"Hull, Mechanical, and Electrical",JB_H,"DDG",JB_CE,"Integrated Bridge Navigation System",JB_R,"",JB_N,"&lt;&gt;")+SUMIFS(JB_L,JB_S,"[ALT_VIEW]",JB_B,1,JB_EX,"P-8a",JB_CC,"Hull, Mechanical, and Electrical",JB_H,"DDG",JB_CE,"Integrated Bridge Navigation System",JB_R,"",JB_N,"")</f>
        <v/>
      </c>
      <c r="D72" s="31">
        <f>IFERROR(C72/C$80,0)</f>
        <v/>
      </c>
    </row>
    <row r="73" ht="10" customHeight="1">
      <c r="A73" s="24" t="inlineStr">
        <is>
          <t>STC 3 IVCS</t>
        </is>
      </c>
      <c r="B73" s="20" t="inlineStr">
        <is>
          <t>Hull, Mechanical, and Electrical</t>
        </is>
      </c>
      <c r="C73" s="43">
        <f>SUMIFS(JB_R,JB_S,"[ALT_VIEW]",JB_B,1,JB_EX,"P-8a",JB_CC,"Hull, Mechanical, and Electrical",JB_H,"DDG",JB_CE,"STC 3 IVCS",JB_R,"&lt;&gt;")+SUMIFS(JB_N,JB_S,"[ALT_VIEW]",JB_B,1,JB_EX,"P-8a",JB_CC,"Hull, Mechanical, and Electrical",JB_H,"DDG",JB_CE,"STC 3 IVCS",JB_R,"",JB_N,"&lt;&gt;")+SUMIFS(JB_L,JB_S,"[ALT_VIEW]",JB_B,1,JB_EX,"P-8a",JB_CC,"Hull, Mechanical, and Electrical",JB_H,"DDG",JB_CE,"STC 3 IVCS",JB_R,"",JB_N,"")</f>
        <v/>
      </c>
      <c r="D73" s="31">
        <f>IFERROR(C73/C$80,0)</f>
        <v/>
      </c>
    </row>
    <row r="74" ht="10" customHeight="1">
      <c r="A74" s="24" t="inlineStr">
        <is>
          <t>Machinery Control System</t>
        </is>
      </c>
      <c r="B74" s="20" t="inlineStr">
        <is>
          <t>Hull, Mechanical, and Electrical</t>
        </is>
      </c>
      <c r="C74" s="43">
        <f>SUMIFS(JB_R,JB_S,"[ALT_VIEW]",JB_B,1,JB_EX,"P-8a",JB_CC,"Hull, Mechanical, and Electrical",JB_H,"DDG",JB_CE,"Machinery Control System",JB_R,"&lt;&gt;")+SUMIFS(JB_N,JB_S,"[ALT_VIEW]",JB_B,1,JB_EX,"P-8a",JB_CC,"Hull, Mechanical, and Electrical",JB_H,"DDG",JB_CE,"Machinery Control System",JB_R,"",JB_N,"&lt;&gt;")+SUMIFS(JB_L,JB_S,"[ALT_VIEW]",JB_B,1,JB_EX,"P-8a",JB_CC,"Hull, Mechanical, and Electrical",JB_H,"DDG",JB_CE,"Machinery Control System",JB_R,"",JB_N,"")</f>
        <v/>
      </c>
      <c r="D74" s="31">
        <f>IFERROR(C74/C$80,0)</f>
        <v/>
      </c>
    </row>
    <row r="75" ht="10" customHeight="1">
      <c r="A75" s="24" t="inlineStr">
        <is>
          <t>CYBER BDC</t>
        </is>
      </c>
      <c r="B75" s="20" t="inlineStr">
        <is>
          <t>Hull, Mechanical, and Electrical</t>
        </is>
      </c>
      <c r="C75" s="43">
        <f>SUMIFS(JB_R,JB_S,"[ALT_VIEW]",JB_B,1,JB_EX,"P-8a",JB_CC,"Hull, Mechanical, and Electrical",JB_H,"DDG",JB_CE,"CYBER BDC",JB_R,"&lt;&gt;")+SUMIFS(JB_N,JB_S,"[ALT_VIEW]",JB_B,1,JB_EX,"P-8a",JB_CC,"Hull, Mechanical, and Electrical",JB_H,"DDG",JB_CE,"CYBER BDC",JB_R,"",JB_N,"&lt;&gt;")+SUMIFS(JB_L,JB_S,"[ALT_VIEW]",JB_B,1,JB_EX,"P-8a",JB_CC,"Hull, Mechanical, and Electrical",JB_H,"DDG",JB_CE,"CYBER BDC",JB_R,"",JB_N,"")</f>
        <v/>
      </c>
      <c r="D75" s="31">
        <f>IFERROR(C75/C$80,0)</f>
        <v/>
      </c>
    </row>
    <row r="76" ht="10" customHeight="1">
      <c r="A76" s="24" t="inlineStr">
        <is>
          <t>WSN 12</t>
        </is>
      </c>
      <c r="B76" s="20" t="inlineStr">
        <is>
          <t>Hull, Mechanical, and Electrical</t>
        </is>
      </c>
      <c r="C76" s="43">
        <f>SUMIFS(JB_R,JB_S,"[ALT_VIEW]",JB_B,1,JB_EX,"P-8a",JB_CC,"Hull, Mechanical, and Electrical",JB_H,"DDG",JB_CE,"WSN 12",JB_R,"&lt;&gt;")+SUMIFS(JB_N,JB_S,"[ALT_VIEW]",JB_B,1,JB_EX,"P-8a",JB_CC,"Hull, Mechanical, and Electrical",JB_H,"DDG",JB_CE,"WSN 12",JB_R,"",JB_N,"&lt;&gt;")+SUMIFS(JB_L,JB_S,"[ALT_VIEW]",JB_B,1,JB_EX,"P-8a",JB_CC,"Hull, Mechanical, and Electrical",JB_H,"DDG",JB_CE,"WSN 12",JB_R,"",JB_N,"")</f>
        <v/>
      </c>
      <c r="D76" s="31">
        <f>IFERROR(C76/C$80,0)</f>
        <v/>
      </c>
    </row>
    <row r="77" ht="10" customHeight="1">
      <c r="A77" s="24" t="inlineStr">
        <is>
          <t>HM&amp;E (NGVLA, Moriah Wind Measurement System (WMS), Aviation Integration)</t>
        </is>
      </c>
      <c r="B77" s="20" t="inlineStr">
        <is>
          <t>Hull, Mechanical, and Electrical</t>
        </is>
      </c>
      <c r="C77" s="43">
        <f>SUMIFS(JB_R,JB_S,"[ALT_VIEW]",JB_B,1,JB_EX,"P-8a",JB_CC,"Hull, Mechanical, and Electrical",JB_H,"DDG",JB_CE,"HM&amp;E (NGVLA, Moriah Wind Measurement System (WMS), Aviation Integration)",JB_R,"&lt;&gt;")+SUMIFS(JB_N,JB_S,"[ALT_VIEW]",JB_B,1,JB_EX,"P-8a",JB_CC,"Hull, Mechanical, and Electrical",JB_H,"DDG",JB_CE,"HM&amp;E (NGVLA, Moriah Wind Measurement System (WMS), Aviation Integration)",JB_R,"",JB_N,"&lt;&gt;")+SUMIFS(JB_L,JB_S,"[ALT_VIEW]",JB_B,1,JB_EX,"P-8a",JB_CC,"Hull, Mechanical, and Electrical",JB_H,"DDG",JB_CE,"HM&amp;E (NGVLA, Moriah Wind Measurement System (WMS), Aviation Integration)",JB_R,"",JB_N,"")</f>
        <v/>
      </c>
      <c r="D77" s="31">
        <f>IFERROR(C77/C$80,0)</f>
        <v/>
      </c>
    </row>
    <row r="78" ht="10" customHeight="1">
      <c r="A78" s="24" t="inlineStr">
        <is>
          <t>INTERIM SPARES</t>
        </is>
      </c>
      <c r="B78" s="20" t="inlineStr">
        <is>
          <t>Hull, Mechanical, and Electrical</t>
        </is>
      </c>
      <c r="C78" s="43">
        <f>SUMIFS(JB_R,JB_S,"[ALT_VIEW]",JB_B,1,JB_EX,"P-8a",JB_CC,"Hull, Mechanical, and Electrical",JB_H,"DDG",JB_CE,"INTERIM SPARES",JB_R,"&lt;&gt;")+SUMIFS(JB_N,JB_S,"[ALT_VIEW]",JB_B,1,JB_EX,"P-8a",JB_CC,"Hull, Mechanical, and Electrical",JB_H,"DDG",JB_CE,"INTERIM SPARES",JB_R,"",JB_N,"&lt;&gt;")+SUMIFS(JB_L,JB_S,"[ALT_VIEW]",JB_B,1,JB_EX,"P-8a",JB_CC,"Hull, Mechanical, and Electrical",JB_H,"DDG",JB_CE,"INTERIM SPARES",JB_R,"",JB_N,"")</f>
        <v/>
      </c>
      <c r="D78" s="31">
        <f>IFERROR(C78/C$80,0)</f>
        <v/>
      </c>
    </row>
    <row r="79" ht="10" customHeight="1">
      <c r="A79" s="24" t="inlineStr">
        <is>
          <t>RIGID HULL INFLATABLE BOAT (RHIB)</t>
        </is>
      </c>
      <c r="B79" s="20" t="inlineStr">
        <is>
          <t>Hull, Mechanical, and Electrical</t>
        </is>
      </c>
      <c r="C79" s="43">
        <f>SUMIFS(JB_R,JB_S,"[ALT_VIEW]",JB_B,1,JB_EX,"P-8a",JB_CC,"Hull, Mechanical, and Electrical",JB_H,"DDG",JB_CE,"RIGID HULL INFLATABLE BOAT (RHIB)",JB_R,"&lt;&gt;")+SUMIFS(JB_N,JB_S,"[ALT_VIEW]",JB_B,1,JB_EX,"P-8a",JB_CC,"Hull, Mechanical, and Electrical",JB_H,"DDG",JB_CE,"RIGID HULL INFLATABLE BOAT (RHIB)",JB_R,"",JB_N,"&lt;&gt;")+SUMIFS(JB_L,JB_S,"[ALT_VIEW]",JB_B,1,JB_EX,"P-8a",JB_CC,"Hull, Mechanical, and Electrical",JB_H,"DDG",JB_CE,"RIGID HULL INFLATABLE BOAT (RHIB)",JB_R,"",JB_N,"")</f>
        <v/>
      </c>
      <c r="D79" s="31">
        <f>IFERROR(C79/C$80,0)</f>
        <v/>
      </c>
    </row>
    <row r="80" ht="10" customHeight="1">
      <c r="A80" s="26" t="inlineStr">
        <is>
          <t>DDG Total</t>
        </is>
      </c>
      <c r="B80" s="28" t="n"/>
      <c r="C80" s="27">
        <f>SUM(C22:C79)</f>
        <v/>
      </c>
      <c r="D80" s="32" t="n">
        <v>1</v>
      </c>
    </row>
    <row r="81" ht="10" customHeight="1"/>
    <row r="82" ht="10" customHeight="1">
      <c r="A82" s="40" t="inlineStr">
        <is>
          <t>LHA (Amphibious Warfare Ships)</t>
        </is>
      </c>
      <c r="B82" s="33" t="n"/>
      <c r="C82" s="33" t="n"/>
      <c r="D82" s="33" t="n"/>
    </row>
    <row r="83" ht="10" customHeight="1">
      <c r="A83" s="23" t="inlineStr">
        <is>
          <t>System</t>
        </is>
      </c>
      <c r="B83" s="23" t="inlineStr">
        <is>
          <t>Cost Category</t>
        </is>
      </c>
      <c r="C83" s="23" t="inlineStr">
        <is>
          <t>FY2026 ($K)</t>
        </is>
      </c>
      <c r="D83" s="23" t="inlineStr">
        <is>
          <t>% of Hull</t>
        </is>
      </c>
    </row>
    <row r="84" ht="10" customHeight="1">
      <c r="A84" s="24" t="inlineStr">
        <is>
          <t>Command, Control, Communication, Computer Intelligence Surveillance and Reconnaissance (C4ISR)</t>
        </is>
      </c>
      <c r="B84" s="20" t="inlineStr">
        <is>
          <t>Electronics</t>
        </is>
      </c>
      <c r="C84" s="43">
        <f>SUMIFS(JB_R,JB_S,"[ALT_VIEW]",JB_B,1,JB_EX,"P-8a",JB_CC,"Electronics",JB_H,"LHA",JB_CE,"Command, Control, Communication, Computer Intelligence Surveillance and Reconnaissance (C4ISR)",JB_R,"&lt;&gt;")+SUMIFS(JB_N,JB_S,"[ALT_VIEW]",JB_B,1,JB_EX,"P-8a",JB_CC,"Electronics",JB_H,"LHA",JB_CE,"Command, Control, Communication, Computer Intelligence Surveillance and Reconnaissance (C4ISR)",JB_R,"",JB_N,"&lt;&gt;")+SUMIFS(JB_L,JB_S,"[ALT_VIEW]",JB_B,1,JB_EX,"P-8a",JB_CC,"Electronics",JB_H,"LHA",JB_CE,"Command, Control, Communication, Computer Intelligence Surveillance and Reconnaissance (C4ISR)",JB_R,"",JB_N,"")</f>
        <v/>
      </c>
      <c r="D84" s="31">
        <f>IFERROR(C84/C$123,0)</f>
        <v/>
      </c>
    </row>
    <row r="85" ht="10" customHeight="1">
      <c r="A85" s="24" t="inlineStr">
        <is>
          <t>MK 2 MOD 4E Ship Self Defense System (SSDS)</t>
        </is>
      </c>
      <c r="B85" s="20" t="inlineStr">
        <is>
          <t>Electronics</t>
        </is>
      </c>
      <c r="C85" s="43">
        <f>SUMIFS(JB_R,JB_S,"[ALT_VIEW]",JB_B,1,JB_EX,"P-8a",JB_CC,"Electronics",JB_H,"LHA",JB_CE,"MK 2 MOD 4E Ship Self Defense System (SSDS)",JB_R,"&lt;&gt;")+SUMIFS(JB_N,JB_S,"[ALT_VIEW]",JB_B,1,JB_EX,"P-8a",JB_CC,"Electronics",JB_H,"LHA",JB_CE,"MK 2 MOD 4E Ship Self Defense System (SSDS)",JB_R,"",JB_N,"&lt;&gt;")+SUMIFS(JB_L,JB_S,"[ALT_VIEW]",JB_B,1,JB_EX,"P-8a",JB_CC,"Electronics",JB_H,"LHA",JB_CE,"MK 2 MOD 4E Ship Self Defense System (SSDS)",JB_R,"",JB_N,"")</f>
        <v/>
      </c>
      <c r="D85" s="31">
        <f>IFERROR(C85/C$123,0)</f>
        <v/>
      </c>
    </row>
    <row r="86" ht="10" customHeight="1">
      <c r="A86" s="24" t="inlineStr">
        <is>
          <t>AN/SPN-50 (V)1</t>
        </is>
      </c>
      <c r="B86" s="20" t="inlineStr">
        <is>
          <t>Electronics</t>
        </is>
      </c>
      <c r="C86" s="43">
        <f>SUMIFS(JB_R,JB_S,"[ALT_VIEW]",JB_B,1,JB_EX,"P-8a",JB_CC,"Electronics",JB_H,"LHA",JB_CE,"AN/SPN-50 (V)1",JB_R,"&lt;&gt;")+SUMIFS(JB_N,JB_S,"[ALT_VIEW]",JB_B,1,JB_EX,"P-8a",JB_CC,"Electronics",JB_H,"LHA",JB_CE,"AN/SPN-50 (V)1",JB_R,"",JB_N,"&lt;&gt;")+SUMIFS(JB_L,JB_S,"[ALT_VIEW]",JB_B,1,JB_EX,"P-8a",JB_CC,"Electronics",JB_H,"LHA",JB_CE,"AN/SPN-50 (V)1",JB_R,"",JB_N,"")</f>
        <v/>
      </c>
      <c r="D86" s="31">
        <f>IFERROR(C86/C$123,0)</f>
        <v/>
      </c>
    </row>
    <row r="87" ht="10" customHeight="1">
      <c r="A87" s="24" t="inlineStr">
        <is>
          <t>AN/SLQ-32(V), Surface Warfare Improvement Program (SEWIP)</t>
        </is>
      </c>
      <c r="B87" s="20" t="inlineStr">
        <is>
          <t>Electronics</t>
        </is>
      </c>
      <c r="C87" s="43">
        <f>SUMIFS(JB_R,JB_S,"[ALT_VIEW]",JB_B,1,JB_EX,"P-8a",JB_CC,"Electronics",JB_H,"LHA",JB_CE,"AN/SLQ-32(V), Surface Warfare Improvement Program (SEWIP)",JB_R,"&lt;&gt;")+SUMIFS(JB_N,JB_S,"[ALT_VIEW]",JB_B,1,JB_EX,"P-8a",JB_CC,"Electronics",JB_H,"LHA",JB_CE,"AN/SLQ-32(V), Surface Warfare Improvement Program (SEWIP)",JB_R,"",JB_N,"&lt;&gt;")+SUMIFS(JB_L,JB_S,"[ALT_VIEW]",JB_B,1,JB_EX,"P-8a",JB_CC,"Electronics",JB_H,"LHA",JB_CE,"AN/SLQ-32(V), Surface Warfare Improvement Program (SEWIP)",JB_R,"",JB_N,"")</f>
        <v/>
      </c>
      <c r="D87" s="31">
        <f>IFERROR(C87/C$123,0)</f>
        <v/>
      </c>
    </row>
    <row r="88" ht="10" customHeight="1">
      <c r="A88" s="24" t="inlineStr">
        <is>
          <t>Miscellaneous Electronics</t>
        </is>
      </c>
      <c r="B88" s="20" t="inlineStr">
        <is>
          <t>Electronics</t>
        </is>
      </c>
      <c r="C88" s="43">
        <f>SUMIFS(JB_R,JB_S,"[ALT_VIEW]",JB_B,1,JB_EX,"P-8a",JB_CC,"Electronics",JB_H,"LHA",JB_CE,"Miscellaneous Electronics",JB_R,"&lt;&gt;")+SUMIFS(JB_N,JB_S,"[ALT_VIEW]",JB_B,1,JB_EX,"P-8a",JB_CC,"Electronics",JB_H,"LHA",JB_CE,"Miscellaneous Electronics",JB_R,"",JB_N,"&lt;&gt;")+SUMIFS(JB_L,JB_S,"[ALT_VIEW]",JB_B,1,JB_EX,"P-8a",JB_CC,"Electronics",JB_H,"LHA",JB_CE,"Miscellaneous Electronics",JB_R,"",JB_N,"")</f>
        <v/>
      </c>
      <c r="D88" s="31">
        <f>IFERROR(C88/C$123,0)</f>
        <v/>
      </c>
    </row>
    <row r="89" ht="10" customHeight="1">
      <c r="A89" s="24" t="inlineStr">
        <is>
          <t>Integrated Voice Network (IVN)</t>
        </is>
      </c>
      <c r="B89" s="20" t="inlineStr">
        <is>
          <t>Electronics</t>
        </is>
      </c>
      <c r="C89" s="43">
        <f>SUMIFS(JB_R,JB_S,"[ALT_VIEW]",JB_B,1,JB_EX,"P-8a",JB_CC,"Electronics",JB_H,"LHA",JB_CE,"Integrated Voice Network (IVN)",JB_R,"&lt;&gt;")+SUMIFS(JB_N,JB_S,"[ALT_VIEW]",JB_B,1,JB_EX,"P-8a",JB_CC,"Electronics",JB_H,"LHA",JB_CE,"Integrated Voice Network (IVN)",JB_R,"",JB_N,"&lt;&gt;")+SUMIFS(JB_L,JB_S,"[ALT_VIEW]",JB_B,1,JB_EX,"P-8a",JB_CC,"Electronics",JB_H,"LHA",JB_CE,"Integrated Voice Network (IVN)",JB_R,"",JB_N,"")</f>
        <v/>
      </c>
      <c r="D89" s="31">
        <f>IFERROR(C89/C$123,0)</f>
        <v/>
      </c>
    </row>
    <row r="90" ht="10" customHeight="1">
      <c r="A90" s="24" t="inlineStr">
        <is>
          <t>AN/UPX-29(V), Identification Friend or Foe (IFF) MK12</t>
        </is>
      </c>
      <c r="B90" s="20" t="inlineStr">
        <is>
          <t>Electronics</t>
        </is>
      </c>
      <c r="C90" s="43">
        <f>SUMIFS(JB_R,JB_S,"[ALT_VIEW]",JB_B,1,JB_EX,"P-8a",JB_CC,"Electronics",JB_H,"LHA",JB_CE,"AN/UPX-29(V), Identification Friend or Foe (IFF) MK12",JB_R,"&lt;&gt;")+SUMIFS(JB_N,JB_S,"[ALT_VIEW]",JB_B,1,JB_EX,"P-8a",JB_CC,"Electronics",JB_H,"LHA",JB_CE,"AN/UPX-29(V), Identification Friend or Foe (IFF) MK12",JB_R,"",JB_N,"&lt;&gt;")+SUMIFS(JB_L,JB_S,"[ALT_VIEW]",JB_B,1,JB_EX,"P-8a",JB_CC,"Electronics",JB_H,"LHA",JB_CE,"AN/UPX-29(V), Identification Friend or Foe (IFF) MK12",JB_R,"",JB_N,"")</f>
        <v/>
      </c>
      <c r="D90" s="31">
        <f>IFERROR(C90/C$123,0)</f>
        <v/>
      </c>
    </row>
    <row r="91" ht="10" customHeight="1">
      <c r="A91" s="24" t="inlineStr">
        <is>
          <t>AN/USG-2, Cooperative Engagement Transmission Processing Set (CETPS)</t>
        </is>
      </c>
      <c r="B91" s="20" t="inlineStr">
        <is>
          <t>Electronics</t>
        </is>
      </c>
      <c r="C91" s="43">
        <f>SUMIFS(JB_R,JB_S,"[ALT_VIEW]",JB_B,1,JB_EX,"P-8a",JB_CC,"Electronics",JB_H,"LHA",JB_CE,"AN/USG-2, Cooperative Engagement Transmission Processing Set (CETPS)",JB_R,"&lt;&gt;")+SUMIFS(JB_N,JB_S,"[ALT_VIEW]",JB_B,1,JB_EX,"P-8a",JB_CC,"Electronics",JB_H,"LHA",JB_CE,"AN/USG-2, Cooperative Engagement Transmission Processing Set (CETPS)",JB_R,"",JB_N,"&lt;&gt;")+SUMIFS(JB_L,JB_S,"[ALT_VIEW]",JB_B,1,JB_EX,"P-8a",JB_CC,"Electronics",JB_H,"LHA",JB_CE,"AN/USG-2, Cooperative Engagement Transmission Processing Set (CETPS)",JB_R,"",JB_N,"")</f>
        <v/>
      </c>
      <c r="D91" s="31">
        <f>IFERROR(C91/C$123,0)</f>
        <v/>
      </c>
    </row>
    <row r="92" ht="10" customHeight="1">
      <c r="A92" s="24" t="inlineStr">
        <is>
          <t>Joint Precision Approach and Landing System (JPALS) (AN/USN-3(V)1, SSLS)</t>
        </is>
      </c>
      <c r="B92" s="20" t="inlineStr">
        <is>
          <t>Electronics</t>
        </is>
      </c>
      <c r="C92" s="43">
        <f>SUMIFS(JB_R,JB_S,"[ALT_VIEW]",JB_B,1,JB_EX,"P-8a",JB_CC,"Electronics",JB_H,"LHA",JB_CE,"Joint Precision Approach and Landing System (JPALS) (AN/USN-3(V)1, SSLS)",JB_R,"&lt;&gt;")+SUMIFS(JB_N,JB_S,"[ALT_VIEW]",JB_B,1,JB_EX,"P-8a",JB_CC,"Electronics",JB_H,"LHA",JB_CE,"Joint Precision Approach and Landing System (JPALS) (AN/USN-3(V)1, SSLS)",JB_R,"",JB_N,"&lt;&gt;")+SUMIFS(JB_L,JB_S,"[ALT_VIEW]",JB_B,1,JB_EX,"P-8a",JB_CC,"Electronics",JB_H,"LHA",JB_CE,"Joint Precision Approach and Landing System (JPALS) (AN/USN-3(V)1, SSLS)",JB_R,"",JB_N,"")</f>
        <v/>
      </c>
      <c r="D92" s="31">
        <f>IFERROR(C92/C$123,0)</f>
        <v/>
      </c>
    </row>
    <row r="93" ht="10" customHeight="1">
      <c r="A93" s="24" t="inlineStr">
        <is>
          <t>USQ-82, Gigabit Ethernet Data Multiplex System (GEDMS)</t>
        </is>
      </c>
      <c r="B93" s="20" t="inlineStr">
        <is>
          <t>Electronics</t>
        </is>
      </c>
      <c r="C93" s="43">
        <f>SUMIFS(JB_R,JB_S,"[ALT_VIEW]",JB_B,1,JB_EX,"P-8a",JB_CC,"Electronics",JB_H,"LHA",JB_CE,"USQ-82, Gigabit Ethernet Data Multiplex System (GEDMS)",JB_R,"&lt;&gt;")+SUMIFS(JB_N,JB_S,"[ALT_VIEW]",JB_B,1,JB_EX,"P-8a",JB_CC,"Electronics",JB_H,"LHA",JB_CE,"USQ-82, Gigabit Ethernet Data Multiplex System (GEDMS)",JB_R,"",JB_N,"&lt;&gt;")+SUMIFS(JB_L,JB_S,"[ALT_VIEW]",JB_B,1,JB_EX,"P-8a",JB_CC,"Electronics",JB_H,"LHA",JB_CE,"USQ-82, Gigabit Ethernet Data Multiplex System (GEDMS)",JB_R,"",JB_N,"")</f>
        <v/>
      </c>
      <c r="D93" s="31">
        <f>IFERROR(C93/C$123,0)</f>
        <v/>
      </c>
    </row>
    <row r="94" ht="10" customHeight="1">
      <c r="A94" s="24" t="inlineStr">
        <is>
          <t>Aircraft Control Approach Central AN/SPN-35C</t>
        </is>
      </c>
      <c r="B94" s="20" t="inlineStr">
        <is>
          <t>Electronics</t>
        </is>
      </c>
      <c r="C94" s="43">
        <f>SUMIFS(JB_R,JB_S,"[ALT_VIEW]",JB_B,1,JB_EX,"P-8a",JB_CC,"Electronics",JB_H,"LHA",JB_CE,"Aircraft Control Approach Central AN/SPN-35C",JB_R,"&lt;&gt;")+SUMIFS(JB_N,JB_S,"[ALT_VIEW]",JB_B,1,JB_EX,"P-8a",JB_CC,"Electronics",JB_H,"LHA",JB_CE,"Aircraft Control Approach Central AN/SPN-35C",JB_R,"",JB_N,"&lt;&gt;")+SUMIFS(JB_L,JB_S,"[ALT_VIEW]",JB_B,1,JB_EX,"P-8a",JB_CC,"Electronics",JB_H,"LHA",JB_CE,"Aircraft Control Approach Central AN/SPN-35C",JB_R,"",JB_N,"")</f>
        <v/>
      </c>
      <c r="D94" s="31">
        <f>IFERROR(C94/C$123,0)</f>
        <v/>
      </c>
    </row>
    <row r="95" ht="10" customHeight="1">
      <c r="A95" s="24" t="inlineStr">
        <is>
          <t>Hierarchical Yet Dynamically Reprogrammable Architecture (HYDRA) AN/SRC-55</t>
        </is>
      </c>
      <c r="B95" s="20" t="inlineStr">
        <is>
          <t>Electronics</t>
        </is>
      </c>
      <c r="C95" s="43">
        <f>SUMIFS(JB_R,JB_S,"[ALT_VIEW]",JB_B,1,JB_EX,"P-8a",JB_CC,"Electronics",JB_H,"LHA",JB_CE,"Hierarchical Yet Dynamically Reprogrammable Architecture (HYDRA) AN/SRC-55",JB_R,"&lt;&gt;")+SUMIFS(JB_N,JB_S,"[ALT_VIEW]",JB_B,1,JB_EX,"P-8a",JB_CC,"Electronics",JB_H,"LHA",JB_CE,"Hierarchical Yet Dynamically Reprogrammable Architecture (HYDRA) AN/SRC-55",JB_R,"",JB_N,"&lt;&gt;")+SUMIFS(JB_L,JB_S,"[ALT_VIEW]",JB_B,1,JB_EX,"P-8a",JB_CC,"Electronics",JB_H,"LHA",JB_CE,"Hierarchical Yet Dynamically Reprogrammable Architecture (HYDRA) AN/SRC-55",JB_R,"",JB_N,"")</f>
        <v/>
      </c>
      <c r="D95" s="31">
        <f>IFERROR(C95/C$123,0)</f>
        <v/>
      </c>
    </row>
    <row r="96" ht="10" customHeight="1">
      <c r="A96" s="24" t="inlineStr">
        <is>
          <t>AN/SLQ-25C, Torpedo Countermeasures Transmitting Set (NIXIE)</t>
        </is>
      </c>
      <c r="B96" s="20" t="inlineStr">
        <is>
          <t>Electronics</t>
        </is>
      </c>
      <c r="C96" s="43">
        <f>SUMIFS(JB_R,JB_S,"[ALT_VIEW]",JB_B,1,JB_EX,"P-8a",JB_CC,"Electronics",JB_H,"LHA",JB_CE,"AN/SLQ-25C, Torpedo Countermeasures Transmitting Set (NIXIE)",JB_R,"&lt;&gt;")+SUMIFS(JB_N,JB_S,"[ALT_VIEW]",JB_B,1,JB_EX,"P-8a",JB_CC,"Electronics",JB_H,"LHA",JB_CE,"AN/SLQ-25C, Torpedo Countermeasures Transmitting Set (NIXIE)",JB_R,"",JB_N,"&lt;&gt;")+SUMIFS(JB_L,JB_S,"[ALT_VIEW]",JB_B,1,JB_EX,"P-8a",JB_CC,"Electronics",JB_H,"LHA",JB_CE,"AN/SLQ-25C, Torpedo Countermeasures Transmitting Set (NIXIE)",JB_R,"",JB_N,"")</f>
        <v/>
      </c>
      <c r="D96" s="31">
        <f>IFERROR(C96/C$123,0)</f>
        <v/>
      </c>
    </row>
    <row r="97" ht="10" customHeight="1">
      <c r="A97" s="24" t="inlineStr">
        <is>
          <t>Ring Laser Gyro Navigator (RLGN) AN/WSN-7</t>
        </is>
      </c>
      <c r="B97" s="20" t="inlineStr">
        <is>
          <t>Electronics</t>
        </is>
      </c>
      <c r="C97" s="43">
        <f>SUMIFS(JB_R,JB_S,"[ALT_VIEW]",JB_B,1,JB_EX,"P-8a",JB_CC,"Electronics",JB_H,"LHA",JB_CE,"Ring Laser Gyro Navigator (RLGN) AN/WSN-7",JB_R,"&lt;&gt;")+SUMIFS(JB_N,JB_S,"[ALT_VIEW]",JB_B,1,JB_EX,"P-8a",JB_CC,"Electronics",JB_H,"LHA",JB_CE,"Ring Laser Gyro Navigator (RLGN) AN/WSN-7",JB_R,"",JB_N,"&lt;&gt;")+SUMIFS(JB_L,JB_S,"[ALT_VIEW]",JB_B,1,JB_EX,"P-8a",JB_CC,"Electronics",JB_H,"LHA",JB_CE,"Ring Laser Gyro Navigator (RLGN) AN/WSN-7",JB_R,"",JB_N,"")</f>
        <v/>
      </c>
      <c r="D97" s="31">
        <f>IFERROR(C97/C$123,0)</f>
        <v/>
      </c>
    </row>
    <row r="98" ht="10" customHeight="1">
      <c r="A98" s="24" t="inlineStr">
        <is>
          <t>Amphibious Air Traffic Control Direct Altitude and Identity Readout (AATC-DAIR)</t>
        </is>
      </c>
      <c r="B98" s="20" t="inlineStr">
        <is>
          <t>Electronics</t>
        </is>
      </c>
      <c r="C98" s="43">
        <f>SUMIFS(JB_R,JB_S,"[ALT_VIEW]",JB_B,1,JB_EX,"P-8a",JB_CC,"Electronics",JB_H,"LHA",JB_CE,"Amphibious Air Traffic Control Direct Altitude and Identity Readout (AATC-DAIR)",JB_R,"&lt;&gt;")+SUMIFS(JB_N,JB_S,"[ALT_VIEW]",JB_B,1,JB_EX,"P-8a",JB_CC,"Electronics",JB_H,"LHA",JB_CE,"Amphibious Air Traffic Control Direct Altitude and Identity Readout (AATC-DAIR)",JB_R,"",JB_N,"&lt;&gt;")+SUMIFS(JB_L,JB_S,"[ALT_VIEW]",JB_B,1,JB_EX,"P-8a",JB_CC,"Electronics",JB_H,"LHA",JB_CE,"Amphibious Air Traffic Control Direct Altitude and Identity Readout (AATC-DAIR)",JB_R,"",JB_N,"")</f>
        <v/>
      </c>
      <c r="D98" s="31">
        <f>IFERROR(C98/C$123,0)</f>
        <v/>
      </c>
    </row>
    <row r="99" ht="10" customHeight="1">
      <c r="A99" s="24" t="inlineStr">
        <is>
          <t>Aircraft Approach Control Transmitting Set (AACTS) AN/SPN-41B</t>
        </is>
      </c>
      <c r="B99" s="20" t="inlineStr">
        <is>
          <t>Electronics</t>
        </is>
      </c>
      <c r="C99" s="43">
        <f>SUMIFS(JB_R,JB_S,"[ALT_VIEW]",JB_B,1,JB_EX,"P-8a",JB_CC,"Electronics",JB_H,"LHA",JB_CE,"Aircraft Approach Control Transmitting Set (AACTS) AN/SPN-41B",JB_R,"&lt;&gt;")+SUMIFS(JB_N,JB_S,"[ALT_VIEW]",JB_B,1,JB_EX,"P-8a",JB_CC,"Electronics",JB_H,"LHA",JB_CE,"Aircraft Approach Control Transmitting Set (AACTS) AN/SPN-41B",JB_R,"",JB_N,"&lt;&gt;")+SUMIFS(JB_L,JB_S,"[ALT_VIEW]",JB_B,1,JB_EX,"P-8a",JB_CC,"Electronics",JB_H,"LHA",JB_CE,"Aircraft Approach Control Transmitting Set (AACTS) AN/SPN-41B",JB_R,"",JB_N,"")</f>
        <v/>
      </c>
      <c r="D99" s="31">
        <f>IFERROR(C99/C$123,0)</f>
        <v/>
      </c>
    </row>
    <row r="100" ht="10" customHeight="1">
      <c r="A100" s="24" t="inlineStr">
        <is>
          <t>Announcing Systems AN/SIA-127H</t>
        </is>
      </c>
      <c r="B100" s="20" t="inlineStr">
        <is>
          <t>Electronics</t>
        </is>
      </c>
      <c r="C100" s="43">
        <f>SUMIFS(JB_R,JB_S,"[ALT_VIEW]",JB_B,1,JB_EX,"P-8a",JB_CC,"Electronics",JB_H,"LHA",JB_CE,"Announcing Systems AN/SIA-127H",JB_R,"&lt;&gt;")+SUMIFS(JB_N,JB_S,"[ALT_VIEW]",JB_B,1,JB_EX,"P-8a",JB_CC,"Electronics",JB_H,"LHA",JB_CE,"Announcing Systems AN/SIA-127H",JB_R,"",JB_N,"&lt;&gt;")+SUMIFS(JB_L,JB_S,"[ALT_VIEW]",JB_B,1,JB_EX,"P-8a",JB_CC,"Electronics",JB_H,"LHA",JB_CE,"Announcing Systems AN/SIA-127H",JB_R,"",JB_N,"")</f>
        <v/>
      </c>
      <c r="D100" s="31">
        <f>IFERROR(C100/C$123,0)</f>
        <v/>
      </c>
    </row>
    <row r="101" ht="10" customHeight="1">
      <c r="A101" s="24" t="inlineStr">
        <is>
          <t>SATCC</t>
        </is>
      </c>
      <c r="B101" s="20" t="inlineStr">
        <is>
          <t>Electronics</t>
        </is>
      </c>
      <c r="C101" s="43">
        <f>SUMIFS(JB_R,JB_S,"[ALT_VIEW]",JB_B,1,JB_EX,"P-8a",JB_CC,"Electronics",JB_H,"LHA",JB_CE,"SATCC",JB_R,"&lt;&gt;")+SUMIFS(JB_N,JB_S,"[ALT_VIEW]",JB_B,1,JB_EX,"P-8a",JB_CC,"Electronics",JB_H,"LHA",JB_CE,"SATCC",JB_R,"",JB_N,"&lt;&gt;")+SUMIFS(JB_L,JB_S,"[ALT_VIEW]",JB_B,1,JB_EX,"P-8a",JB_CC,"Electronics",JB_H,"LHA",JB_CE,"SATCC",JB_R,"",JB_N,"")</f>
        <v/>
      </c>
      <c r="D101" s="31">
        <f>IFERROR(C101/C$123,0)</f>
        <v/>
      </c>
    </row>
    <row r="102" ht="10" customHeight="1">
      <c r="A102" s="24" t="inlineStr">
        <is>
          <t>Amphibious Assault Direction System (AADS)</t>
        </is>
      </c>
      <c r="B102" s="20" t="inlineStr">
        <is>
          <t>Electronics</t>
        </is>
      </c>
      <c r="C102" s="43">
        <f>SUMIFS(JB_R,JB_S,"[ALT_VIEW]",JB_B,1,JB_EX,"P-8a",JB_CC,"Electronics",JB_H,"LHA",JB_CE,"Amphibious Assault Direction System (AADS)",JB_R,"&lt;&gt;")+SUMIFS(JB_N,JB_S,"[ALT_VIEW]",JB_B,1,JB_EX,"P-8a",JB_CC,"Electronics",JB_H,"LHA",JB_CE,"Amphibious Assault Direction System (AADS)",JB_R,"",JB_N,"&lt;&gt;")+SUMIFS(JB_L,JB_S,"[ALT_VIEW]",JB_B,1,JB_EX,"P-8a",JB_CC,"Electronics",JB_H,"LHA",JB_CE,"Amphibious Assault Direction System (AADS)",JB_R,"",JB_N,"")</f>
        <v/>
      </c>
      <c r="D102" s="31">
        <f>IFERROR(C102/C$123,0)</f>
        <v/>
      </c>
    </row>
    <row r="103" ht="10" customHeight="1">
      <c r="A103" s="24" t="inlineStr">
        <is>
          <t>30 TV</t>
        </is>
      </c>
      <c r="B103" s="20" t="inlineStr">
        <is>
          <t>Electronics</t>
        </is>
      </c>
      <c r="C103" s="43">
        <f>SUMIFS(JB_R,JB_S,"[ALT_VIEW]",JB_B,1,JB_EX,"P-8a",JB_CC,"Electronics",JB_H,"LHA",JB_CE,"30 TV",JB_R,"&lt;&gt;")+SUMIFS(JB_N,JB_S,"[ALT_VIEW]",JB_B,1,JB_EX,"P-8a",JB_CC,"Electronics",JB_H,"LHA",JB_CE,"30 TV",JB_R,"",JB_N,"&lt;&gt;")+SUMIFS(JB_L,JB_S,"[ALT_VIEW]",JB_B,1,JB_EX,"P-8a",JB_CC,"Electronics",JB_H,"LHA",JB_CE,"30 TV",JB_R,"",JB_N,"")</f>
        <v/>
      </c>
      <c r="D103" s="31">
        <f>IFERROR(C103/C$123,0)</f>
        <v/>
      </c>
    </row>
    <row r="104" ht="10" customHeight="1">
      <c r="A104" s="24" t="inlineStr">
        <is>
          <t>MK 53 NULKA Decoy Launching System (DLS) Mod 3</t>
        </is>
      </c>
      <c r="B104" s="20" t="inlineStr">
        <is>
          <t>Electronics</t>
        </is>
      </c>
      <c r="C104" s="43">
        <f>SUMIFS(JB_R,JB_S,"[ALT_VIEW]",JB_B,1,JB_EX,"P-8a",JB_CC,"Electronics",JB_H,"LHA",JB_CE,"MK 53 NULKA Decoy Launching System (DLS) Mod 3",JB_R,"&lt;&gt;")+SUMIFS(JB_N,JB_S,"[ALT_VIEW]",JB_B,1,JB_EX,"P-8a",JB_CC,"Electronics",JB_H,"LHA",JB_CE,"MK 53 NULKA Decoy Launching System (DLS) Mod 3",JB_R,"",JB_N,"&lt;&gt;")+SUMIFS(JB_L,JB_S,"[ALT_VIEW]",JB_B,1,JB_EX,"P-8a",JB_CC,"Electronics",JB_H,"LHA",JB_CE,"MK 53 NULKA Decoy Launching System (DLS) Mod 3",JB_R,"",JB_N,"")</f>
        <v/>
      </c>
      <c r="D104" s="31">
        <f>IFERROR(C104/C$123,0)</f>
        <v/>
      </c>
    </row>
    <row r="105" ht="10" customHeight="1">
      <c r="A105" s="24" t="inlineStr">
        <is>
          <t>Next Generation Navigational Radar</t>
        </is>
      </c>
      <c r="B105" s="20" t="inlineStr">
        <is>
          <t>Electronics</t>
        </is>
      </c>
      <c r="C105" s="43">
        <f>SUMIFS(JB_R,JB_S,"[ALT_VIEW]",JB_B,1,JB_EX,"P-8a",JB_CC,"Electronics",JB_H,"LHA",JB_CE,"Next Generation Navigational Radar",JB_R,"&lt;&gt;")+SUMIFS(JB_N,JB_S,"[ALT_VIEW]",JB_B,1,JB_EX,"P-8a",JB_CC,"Electronics",JB_H,"LHA",JB_CE,"Next Generation Navigational Radar",JB_R,"",JB_N,"&lt;&gt;")+SUMIFS(JB_L,JB_S,"[ALT_VIEW]",JB_B,1,JB_EX,"P-8a",JB_CC,"Electronics",JB_H,"LHA",JB_CE,"Next Generation Navigational Radar",JB_R,"",JB_N,"")</f>
        <v/>
      </c>
      <c r="D105" s="31">
        <f>IFERROR(C105/C$123,0)</f>
        <v/>
      </c>
    </row>
    <row r="106" ht="10" customHeight="1">
      <c r="A106" s="24" t="inlineStr">
        <is>
          <t>AN/USQ-T46(V), Battle Force Tactical Training (BFTT)</t>
        </is>
      </c>
      <c r="B106" s="20" t="inlineStr">
        <is>
          <t>Electronics</t>
        </is>
      </c>
      <c r="C106" s="43">
        <f>SUMIFS(JB_R,JB_S,"[ALT_VIEW]",JB_B,1,JB_EX,"P-8a",JB_CC,"Electronics",JB_H,"LHA",JB_CE,"AN/USQ-T46(V), Battle Force Tactical Training (BFTT)",JB_R,"&lt;&gt;")+SUMIFS(JB_N,JB_S,"[ALT_VIEW]",JB_B,1,JB_EX,"P-8a",JB_CC,"Electronics",JB_H,"LHA",JB_CE,"AN/USQ-T46(V), Battle Force Tactical Training (BFTT)",JB_R,"",JB_N,"&lt;&gt;")+SUMIFS(JB_L,JB_S,"[ALT_VIEW]",JB_B,1,JB_EX,"P-8a",JB_CC,"Electronics",JB_H,"LHA",JB_CE,"AN/USQ-T46(V), Battle Force Tactical Training (BFTT)",JB_R,"",JB_N,"")</f>
        <v/>
      </c>
      <c r="D106" s="31">
        <f>IFERROR(C106/C$123,0)</f>
        <v/>
      </c>
    </row>
    <row r="107" ht="10" customHeight="1">
      <c r="A107" s="24" t="inlineStr">
        <is>
          <t>Digital Photo Lab</t>
        </is>
      </c>
      <c r="B107" s="20" t="inlineStr">
        <is>
          <t>Electronics</t>
        </is>
      </c>
      <c r="C107" s="43">
        <f>SUMIFS(JB_R,JB_S,"[ALT_VIEW]",JB_B,1,JB_EX,"P-8a",JB_CC,"Electronics",JB_H,"LHA",JB_CE,"Digital Photo Lab",JB_R,"&lt;&gt;")+SUMIFS(JB_N,JB_S,"[ALT_VIEW]",JB_B,1,JB_EX,"P-8a",JB_CC,"Electronics",JB_H,"LHA",JB_CE,"Digital Photo Lab",JB_R,"",JB_N,"&lt;&gt;")+SUMIFS(JB_L,JB_S,"[ALT_VIEW]",JB_B,1,JB_EX,"P-8a",JB_CC,"Electronics",JB_H,"LHA",JB_CE,"Digital Photo Lab",JB_R,"",JB_N,"")</f>
        <v/>
      </c>
      <c r="D107" s="31">
        <f>IFERROR(C107/C$123,0)</f>
        <v/>
      </c>
    </row>
    <row r="108" ht="10" customHeight="1">
      <c r="A108" s="24" t="inlineStr">
        <is>
          <t>Print Shop</t>
        </is>
      </c>
      <c r="B108" s="20" t="inlineStr">
        <is>
          <t>Electronics</t>
        </is>
      </c>
      <c r="C108" s="43">
        <f>SUMIFS(JB_R,JB_S,"[ALT_VIEW]",JB_B,1,JB_EX,"P-8a",JB_CC,"Electronics",JB_H,"LHA",JB_CE,"Print Shop",JB_R,"&lt;&gt;")+SUMIFS(JB_N,JB_S,"[ALT_VIEW]",JB_B,1,JB_EX,"P-8a",JB_CC,"Electronics",JB_H,"LHA",JB_CE,"Print Shop",JB_R,"",JB_N,"&lt;&gt;")+SUMIFS(JB_L,JB_S,"[ALT_VIEW]",JB_B,1,JB_EX,"P-8a",JB_CC,"Electronics",JB_H,"LHA",JB_CE,"Print Shop",JB_R,"",JB_N,"")</f>
        <v/>
      </c>
      <c r="D108" s="31">
        <f>IFERROR(C108/C$123,0)</f>
        <v/>
      </c>
    </row>
    <row r="109" ht="10" customHeight="1">
      <c r="A109" s="24" t="inlineStr">
        <is>
          <t>Enterprise Air Surveillance Radar (EASR)</t>
        </is>
      </c>
      <c r="B109" s="20" t="inlineStr">
        <is>
          <t>Ordnance</t>
        </is>
      </c>
      <c r="C109" s="43">
        <f>SUMIFS(JB_R,JB_S,"[ALT_VIEW]",JB_B,1,JB_EX,"P-8a",JB_CC,"Ordnance",JB_H,"LHA",JB_CE,"Enterprise Air Surveillance Radar (EASR)",JB_R,"&lt;&gt;")+SUMIFS(JB_N,JB_S,"[ALT_VIEW]",JB_B,1,JB_EX,"P-8a",JB_CC,"Ordnance",JB_H,"LHA",JB_CE,"Enterprise Air Surveillance Radar (EASR)",JB_R,"",JB_N,"&lt;&gt;")+SUMIFS(JB_L,JB_S,"[ALT_VIEW]",JB_B,1,JB_EX,"P-8a",JB_CC,"Ordnance",JB_H,"LHA",JB_CE,"Enterprise Air Surveillance Radar (EASR)",JB_R,"",JB_N,"")</f>
        <v/>
      </c>
      <c r="D109" s="31">
        <f>IFERROR(C109/C$123,0)</f>
        <v/>
      </c>
    </row>
    <row r="110" ht="10" customHeight="1">
      <c r="A110" s="24" t="inlineStr">
        <is>
          <t>NATO Sea Sparrow Missile System (NSSMS) MK 57 Mod 14</t>
        </is>
      </c>
      <c r="B110" s="20" t="inlineStr">
        <is>
          <t>Ordnance</t>
        </is>
      </c>
      <c r="C110" s="43">
        <f>SUMIFS(JB_R,JB_S,"[ALT_VIEW]",JB_B,1,JB_EX,"P-8a",JB_CC,"Ordnance",JB_H,"LHA",JB_CE,"NATO Sea Sparrow Missile System (NSSMS) MK 57 Mod 14",JB_R,"&lt;&gt;")+SUMIFS(JB_N,JB_S,"[ALT_VIEW]",JB_B,1,JB_EX,"P-8a",JB_CC,"Ordnance",JB_H,"LHA",JB_CE,"NATO Sea Sparrow Missile System (NSSMS) MK 57 Mod 14",JB_R,"",JB_N,"&lt;&gt;")+SUMIFS(JB_L,JB_S,"[ALT_VIEW]",JB_B,1,JB_EX,"P-8a",JB_CC,"Ordnance",JB_H,"LHA",JB_CE,"NATO Sea Sparrow Missile System (NSSMS) MK 57 Mod 14",JB_R,"",JB_N,"")</f>
        <v/>
      </c>
      <c r="D110" s="31">
        <f>IFERROR(C110/C$123,0)</f>
        <v/>
      </c>
    </row>
    <row r="111" ht="10" customHeight="1">
      <c r="A111" s="24" t="inlineStr">
        <is>
          <t>MK31 Mod 3, Rolling Airframe Missile (RAM) (Tech Refresh)</t>
        </is>
      </c>
      <c r="B111" s="20" t="inlineStr">
        <is>
          <t>Ordnance</t>
        </is>
      </c>
      <c r="C111" s="43">
        <f>SUMIFS(JB_R,JB_S,"[ALT_VIEW]",JB_B,1,JB_EX,"P-8a",JB_CC,"Ordnance",JB_H,"LHA",JB_CE,"MK31 Mod 3, Rolling Airframe Missile (RAM) (Tech Refresh)",JB_R,"&lt;&gt;")+SUMIFS(JB_N,JB_S,"[ALT_VIEW]",JB_B,1,JB_EX,"P-8a",JB_CC,"Ordnance",JB_H,"LHA",JB_CE,"MK31 Mod 3, Rolling Airframe Missile (RAM) (Tech Refresh)",JB_R,"",JB_N,"&lt;&gt;")+SUMIFS(JB_L,JB_S,"[ALT_VIEW]",JB_B,1,JB_EX,"P-8a",JB_CC,"Ordnance",JB_H,"LHA",JB_CE,"MK31 Mod 3, Rolling Airframe Missile (RAM) (Tech Refresh)",JB_R,"",JB_N,"")</f>
        <v/>
      </c>
      <c r="D111" s="31">
        <f>IFERROR(C111/C$123,0)</f>
        <v/>
      </c>
    </row>
    <row r="112" ht="10" customHeight="1">
      <c r="A112" s="24" t="inlineStr">
        <is>
          <t>PHALANX Block 1B MK15 Mod 21 &amp; 22, Close-in Weapon System (CIWS)</t>
        </is>
      </c>
      <c r="B112" s="20" t="inlineStr">
        <is>
          <t>Ordnance</t>
        </is>
      </c>
      <c r="C112" s="43">
        <f>SUMIFS(JB_R,JB_S,"[ALT_VIEW]",JB_B,1,JB_EX,"P-8a",JB_CC,"Ordnance",JB_H,"LHA",JB_CE,"PHALANX Block 1B MK15 Mod 21 &amp; 22, Close-in Weapon System (CIWS)",JB_R,"&lt;&gt;")+SUMIFS(JB_N,JB_S,"[ALT_VIEW]",JB_B,1,JB_EX,"P-8a",JB_CC,"Ordnance",JB_H,"LHA",JB_CE,"PHALANX Block 1B MK15 Mod 21 &amp; 22, Close-in Weapon System (CIWS)",JB_R,"",JB_N,"&lt;&gt;")+SUMIFS(JB_L,JB_S,"[ALT_VIEW]",JB_B,1,JB_EX,"P-8a",JB_CC,"Ordnance",JB_H,"LHA",JB_CE,"PHALANX Block 1B MK15 Mod 21 &amp; 22, Close-in Weapon System (CIWS)",JB_R,"",JB_N,"")</f>
        <v/>
      </c>
      <c r="D112" s="31">
        <f>IFERROR(C112/C$123,0)</f>
        <v/>
      </c>
    </row>
    <row r="113" ht="10" customHeight="1">
      <c r="A113" s="24" t="inlineStr">
        <is>
          <t>Vertical/Stationary Take-Off Landing Optical Landing System (VSTOL OLS)</t>
        </is>
      </c>
      <c r="B113" s="20" t="inlineStr">
        <is>
          <t>Ordnance</t>
        </is>
      </c>
      <c r="C113" s="43">
        <f>SUMIFS(JB_R,JB_S,"[ALT_VIEW]",JB_B,1,JB_EX,"P-8a",JB_CC,"Ordnance",JB_H,"LHA",JB_CE,"Vertical/Stationary Take-Off Landing Optical Landing System (VSTOL OLS)",JB_R,"&lt;&gt;")+SUMIFS(JB_N,JB_S,"[ALT_VIEW]",JB_B,1,JB_EX,"P-8a",JB_CC,"Ordnance",JB_H,"LHA",JB_CE,"Vertical/Stationary Take-Off Landing Optical Landing System (VSTOL OLS)",JB_R,"",JB_N,"&lt;&gt;")+SUMIFS(JB_L,JB_S,"[ALT_VIEW]",JB_B,1,JB_EX,"P-8a",JB_CC,"Ordnance",JB_H,"LHA",JB_CE,"Vertical/Stationary Take-Off Landing Optical Landing System (VSTOL OLS)",JB_R,"",JB_N,"")</f>
        <v/>
      </c>
      <c r="D113" s="31">
        <f>IFERROR(C113/C$123,0)</f>
        <v/>
      </c>
    </row>
    <row r="114" ht="10" customHeight="1">
      <c r="A114" s="24" t="inlineStr">
        <is>
          <t>Aviation Support</t>
        </is>
      </c>
      <c r="B114" s="20" t="inlineStr">
        <is>
          <t>Ordnance</t>
        </is>
      </c>
      <c r="C114" s="43">
        <f>SUMIFS(JB_R,JB_S,"[ALT_VIEW]",JB_B,1,JB_EX,"P-8a",JB_CC,"Ordnance",JB_H,"LHA",JB_CE,"Aviation Support",JB_R,"&lt;&gt;")+SUMIFS(JB_N,JB_S,"[ALT_VIEW]",JB_B,1,JB_EX,"P-8a",JB_CC,"Ordnance",JB_H,"LHA",JB_CE,"Aviation Support",JB_R,"",JB_N,"&lt;&gt;")+SUMIFS(JB_L,JB_S,"[ALT_VIEW]",JB_B,1,JB_EX,"P-8a",JB_CC,"Ordnance",JB_H,"LHA",JB_CE,"Aviation Support",JB_R,"",JB_N,"")</f>
        <v/>
      </c>
      <c r="D114" s="31">
        <f>IFERROR(C114/C$123,0)</f>
        <v/>
      </c>
    </row>
    <row r="115" ht="10" customHeight="1">
      <c r="A115" s="24" t="inlineStr">
        <is>
          <t>AN/SPQ-9B Radar Set</t>
        </is>
      </c>
      <c r="B115" s="20" t="inlineStr">
        <is>
          <t>Ordnance</t>
        </is>
      </c>
      <c r="C115" s="43">
        <f>SUMIFS(JB_R,JB_S,"[ALT_VIEW]",JB_B,1,JB_EX,"P-8a",JB_CC,"Ordnance",JB_H,"LHA",JB_CE,"AN/SPQ-9B Radar Set",JB_R,"&lt;&gt;")+SUMIFS(JB_N,JB_S,"[ALT_VIEW]",JB_B,1,JB_EX,"P-8a",JB_CC,"Ordnance",JB_H,"LHA",JB_CE,"AN/SPQ-9B Radar Set",JB_R,"",JB_N,"&lt;&gt;")+SUMIFS(JB_L,JB_S,"[ALT_VIEW]",JB_B,1,JB_EX,"P-8a",JB_CC,"Ordnance",JB_H,"LHA",JB_CE,"AN/SPQ-9B Radar Set",JB_R,"",JB_N,"")</f>
        <v/>
      </c>
      <c r="D115" s="31">
        <f>IFERROR(C115/C$123,0)</f>
        <v/>
      </c>
    </row>
    <row r="116" ht="10" customHeight="1">
      <c r="A116" s="24" t="inlineStr">
        <is>
          <t>MK 38 Mod 2 Stabilized Gun Stand Assembly</t>
        </is>
      </c>
      <c r="B116" s="20" t="inlineStr">
        <is>
          <t>Ordnance</t>
        </is>
      </c>
      <c r="C116" s="43">
        <f>SUMIFS(JB_R,JB_S,"[ALT_VIEW]",JB_B,1,JB_EX,"P-8a",JB_CC,"Ordnance",JB_H,"LHA",JB_CE,"MK 38 Mod 2 Stabilized Gun Stand Assembly",JB_R,"&lt;&gt;")+SUMIFS(JB_N,JB_S,"[ALT_VIEW]",JB_B,1,JB_EX,"P-8a",JB_CC,"Ordnance",JB_H,"LHA",JB_CE,"MK 38 Mod 2 Stabilized Gun Stand Assembly",JB_R,"",JB_N,"&lt;&gt;")+SUMIFS(JB_L,JB_S,"[ALT_VIEW]",JB_B,1,JB_EX,"P-8a",JB_CC,"Ordnance",JB_H,"LHA",JB_CE,"MK 38 Mod 2 Stabilized Gun Stand Assembly",JB_R,"",JB_N,"")</f>
        <v/>
      </c>
      <c r="D116" s="31">
        <f>IFERROR(C116/C$123,0)</f>
        <v/>
      </c>
    </row>
    <row r="117" ht="10" customHeight="1">
      <c r="A117" s="24" t="inlineStr">
        <is>
          <t>Miscellaneous Ordnance</t>
        </is>
      </c>
      <c r="B117" s="20" t="inlineStr">
        <is>
          <t>Ordnance</t>
        </is>
      </c>
      <c r="C117" s="43">
        <f>SUMIFS(JB_R,JB_S,"[ALT_VIEW]",JB_B,1,JB_EX,"P-8a",JB_CC,"Ordnance",JB_H,"LHA",JB_CE,"Miscellaneous Ordnance",JB_R,"&lt;&gt;")+SUMIFS(JB_N,JB_S,"[ALT_VIEW]",JB_B,1,JB_EX,"P-8a",JB_CC,"Ordnance",JB_H,"LHA",JB_CE,"Miscellaneous Ordnance",JB_R,"",JB_N,"&lt;&gt;")+SUMIFS(JB_L,JB_S,"[ALT_VIEW]",JB_B,1,JB_EX,"P-8a",JB_CC,"Ordnance",JB_H,"LHA",JB_CE,"Miscellaneous Ordnance",JB_R,"",JB_N,"")</f>
        <v/>
      </c>
      <c r="D117" s="31">
        <f>IFERROR(C117/C$123,0)</f>
        <v/>
      </c>
    </row>
    <row r="118" ht="10" customHeight="1">
      <c r="A118" s="24" t="inlineStr">
        <is>
          <t>MORIAH</t>
        </is>
      </c>
      <c r="B118" s="20" t="inlineStr">
        <is>
          <t>Ordnance</t>
        </is>
      </c>
      <c r="C118" s="43">
        <f>SUMIFS(JB_R,JB_S,"[ALT_VIEW]",JB_B,1,JB_EX,"P-8a",JB_CC,"Ordnance",JB_H,"LHA",JB_CE,"MORIAH",JB_R,"&lt;&gt;")+SUMIFS(JB_N,JB_S,"[ALT_VIEW]",JB_B,1,JB_EX,"P-8a",JB_CC,"Ordnance",JB_H,"LHA",JB_CE,"MORIAH",JB_R,"",JB_N,"&lt;&gt;")+SUMIFS(JB_L,JB_S,"[ALT_VIEW]",JB_B,1,JB_EX,"P-8a",JB_CC,"Ordnance",JB_H,"LHA",JB_CE,"MORIAH",JB_R,"",JB_N,"")</f>
        <v/>
      </c>
      <c r="D118" s="31">
        <f>IFERROR(C118/C$123,0)</f>
        <v/>
      </c>
    </row>
    <row r="119" ht="10" customHeight="1">
      <c r="A119" s="24" t="inlineStr">
        <is>
          <t>AN/SPQ-14</t>
        </is>
      </c>
      <c r="B119" s="20" t="inlineStr">
        <is>
          <t>Ordnance</t>
        </is>
      </c>
      <c r="C119" s="43">
        <f>SUMIFS(JB_R,JB_S,"[ALT_VIEW]",JB_B,1,JB_EX,"P-8a",JB_CC,"Ordnance",JB_H,"LHA",JB_CE,"AN/SPQ-14",JB_R,"&lt;&gt;")+SUMIFS(JB_N,JB_S,"[ALT_VIEW]",JB_B,1,JB_EX,"P-8a",JB_CC,"Ordnance",JB_H,"LHA",JB_CE,"AN/SPQ-14",JB_R,"",JB_N,"&lt;&gt;")+SUMIFS(JB_L,JB_S,"[ALT_VIEW]",JB_B,1,JB_EX,"P-8a",JB_CC,"Ordnance",JB_H,"LHA",JB_CE,"AN/SPQ-14",JB_R,"",JB_N,"")</f>
        <v/>
      </c>
      <c r="D119" s="31">
        <f>IFERROR(C119/C$123,0)</f>
        <v/>
      </c>
    </row>
    <row r="120" ht="10" customHeight="1">
      <c r="A120" s="24" t="inlineStr">
        <is>
          <t>Equipment &amp; Engineering</t>
        </is>
      </c>
      <c r="B120" s="20" t="inlineStr">
        <is>
          <t>Hull, Mechanical, and Electrical</t>
        </is>
      </c>
      <c r="C120" s="43">
        <f>SUMIFS(JB_R,JB_S,"[ALT_VIEW]",JB_B,1,JB_EX,"P-8a",JB_CC,"Hull, Mechanical, and Electrical",JB_H,"LHA",JB_CE,"Equipment &amp; Engineering",JB_R,"&lt;&gt;")+SUMIFS(JB_N,JB_S,"[ALT_VIEW]",JB_B,1,JB_EX,"P-8a",JB_CC,"Hull, Mechanical, and Electrical",JB_H,"LHA",JB_CE,"Equipment &amp; Engineering",JB_R,"",JB_N,"&lt;&gt;")+SUMIFS(JB_L,JB_S,"[ALT_VIEW]",JB_B,1,JB_EX,"P-8a",JB_CC,"Hull, Mechanical, and Electrical",JB_H,"LHA",JB_CE,"Equipment &amp; Engineering",JB_R,"",JB_N,"")</f>
        <v/>
      </c>
      <c r="D120" s="31">
        <f>IFERROR(C120/C$123,0)</f>
        <v/>
      </c>
    </row>
    <row r="121" ht="10" customHeight="1">
      <c r="A121" s="24" t="inlineStr">
        <is>
          <t>Test &amp; Instrumentation</t>
        </is>
      </c>
      <c r="B121" s="20" t="inlineStr">
        <is>
          <t>Hull, Mechanical, and Electrical</t>
        </is>
      </c>
      <c r="C121" s="43">
        <f>SUMIFS(JB_R,JB_S,"[ALT_VIEW]",JB_B,1,JB_EX,"P-8a",JB_CC,"Hull, Mechanical, and Electrical",JB_H,"LHA",JB_CE,"Test &amp; Instrumentation",JB_R,"&lt;&gt;")+SUMIFS(JB_N,JB_S,"[ALT_VIEW]",JB_B,1,JB_EX,"P-8a",JB_CC,"Hull, Mechanical, and Electrical",JB_H,"LHA",JB_CE,"Test &amp; Instrumentation",JB_R,"",JB_N,"&lt;&gt;")+SUMIFS(JB_L,JB_S,"[ALT_VIEW]",JB_B,1,JB_EX,"P-8a",JB_CC,"Hull, Mechanical, and Electrical",JB_H,"LHA",JB_CE,"Test &amp; Instrumentation",JB_R,"",JB_N,"")</f>
        <v/>
      </c>
      <c r="D121" s="31">
        <f>IFERROR(C121/C$123,0)</f>
        <v/>
      </c>
    </row>
    <row r="122" ht="10" customHeight="1">
      <c r="A122" s="24" t="inlineStr">
        <is>
          <t>SUPSHIP Material/Services</t>
        </is>
      </c>
      <c r="B122" s="20" t="inlineStr">
        <is>
          <t>Hull, Mechanical, and Electrical</t>
        </is>
      </c>
      <c r="C122" s="43">
        <f>SUMIFS(JB_R,JB_S,"[ALT_VIEW]",JB_B,1,JB_EX,"P-8a",JB_CC,"Hull, Mechanical, and Electrical",JB_H,"LHA",JB_CE,"SUPSHIP Material/Services",JB_R,"&lt;&gt;")+SUMIFS(JB_N,JB_S,"[ALT_VIEW]",JB_B,1,JB_EX,"P-8a",JB_CC,"Hull, Mechanical, and Electrical",JB_H,"LHA",JB_CE,"SUPSHIP Material/Services",JB_R,"",JB_N,"&lt;&gt;")+SUMIFS(JB_L,JB_S,"[ALT_VIEW]",JB_B,1,JB_EX,"P-8a",JB_CC,"Hull, Mechanical, and Electrical",JB_H,"LHA",JB_CE,"SUPSHIP Material/Services",JB_R,"",JB_N,"")</f>
        <v/>
      </c>
      <c r="D122" s="31">
        <f>IFERROR(C122/C$123,0)</f>
        <v/>
      </c>
    </row>
    <row r="123" ht="10" customHeight="1">
      <c r="A123" s="26" t="inlineStr">
        <is>
          <t>LHA Total</t>
        </is>
      </c>
      <c r="B123" s="28" t="n"/>
      <c r="C123" s="27">
        <f>SUM(C84:C122)</f>
        <v/>
      </c>
      <c r="D123" s="32" t="n">
        <v>1</v>
      </c>
    </row>
    <row r="124" ht="10" customHeight="1"/>
    <row r="125" ht="10" customHeight="1">
      <c r="A125" s="40" t="inlineStr">
        <is>
          <t>FFG (Surface Combatants)</t>
        </is>
      </c>
      <c r="B125" s="33" t="n"/>
      <c r="C125" s="33" t="n"/>
      <c r="D125" s="33" t="n"/>
    </row>
    <row r="126" ht="10" customHeight="1">
      <c r="A126" s="23" t="inlineStr">
        <is>
          <t>System</t>
        </is>
      </c>
      <c r="B126" s="23" t="inlineStr">
        <is>
          <t>Cost Category</t>
        </is>
      </c>
      <c r="C126" s="23" t="inlineStr">
        <is>
          <t>FY2026 ($K)</t>
        </is>
      </c>
      <c r="D126" s="23" t="inlineStr">
        <is>
          <t>% of Hull</t>
        </is>
      </c>
    </row>
    <row r="127" ht="10" customHeight="1">
      <c r="A127" s="24" t="inlineStr">
        <is>
          <t>Enterprise Air Surveillance Radar (EASR)</t>
        </is>
      </c>
      <c r="B127" s="20" t="inlineStr">
        <is>
          <t>Electronics</t>
        </is>
      </c>
      <c r="C127" s="43">
        <f>SUMIFS(JB_R,JB_S,"[ALT_VIEW]",JB_B,1,JB_EX,"P-8a",JB_CC,"Electronics",JB_H,"FFG",JB_CE,"Enterprise Air Surveillance Radar (EASR)",JB_R,"&lt;&gt;")+SUMIFS(JB_N,JB_S,"[ALT_VIEW]",JB_B,1,JB_EX,"P-8a",JB_CC,"Electronics",JB_H,"FFG",JB_CE,"Enterprise Air Surveillance Radar (EASR)",JB_R,"",JB_N,"&lt;&gt;")+SUMIFS(JB_L,JB_S,"[ALT_VIEW]",JB_B,1,JB_EX,"P-8a",JB_CC,"Electronics",JB_H,"FFG",JB_CE,"Enterprise Air Surveillance Radar (EASR)",JB_R,"",JB_N,"")</f>
        <v/>
      </c>
      <c r="D127" s="31">
        <f>IFERROR(C127/C$145,0)</f>
        <v/>
      </c>
    </row>
    <row r="128" ht="10" customHeight="1">
      <c r="A128" s="24" t="inlineStr">
        <is>
          <t>AEGIS Weapon System (AWS)</t>
        </is>
      </c>
      <c r="B128" s="20" t="inlineStr">
        <is>
          <t>Electronics</t>
        </is>
      </c>
      <c r="C128" s="43">
        <f>SUMIFS(JB_R,JB_S,"[ALT_VIEW]",JB_B,1,JB_EX,"P-8a",JB_CC,"Electronics",JB_H,"FFG",JB_CE,"AEGIS Weapon System (AWS)",JB_R,"&lt;&gt;")+SUMIFS(JB_N,JB_S,"[ALT_VIEW]",JB_B,1,JB_EX,"P-8a",JB_CC,"Electronics",JB_H,"FFG",JB_CE,"AEGIS Weapon System (AWS)",JB_R,"",JB_N,"&lt;&gt;")+SUMIFS(JB_L,JB_S,"[ALT_VIEW]",JB_B,1,JB_EX,"P-8a",JB_CC,"Electronics",JB_H,"FFG",JB_CE,"AEGIS Weapon System (AWS)",JB_R,"",JB_N,"")</f>
        <v/>
      </c>
      <c r="D128" s="31">
        <f>IFERROR(C128/C$145,0)</f>
        <v/>
      </c>
    </row>
    <row r="129" ht="10" customHeight="1">
      <c r="A129" s="24" t="inlineStr">
        <is>
          <t>Anti-Submarine Warfare (ASW) Combat Suite</t>
        </is>
      </c>
      <c r="B129" s="20" t="inlineStr">
        <is>
          <t>Electronics</t>
        </is>
      </c>
      <c r="C129" s="43">
        <f>SUMIFS(JB_R,JB_S,"[ALT_VIEW]",JB_B,1,JB_EX,"P-8a",JB_CC,"Electronics",JB_H,"FFG",JB_CE,"Anti-Submarine Warfare (ASW) Combat Suite",JB_R,"&lt;&gt;")+SUMIFS(JB_N,JB_S,"[ALT_VIEW]",JB_B,1,JB_EX,"P-8a",JB_CC,"Electronics",JB_H,"FFG",JB_CE,"Anti-Submarine Warfare (ASW) Combat Suite",JB_R,"",JB_N,"&lt;&gt;")+SUMIFS(JB_L,JB_S,"[ALT_VIEW]",JB_B,1,JB_EX,"P-8a",JB_CC,"Electronics",JB_H,"FFG",JB_CE,"Anti-Submarine Warfare (ASW) Combat Suite",JB_R,"",JB_N,"")</f>
        <v/>
      </c>
      <c r="D129" s="31">
        <f>IFERROR(C129/C$145,0)</f>
        <v/>
      </c>
    </row>
    <row r="130" ht="10" customHeight="1">
      <c r="A130" s="24" t="inlineStr">
        <is>
          <t>Tactical COMINT System- Spectral</t>
        </is>
      </c>
      <c r="B130" s="20" t="inlineStr">
        <is>
          <t>Electronics</t>
        </is>
      </c>
      <c r="C130" s="43">
        <f>SUMIFS(JB_R,JB_S,"[ALT_VIEW]",JB_B,1,JB_EX,"P-8a",JB_CC,"Electronics",JB_H,"FFG",JB_CE,"Tactical COMINT System- Spectral",JB_R,"&lt;&gt;")+SUMIFS(JB_N,JB_S,"[ALT_VIEW]",JB_B,1,JB_EX,"P-8a",JB_CC,"Electronics",JB_H,"FFG",JB_CE,"Tactical COMINT System- Spectral",JB_R,"",JB_N,"&lt;&gt;")+SUMIFS(JB_L,JB_S,"[ALT_VIEW]",JB_B,1,JB_EX,"P-8a",JB_CC,"Electronics",JB_H,"FFG",JB_CE,"Tactical COMINT System- Spectral",JB_R,"",JB_N,"")</f>
        <v/>
      </c>
      <c r="D130" s="31">
        <f>IFERROR(C130/C$145,0)</f>
        <v/>
      </c>
    </row>
    <row r="131" ht="10" customHeight="1">
      <c r="A131" s="24" t="inlineStr">
        <is>
          <t>External Communication Suite (EXCOMM)</t>
        </is>
      </c>
      <c r="B131" s="20" t="inlineStr">
        <is>
          <t>Electronics</t>
        </is>
      </c>
      <c r="C131" s="43">
        <f>SUMIFS(JB_R,JB_S,"[ALT_VIEW]",JB_B,1,JB_EX,"P-8a",JB_CC,"Electronics",JB_H,"FFG",JB_CE,"External Communication Suite (EXCOMM)",JB_R,"&lt;&gt;")+SUMIFS(JB_N,JB_S,"[ALT_VIEW]",JB_B,1,JB_EX,"P-8a",JB_CC,"Electronics",JB_H,"FFG",JB_CE,"External Communication Suite (EXCOMM)",JB_R,"",JB_N,"&lt;&gt;")+SUMIFS(JB_L,JB_S,"[ALT_VIEW]",JB_B,1,JB_EX,"P-8a",JB_CC,"Electronics",JB_H,"FFG",JB_CE,"External Communication Suite (EXCOMM)",JB_R,"",JB_N,"")</f>
        <v/>
      </c>
      <c r="D131" s="31">
        <f>IFERROR(C131/C$145,0)</f>
        <v/>
      </c>
    </row>
    <row r="132" ht="10" customHeight="1">
      <c r="A132" s="24" t="inlineStr">
        <is>
          <t>Cooperative Engagement Capability (CEC)</t>
        </is>
      </c>
      <c r="B132" s="20" t="inlineStr">
        <is>
          <t>Electronics</t>
        </is>
      </c>
      <c r="C132" s="43">
        <f>SUMIFS(JB_R,JB_S,"[ALT_VIEW]",JB_B,1,JB_EX,"P-8a",JB_CC,"Electronics",JB_H,"FFG",JB_CE,"Cooperative Engagement Capability (CEC)",JB_R,"&lt;&gt;")+SUMIFS(JB_N,JB_S,"[ALT_VIEW]",JB_B,1,JB_EX,"P-8a",JB_CC,"Electronics",JB_H,"FFG",JB_CE,"Cooperative Engagement Capability (CEC)",JB_R,"",JB_N,"&lt;&gt;")+SUMIFS(JB_L,JB_S,"[ALT_VIEW]",JB_B,1,JB_EX,"P-8a",JB_CC,"Electronics",JB_H,"FFG",JB_CE,"Cooperative Engagement Capability (CEC)",JB_R,"",JB_N,"")</f>
        <v/>
      </c>
      <c r="D132" s="31">
        <f>IFERROR(C132/C$145,0)</f>
        <v/>
      </c>
    </row>
    <row r="133" ht="10" customHeight="1">
      <c r="A133" s="24" t="inlineStr">
        <is>
          <t>Identification Friend or Foe (IFF) UPX-29</t>
        </is>
      </c>
      <c r="B133" s="20" t="inlineStr">
        <is>
          <t>Electronics</t>
        </is>
      </c>
      <c r="C133" s="43">
        <f>SUMIFS(JB_R,JB_S,"[ALT_VIEW]",JB_B,1,JB_EX,"P-8a",JB_CC,"Electronics",JB_H,"FFG",JB_CE,"Identification Friend or Foe (IFF) UPX-29",JB_R,"&lt;&gt;")+SUMIFS(JB_N,JB_S,"[ALT_VIEW]",JB_B,1,JB_EX,"P-8a",JB_CC,"Electronics",JB_H,"FFG",JB_CE,"Identification Friend or Foe (IFF) UPX-29",JB_R,"",JB_N,"&lt;&gt;")+SUMIFS(JB_L,JB_S,"[ALT_VIEW]",JB_B,1,JB_EX,"P-8a",JB_CC,"Electronics",JB_H,"FFG",JB_CE,"Identification Friend or Foe (IFF) UPX-29",JB_R,"",JB_N,"")</f>
        <v/>
      </c>
      <c r="D133" s="31">
        <f>IFERROR(C133/C$145,0)</f>
        <v/>
      </c>
    </row>
    <row r="134" ht="10" customHeight="1">
      <c r="A134" s="24" t="inlineStr">
        <is>
          <t>MK 41 Vertical Launch System (VLS)- 32 Cell</t>
        </is>
      </c>
      <c r="B134" s="20" t="inlineStr">
        <is>
          <t>Ordnance</t>
        </is>
      </c>
      <c r="C134" s="43">
        <f>SUMIFS(JB_R,JB_S,"[ALT_VIEW]",JB_B,1,JB_EX,"P-8a",JB_CC,"Ordnance",JB_H,"FFG",JB_CE,"MK 41 Vertical Launch System (VLS)- 32 Cell",JB_R,"&lt;&gt;")+SUMIFS(JB_N,JB_S,"[ALT_VIEW]",JB_B,1,JB_EX,"P-8a",JB_CC,"Ordnance",JB_H,"FFG",JB_CE,"MK 41 Vertical Launch System (VLS)- 32 Cell",JB_R,"",JB_N,"&lt;&gt;")+SUMIFS(JB_L,JB_S,"[ALT_VIEW]",JB_B,1,JB_EX,"P-8a",JB_CC,"Ordnance",JB_H,"FFG",JB_CE,"MK 41 Vertical Launch System (VLS)- 32 Cell",JB_R,"",JB_N,"")</f>
        <v/>
      </c>
      <c r="D134" s="31">
        <f>IFERROR(C134/C$145,0)</f>
        <v/>
      </c>
    </row>
    <row r="135" ht="10" customHeight="1">
      <c r="A135" s="24" t="inlineStr">
        <is>
          <t>MK 48 Gun Weapon System (GWS)</t>
        </is>
      </c>
      <c r="B135" s="20" t="inlineStr">
        <is>
          <t>Ordnance</t>
        </is>
      </c>
      <c r="C135" s="43">
        <f>SUMIFS(JB_R,JB_S,"[ALT_VIEW]",JB_B,1,JB_EX,"P-8a",JB_CC,"Ordnance",JB_H,"FFG",JB_CE,"MK 48 Gun Weapon System (GWS)",JB_R,"&lt;&gt;")+SUMIFS(JB_N,JB_S,"[ALT_VIEW]",JB_B,1,JB_EX,"P-8a",JB_CC,"Ordnance",JB_H,"FFG",JB_CE,"MK 48 Gun Weapon System (GWS)",JB_R,"",JB_N,"&lt;&gt;")+SUMIFS(JB_L,JB_S,"[ALT_VIEW]",JB_B,1,JB_EX,"P-8a",JB_CC,"Ordnance",JB_H,"FFG",JB_CE,"MK 48 Gun Weapon System (GWS)",JB_R,"",JB_N,"")</f>
        <v/>
      </c>
      <c r="D135" s="31">
        <f>IFERROR(C135/C$145,0)</f>
        <v/>
      </c>
    </row>
    <row r="136" ht="10" customHeight="1">
      <c r="A136" s="24" t="inlineStr">
        <is>
          <t>Other Ordnance</t>
        </is>
      </c>
      <c r="B136" s="20" t="inlineStr">
        <is>
          <t>Ordnance</t>
        </is>
      </c>
      <c r="C136" s="43">
        <f>SUMIFS(JB_R,JB_S,"[ALT_VIEW]",JB_B,1,JB_EX,"P-8a",JB_CC,"Ordnance",JB_H,"FFG",JB_CE,"Other Ordnance",JB_R,"&lt;&gt;")+SUMIFS(JB_N,JB_S,"[ALT_VIEW]",JB_B,1,JB_EX,"P-8a",JB_CC,"Ordnance",JB_H,"FFG",JB_CE,"Other Ordnance",JB_R,"",JB_N,"&lt;&gt;")+SUMIFS(JB_L,JB_S,"[ALT_VIEW]",JB_B,1,JB_EX,"P-8a",JB_CC,"Ordnance",JB_H,"FFG",JB_CE,"Other Ordnance",JB_R,"",JB_N,"")</f>
        <v/>
      </c>
      <c r="D136" s="31">
        <f>IFERROR(C136/C$145,0)</f>
        <v/>
      </c>
    </row>
    <row r="137" ht="10" customHeight="1">
      <c r="A137" s="24" t="inlineStr">
        <is>
          <t>MK 53 Decoy Launching System (DLS) (Nulka)- 4 Launcher</t>
        </is>
      </c>
      <c r="B137" s="20" t="inlineStr">
        <is>
          <t>Ordnance</t>
        </is>
      </c>
      <c r="C137" s="43">
        <f>SUMIFS(JB_R,JB_S,"[ALT_VIEW]",JB_B,1,JB_EX,"P-8a",JB_CC,"Ordnance",JB_H,"FFG",JB_CE,"MK 53 Decoy Launching System (DLS) (Nulka)- 4 Launcher",JB_R,"&lt;&gt;")+SUMIFS(JB_N,JB_S,"[ALT_VIEW]",JB_B,1,JB_EX,"P-8a",JB_CC,"Ordnance",JB_H,"FFG",JB_CE,"MK 53 Decoy Launching System (DLS) (Nulka)- 4 Launcher",JB_R,"",JB_N,"&lt;&gt;")+SUMIFS(JB_L,JB_S,"[ALT_VIEW]",JB_B,1,JB_EX,"P-8a",JB_CC,"Ordnance",JB_H,"FFG",JB_CE,"MK 53 Decoy Launching System (DLS) (Nulka)- 4 Launcher",JB_R,"",JB_N,"")</f>
        <v/>
      </c>
      <c r="D137" s="31">
        <f>IFERROR(C137/C$145,0)</f>
        <v/>
      </c>
    </row>
    <row r="138" ht="10" customHeight="1">
      <c r="A138" s="24" t="inlineStr">
        <is>
          <t>Aircraft Ship Integrated Securing and Traversing System (ASIST)</t>
        </is>
      </c>
      <c r="B138" s="20" t="inlineStr">
        <is>
          <t>Hull, Mechanical, and Electrical</t>
        </is>
      </c>
      <c r="C138" s="43">
        <f>SUMIFS(JB_R,JB_S,"[ALT_VIEW]",JB_B,1,JB_EX,"P-8a",JB_CC,"Hull, Mechanical, and Electrical",JB_H,"FFG",JB_CE,"Aircraft Ship Integrated Securing and Traversing System (ASIST)",JB_R,"&lt;&gt;")+SUMIFS(JB_N,JB_S,"[ALT_VIEW]",JB_B,1,JB_EX,"P-8a",JB_CC,"Hull, Mechanical, and Electrical",JB_H,"FFG",JB_CE,"Aircraft Ship Integrated Securing and Traversing System (ASIST)",JB_R,"",JB_N,"&lt;&gt;")+SUMIFS(JB_L,JB_S,"[ALT_VIEW]",JB_B,1,JB_EX,"P-8a",JB_CC,"Hull, Mechanical, and Electrical",JB_H,"FFG",JB_CE,"Aircraft Ship Integrated Securing and Traversing System (ASIST)",JB_R,"",JB_N,"")</f>
        <v/>
      </c>
      <c r="D138" s="31">
        <f>IFERROR(C138/C$145,0)</f>
        <v/>
      </c>
    </row>
    <row r="139" ht="10" customHeight="1">
      <c r="A139" s="24" t="inlineStr">
        <is>
          <t>Other HM&amp;E</t>
        </is>
      </c>
      <c r="B139" s="20" t="inlineStr">
        <is>
          <t>Hull, Mechanical, and Electrical</t>
        </is>
      </c>
      <c r="C139" s="43">
        <f>SUMIFS(JB_R,JB_S,"[ALT_VIEW]",JB_B,1,JB_EX,"P-8a",JB_CC,"Hull, Mechanical, and Electrical",JB_H,"FFG",JB_CE,"Other HM&amp;E",JB_R,"&lt;&gt;")+SUMIFS(JB_N,JB_S,"[ALT_VIEW]",JB_B,1,JB_EX,"P-8a",JB_CC,"Hull, Mechanical, and Electrical",JB_H,"FFG",JB_CE,"Other HM&amp;E",JB_R,"",JB_N,"&lt;&gt;")+SUMIFS(JB_L,JB_S,"[ALT_VIEW]",JB_B,1,JB_EX,"P-8a",JB_CC,"Hull, Mechanical, and Electrical",JB_H,"FFG",JB_CE,"Other HM&amp;E",JB_R,"",JB_N,"")</f>
        <v/>
      </c>
      <c r="D139" s="31">
        <f>IFERROR(C139/C$145,0)</f>
        <v/>
      </c>
    </row>
    <row r="140" ht="10" customHeight="1">
      <c r="A140" s="24" t="inlineStr">
        <is>
          <t>Internal Communication (IC) Voice</t>
        </is>
      </c>
      <c r="B140" s="20" t="inlineStr">
        <is>
          <t>Hull, Mechanical, and Electrical</t>
        </is>
      </c>
      <c r="C140" s="43">
        <f>SUMIFS(JB_R,JB_S,"[ALT_VIEW]",JB_B,1,JB_EX,"P-8a",JB_CC,"Hull, Mechanical, and Electrical",JB_H,"FFG",JB_CE,"Internal Communication (IC) Voice",JB_R,"&lt;&gt;")+SUMIFS(JB_N,JB_S,"[ALT_VIEW]",JB_B,1,JB_EX,"P-8a",JB_CC,"Hull, Mechanical, and Electrical",JB_H,"FFG",JB_CE,"Internal Communication (IC) Voice",JB_R,"",JB_N,"&lt;&gt;")+SUMIFS(JB_L,JB_S,"[ALT_VIEW]",JB_B,1,JB_EX,"P-8a",JB_CC,"Hull, Mechanical, and Electrical",JB_H,"FFG",JB_CE,"Internal Communication (IC) Voice",JB_R,"",JB_N,"")</f>
        <v/>
      </c>
      <c r="D140" s="31">
        <f>IFERROR(C140/C$145,0)</f>
        <v/>
      </c>
    </row>
    <row r="141" ht="10" customHeight="1">
      <c r="A141" s="24" t="inlineStr">
        <is>
          <t>Interior Wireless Communication System (IWCS)</t>
        </is>
      </c>
      <c r="B141" s="20" t="inlineStr">
        <is>
          <t>Hull, Mechanical, and Electrical</t>
        </is>
      </c>
      <c r="C141" s="43">
        <f>SUMIFS(JB_R,JB_S,"[ALT_VIEW]",JB_B,1,JB_EX,"P-8a",JB_CC,"Hull, Mechanical, and Electrical",JB_H,"FFG",JB_CE,"Interior Wireless Communication System (IWCS)",JB_R,"&lt;&gt;")+SUMIFS(JB_N,JB_S,"[ALT_VIEW]",JB_B,1,JB_EX,"P-8a",JB_CC,"Hull, Mechanical, and Electrical",JB_H,"FFG",JB_CE,"Interior Wireless Communication System (IWCS)",JB_R,"",JB_N,"&lt;&gt;")+SUMIFS(JB_L,JB_S,"[ALT_VIEW]",JB_B,1,JB_EX,"P-8a",JB_CC,"Hull, Mechanical, and Electrical",JB_H,"FFG",JB_CE,"Interior Wireless Communication System (IWCS)",JB_R,"",JB_N,"")</f>
        <v/>
      </c>
      <c r="D141" s="31">
        <f>IFERROR(C141/C$145,0)</f>
        <v/>
      </c>
    </row>
    <row r="142" ht="10" customHeight="1">
      <c r="A142" s="24" t="inlineStr">
        <is>
          <t>Unclassified Video System (UVS)</t>
        </is>
      </c>
      <c r="B142" s="20" t="inlineStr">
        <is>
          <t>Hull, Mechanical, and Electrical</t>
        </is>
      </c>
      <c r="C142" s="43">
        <f>SUMIFS(JB_R,JB_S,"[ALT_VIEW]",JB_B,1,JB_EX,"P-8a",JB_CC,"Hull, Mechanical, and Electrical",JB_H,"FFG",JB_CE,"Unclassified Video System (UVS)",JB_R,"&lt;&gt;")+SUMIFS(JB_N,JB_S,"[ALT_VIEW]",JB_B,1,JB_EX,"P-8a",JB_CC,"Hull, Mechanical, and Electrical",JB_H,"FFG",JB_CE,"Unclassified Video System (UVS)",JB_R,"",JB_N,"&lt;&gt;")+SUMIFS(JB_L,JB_S,"[ALT_VIEW]",JB_B,1,JB_EX,"P-8a",JB_CC,"Hull, Mechanical, and Electrical",JB_H,"FFG",JB_CE,"Unclassified Video System (UVS)",JB_R,"",JB_N,"")</f>
        <v/>
      </c>
      <c r="D142" s="31">
        <f>IFERROR(C142/C$145,0)</f>
        <v/>
      </c>
    </row>
    <row r="143" ht="10" customHeight="1">
      <c r="A143" s="24" t="inlineStr">
        <is>
          <t>Ship Control System-Government (SCS GOV)</t>
        </is>
      </c>
      <c r="B143" s="20" t="inlineStr">
        <is>
          <t>Hull, Mechanical, and Electrical</t>
        </is>
      </c>
      <c r="C143" s="43">
        <f>SUMIFS(JB_R,JB_S,"[ALT_VIEW]",JB_B,1,JB_EX,"P-8a",JB_CC,"Hull, Mechanical, and Electrical",JB_H,"FFG",JB_CE,"Ship Control System-Government (SCS GOV)",JB_R,"&lt;&gt;")+SUMIFS(JB_N,JB_S,"[ALT_VIEW]",JB_B,1,JB_EX,"P-8a",JB_CC,"Hull, Mechanical, and Electrical",JB_H,"FFG",JB_CE,"Ship Control System-Government (SCS GOV)",JB_R,"",JB_N,"&lt;&gt;")+SUMIFS(JB_L,JB_S,"[ALT_VIEW]",JB_B,1,JB_EX,"P-8a",JB_CC,"Hull, Mechanical, and Electrical",JB_H,"FFG",JB_CE,"Ship Control System-Government (SCS GOV)",JB_R,"",JB_N,"")</f>
        <v/>
      </c>
      <c r="D143" s="31">
        <f>IFERROR(C143/C$145,0)</f>
        <v/>
      </c>
    </row>
    <row r="144" ht="10" customHeight="1">
      <c r="A144" s="24" t="inlineStr">
        <is>
          <t>Advanced Flight Deck Lighting System (AFDLS)</t>
        </is>
      </c>
      <c r="B144" s="20" t="inlineStr">
        <is>
          <t>Hull, Mechanical, and Electrical</t>
        </is>
      </c>
      <c r="C144" s="43">
        <f>SUMIFS(JB_R,JB_S,"[ALT_VIEW]",JB_B,1,JB_EX,"P-8a",JB_CC,"Hull, Mechanical, and Electrical",JB_H,"FFG",JB_CE,"Advanced Flight Deck Lighting System (AFDLS)",JB_R,"&lt;&gt;")+SUMIFS(JB_N,JB_S,"[ALT_VIEW]",JB_B,1,JB_EX,"P-8a",JB_CC,"Hull, Mechanical, and Electrical",JB_H,"FFG",JB_CE,"Advanced Flight Deck Lighting System (AFDLS)",JB_R,"",JB_N,"&lt;&gt;")+SUMIFS(JB_L,JB_S,"[ALT_VIEW]",JB_B,1,JB_EX,"P-8a",JB_CC,"Hull, Mechanical, and Electrical",JB_H,"FFG",JB_CE,"Advanced Flight Deck Lighting System (AFDLS)",JB_R,"",JB_N,"")</f>
        <v/>
      </c>
      <c r="D144" s="31">
        <f>IFERROR(C144/C$145,0)</f>
        <v/>
      </c>
    </row>
    <row r="145" ht="10" customHeight="1">
      <c r="A145" s="26" t="inlineStr">
        <is>
          <t>FFG Total</t>
        </is>
      </c>
      <c r="B145" s="28" t="n"/>
      <c r="C145" s="27">
        <f>SUM(C127:C144)</f>
        <v/>
      </c>
      <c r="D145" s="32" t="n">
        <v>1</v>
      </c>
    </row>
    <row r="146" ht="10" customHeight="1"/>
    <row r="147" ht="10" customHeight="1">
      <c r="A147" s="40" t="inlineStr">
        <is>
          <t>LPD (Amphibious Warfare Ships)</t>
        </is>
      </c>
      <c r="B147" s="33" t="n"/>
      <c r="C147" s="33" t="n"/>
      <c r="D147" s="33" t="n"/>
    </row>
    <row r="148" ht="10" customHeight="1">
      <c r="A148" s="23" t="inlineStr">
        <is>
          <t>System</t>
        </is>
      </c>
      <c r="B148" s="23" t="inlineStr">
        <is>
          <t>Cost Category</t>
        </is>
      </c>
      <c r="C148" s="23" t="inlineStr">
        <is>
          <t>FY2026 ($K)</t>
        </is>
      </c>
      <c r="D148" s="23" t="inlineStr">
        <is>
          <t>% of Hull</t>
        </is>
      </c>
    </row>
    <row r="149" ht="10" customHeight="1">
      <c r="A149" s="24" t="inlineStr">
        <is>
          <t>C4ISR</t>
        </is>
      </c>
      <c r="B149" s="20" t="inlineStr">
        <is>
          <t>Electronics</t>
        </is>
      </c>
      <c r="C149" s="43">
        <f>SUMIFS(JB_R,JB_S,"[ALT_VIEW]",JB_B,1,JB_EX,"P-8a",JB_CC,"Electronics",JB_H,"LPD",JB_CE,"C4ISR",JB_R,"&lt;&gt;")+SUMIFS(JB_N,JB_S,"[ALT_VIEW]",JB_B,1,JB_EX,"P-8a",JB_CC,"Electronics",JB_H,"LPD",JB_CE,"C4ISR",JB_R,"",JB_N,"&lt;&gt;")+SUMIFS(JB_L,JB_S,"[ALT_VIEW]",JB_B,1,JB_EX,"P-8a",JB_CC,"Electronics",JB_H,"LPD",JB_CE,"C4ISR",JB_R,"",JB_N,"")</f>
        <v/>
      </c>
      <c r="D149" s="31">
        <f>IFERROR(C149/C$182,0)</f>
        <v/>
      </c>
    </row>
    <row r="150" ht="10" customHeight="1">
      <c r="A150" s="24" t="inlineStr">
        <is>
          <t>Mission Systems</t>
        </is>
      </c>
      <c r="B150" s="20" t="inlineStr">
        <is>
          <t>Electronics</t>
        </is>
      </c>
      <c r="C150" s="43">
        <f>SUMIFS(JB_R,JB_S,"[ALT_VIEW]",JB_B,1,JB_EX,"P-8a",JB_CC,"Electronics",JB_H,"LPD",JB_CE,"Mission Systems",JB_R,"&lt;&gt;")+SUMIFS(JB_N,JB_S,"[ALT_VIEW]",JB_B,1,JB_EX,"P-8a",JB_CC,"Electronics",JB_H,"LPD",JB_CE,"Mission Systems",JB_R,"",JB_N,"&lt;&gt;")+SUMIFS(JB_L,JB_S,"[ALT_VIEW]",JB_B,1,JB_EX,"P-8a",JB_CC,"Electronics",JB_H,"LPD",JB_CE,"Mission Systems",JB_R,"",JB_N,"")</f>
        <v/>
      </c>
      <c r="D150" s="31">
        <f>IFERROR(C150/C$182,0)</f>
        <v/>
      </c>
    </row>
    <row r="151" ht="10" customHeight="1">
      <c r="A151" s="24" t="inlineStr">
        <is>
          <t>Miscellaneous Electronics</t>
        </is>
      </c>
      <c r="B151" s="20" t="inlineStr">
        <is>
          <t>Electronics</t>
        </is>
      </c>
      <c r="C151" s="43">
        <f>SUMIFS(JB_R,JB_S,"[ALT_VIEW]",JB_B,1,JB_EX,"P-8a",JB_CC,"Electronics",JB_H,"LPD",JB_CE,"Miscellaneous Electronics",JB_R,"&lt;&gt;")+SUMIFS(JB_N,JB_S,"[ALT_VIEW]",JB_B,1,JB_EX,"P-8a",JB_CC,"Electronics",JB_H,"LPD",JB_CE,"Miscellaneous Electronics",JB_R,"",JB_N,"&lt;&gt;")+SUMIFS(JB_L,JB_S,"[ALT_VIEW]",JB_B,1,JB_EX,"P-8a",JB_CC,"Electronics",JB_H,"LPD",JB_CE,"Miscellaneous Electronics",JB_R,"",JB_N,"")</f>
        <v/>
      </c>
      <c r="D151" s="31">
        <f>IFERROR(C151/C$182,0)</f>
        <v/>
      </c>
    </row>
    <row r="152" ht="10" customHeight="1">
      <c r="A152" s="24" t="inlineStr">
        <is>
          <t>Ship Self Defense System (SSDS)</t>
        </is>
      </c>
      <c r="B152" s="20" t="inlineStr">
        <is>
          <t>Electronics</t>
        </is>
      </c>
      <c r="C152" s="43">
        <f>SUMIFS(JB_R,JB_S,"[ALT_VIEW]",JB_B,1,JB_EX,"P-8a",JB_CC,"Electronics",JB_H,"LPD",JB_CE,"Ship Self Defense System (SSDS)",JB_R,"&lt;&gt;")+SUMIFS(JB_N,JB_S,"[ALT_VIEW]",JB_B,1,JB_EX,"P-8a",JB_CC,"Electronics",JB_H,"LPD",JB_CE,"Ship Self Defense System (SSDS)",JB_R,"",JB_N,"&lt;&gt;")+SUMIFS(JB_L,JB_S,"[ALT_VIEW]",JB_B,1,JB_EX,"P-8a",JB_CC,"Electronics",JB_H,"LPD",JB_CE,"Ship Self Defense System (SSDS)",JB_R,"",JB_N,"")</f>
        <v/>
      </c>
      <c r="D152" s="31">
        <f>IFERROR(C152/C$182,0)</f>
        <v/>
      </c>
    </row>
    <row r="153" ht="10" customHeight="1">
      <c r="A153" s="24" t="inlineStr">
        <is>
          <t>AN/SLQ-32(V)6 Surface Electronic Warfare Improvement Program (SEWIP)</t>
        </is>
      </c>
      <c r="B153" s="20" t="inlineStr">
        <is>
          <t>Electronics</t>
        </is>
      </c>
      <c r="C153" s="43">
        <f>SUMIFS(JB_R,JB_S,"[ALT_VIEW]",JB_B,1,JB_EX,"P-8a",JB_CC,"Electronics",JB_H,"LPD",JB_CE,"AN/SLQ-32(V)6 Surface Electronic Warfare Improvement Program (SEWIP)",JB_R,"&lt;&gt;")+SUMIFS(JB_N,JB_S,"[ALT_VIEW]",JB_B,1,JB_EX,"P-8a",JB_CC,"Electronics",JB_H,"LPD",JB_CE,"AN/SLQ-32(V)6 Surface Electronic Warfare Improvement Program (SEWIP)",JB_R,"",JB_N,"&lt;&gt;")+SUMIFS(JB_L,JB_S,"[ALT_VIEW]",JB_B,1,JB_EX,"P-8a",JB_CC,"Electronics",JB_H,"LPD",JB_CE,"AN/SLQ-32(V)6 Surface Electronic Warfare Improvement Program (SEWIP)",JB_R,"",JB_N,"")</f>
        <v/>
      </c>
      <c r="D153" s="31">
        <f>IFERROR(C153/C$182,0)</f>
        <v/>
      </c>
    </row>
    <row r="154" ht="10" customHeight="1">
      <c r="A154" s="24" t="inlineStr">
        <is>
          <t>Cooperative Engagement Capability (CEC)</t>
        </is>
      </c>
      <c r="B154" s="20" t="inlineStr">
        <is>
          <t>Electronics</t>
        </is>
      </c>
      <c r="C154" s="43">
        <f>SUMIFS(JB_R,JB_S,"[ALT_VIEW]",JB_B,1,JB_EX,"P-8a",JB_CC,"Electronics",JB_H,"LPD",JB_CE,"Cooperative Engagement Capability (CEC)",JB_R,"&lt;&gt;")+SUMIFS(JB_N,JB_S,"[ALT_VIEW]",JB_B,1,JB_EX,"P-8a",JB_CC,"Electronics",JB_H,"LPD",JB_CE,"Cooperative Engagement Capability (CEC)",JB_R,"",JB_N,"&lt;&gt;")+SUMIFS(JB_L,JB_S,"[ALT_VIEW]",JB_B,1,JB_EX,"P-8a",JB_CC,"Electronics",JB_H,"LPD",JB_CE,"Cooperative Engagement Capability (CEC)",JB_R,"",JB_N,"")</f>
        <v/>
      </c>
      <c r="D154" s="31">
        <f>IFERROR(C154/C$182,0)</f>
        <v/>
      </c>
    </row>
    <row r="155" ht="10" customHeight="1">
      <c r="A155" s="24" t="inlineStr">
        <is>
          <t>Interrogator System IFF (Identification Friend or Foe)</t>
        </is>
      </c>
      <c r="B155" s="20" t="inlineStr">
        <is>
          <t>Electronics</t>
        </is>
      </c>
      <c r="C155" s="43">
        <f>SUMIFS(JB_R,JB_S,"[ALT_VIEW]",JB_B,1,JB_EX,"P-8a",JB_CC,"Electronics",JB_H,"LPD",JB_CE,"Interrogator System IFF (Identification Friend or Foe)",JB_R,"&lt;&gt;")+SUMIFS(JB_N,JB_S,"[ALT_VIEW]",JB_B,1,JB_EX,"P-8a",JB_CC,"Electronics",JB_H,"LPD",JB_CE,"Interrogator System IFF (Identification Friend or Foe)",JB_R,"",JB_N,"&lt;&gt;")+SUMIFS(JB_L,JB_S,"[ALT_VIEW]",JB_B,1,JB_EX,"P-8a",JB_CC,"Electronics",JB_H,"LPD",JB_CE,"Interrogator System IFF (Identification Friend or Foe)",JB_R,"",JB_N,"")</f>
        <v/>
      </c>
      <c r="D155" s="31">
        <f>IFERROR(C155/C$182,0)</f>
        <v/>
      </c>
    </row>
    <row r="156" ht="10" customHeight="1">
      <c r="A156" s="24" t="inlineStr">
        <is>
          <t>IWS CSI</t>
        </is>
      </c>
      <c r="B156" s="20" t="inlineStr">
        <is>
          <t>Electronics</t>
        </is>
      </c>
      <c r="C156" s="43">
        <f>SUMIFS(JB_R,JB_S,"[ALT_VIEW]",JB_B,1,JB_EX,"P-8a",JB_CC,"Electronics",JB_H,"LPD",JB_CE,"IWS CSI",JB_R,"&lt;&gt;")+SUMIFS(JB_N,JB_S,"[ALT_VIEW]",JB_B,1,JB_EX,"P-8a",JB_CC,"Electronics",JB_H,"LPD",JB_CE,"IWS CSI",JB_R,"",JB_N,"&lt;&gt;")+SUMIFS(JB_L,JB_S,"[ALT_VIEW]",JB_B,1,JB_EX,"P-8a",JB_CC,"Electronics",JB_H,"LPD",JB_CE,"IWS CSI",JB_R,"",JB_N,"")</f>
        <v/>
      </c>
      <c r="D156" s="31">
        <f>IFERROR(C156/C$182,0)</f>
        <v/>
      </c>
    </row>
    <row r="157" ht="10" customHeight="1">
      <c r="A157" s="24" t="inlineStr">
        <is>
          <t>AN/WSN-7(RLGN)</t>
        </is>
      </c>
      <c r="B157" s="20" t="inlineStr">
        <is>
          <t>Electronics</t>
        </is>
      </c>
      <c r="C157" s="43">
        <f>SUMIFS(JB_R,JB_S,"[ALT_VIEW]",JB_B,1,JB_EX,"P-8a",JB_CC,"Electronics",JB_H,"LPD",JB_CE,"AN/WSN-7(RLGN)",JB_R,"&lt;&gt;")+SUMIFS(JB_N,JB_S,"[ALT_VIEW]",JB_B,1,JB_EX,"P-8a",JB_CC,"Electronics",JB_H,"LPD",JB_CE,"AN/WSN-7(RLGN)",JB_R,"",JB_N,"&lt;&gt;")+SUMIFS(JB_L,JB_S,"[ALT_VIEW]",JB_B,1,JB_EX,"P-8a",JB_CC,"Electronics",JB_H,"LPD",JB_CE,"AN/WSN-7(RLGN)",JB_R,"",JB_N,"")</f>
        <v/>
      </c>
      <c r="D157" s="31">
        <f>IFERROR(C157/C$182,0)</f>
        <v/>
      </c>
    </row>
    <row r="158" ht="10" customHeight="1">
      <c r="A158" s="24" t="inlineStr">
        <is>
          <t>HM&amp;E Condition System (HMECS)</t>
        </is>
      </c>
      <c r="B158" s="20" t="inlineStr">
        <is>
          <t>Electronics</t>
        </is>
      </c>
      <c r="C158" s="43">
        <f>SUMIFS(JB_R,JB_S,"[ALT_VIEW]",JB_B,1,JB_EX,"P-8a",JB_CC,"Electronics",JB_H,"LPD",JB_CE,"HM&amp;E Condition System (HMECS)",JB_R,"&lt;&gt;")+SUMIFS(JB_N,JB_S,"[ALT_VIEW]",JB_B,1,JB_EX,"P-8a",JB_CC,"Electronics",JB_H,"LPD",JB_CE,"HM&amp;E Condition System (HMECS)",JB_R,"",JB_N,"&lt;&gt;")+SUMIFS(JB_L,JB_S,"[ALT_VIEW]",JB_B,1,JB_EX,"P-8a",JB_CC,"Electronics",JB_H,"LPD",JB_CE,"HM&amp;E Condition System (HMECS)",JB_R,"",JB_N,"")</f>
        <v/>
      </c>
      <c r="D158" s="31">
        <f>IFERROR(C158/C$182,0)</f>
        <v/>
      </c>
    </row>
    <row r="159" ht="10" customHeight="1">
      <c r="A159" s="24" t="inlineStr">
        <is>
          <t>Electronic Charting Display and Information Systems-Navy (ECDIS-N)</t>
        </is>
      </c>
      <c r="B159" s="20" t="inlineStr">
        <is>
          <t>Electronics</t>
        </is>
      </c>
      <c r="C159" s="43">
        <f>SUMIFS(JB_R,JB_S,"[ALT_VIEW]",JB_B,1,JB_EX,"P-8a",JB_CC,"Electronics",JB_H,"LPD",JB_CE,"Electronic Charting Display and Information Systems-Navy (ECDIS-N)",JB_R,"&lt;&gt;")+SUMIFS(JB_N,JB_S,"[ALT_VIEW]",JB_B,1,JB_EX,"P-8a",JB_CC,"Electronics",JB_H,"LPD",JB_CE,"Electronic Charting Display and Information Systems-Navy (ECDIS-N)",JB_R,"",JB_N,"&lt;&gt;")+SUMIFS(JB_L,JB_S,"[ALT_VIEW]",JB_B,1,JB_EX,"P-8a",JB_CC,"Electronics",JB_H,"LPD",JB_CE,"Electronic Charting Display and Information Systems-Navy (ECDIS-N)",JB_R,"",JB_N,"")</f>
        <v/>
      </c>
      <c r="D159" s="31">
        <f>IFERROR(C159/C$182,0)</f>
        <v/>
      </c>
    </row>
    <row r="160" ht="10" customHeight="1">
      <c r="A160" s="24" t="inlineStr">
        <is>
          <t>Nulka Decoy Launching System (DLS)</t>
        </is>
      </c>
      <c r="B160" s="20" t="inlineStr">
        <is>
          <t>Electronics</t>
        </is>
      </c>
      <c r="C160" s="43">
        <f>SUMIFS(JB_R,JB_S,"[ALT_VIEW]",JB_B,1,JB_EX,"P-8a",JB_CC,"Electronics",JB_H,"LPD",JB_CE,"Nulka Decoy Launching System (DLS)",JB_R,"&lt;&gt;")+SUMIFS(JB_N,JB_S,"[ALT_VIEW]",JB_B,1,JB_EX,"P-8a",JB_CC,"Electronics",JB_H,"LPD",JB_CE,"Nulka Decoy Launching System (DLS)",JB_R,"",JB_N,"&lt;&gt;")+SUMIFS(JB_L,JB_S,"[ALT_VIEW]",JB_B,1,JB_EX,"P-8a",JB_CC,"Electronics",JB_H,"LPD",JB_CE,"Nulka Decoy Launching System (DLS)",JB_R,"",JB_N,"")</f>
        <v/>
      </c>
      <c r="D160" s="31">
        <f>IFERROR(C160/C$182,0)</f>
        <v/>
      </c>
    </row>
    <row r="161" ht="10" customHeight="1">
      <c r="A161" s="24" t="inlineStr">
        <is>
          <t>Advanced Training Domain (ATD)</t>
        </is>
      </c>
      <c r="B161" s="20" t="inlineStr">
        <is>
          <t>Electronics</t>
        </is>
      </c>
      <c r="C161" s="43">
        <f>SUMIFS(JB_R,JB_S,"[ALT_VIEW]",JB_B,1,JB_EX,"P-8a",JB_CC,"Electronics",JB_H,"LPD",JB_CE,"Advanced Training Domain (ATD)",JB_R,"&lt;&gt;")+SUMIFS(JB_N,JB_S,"[ALT_VIEW]",JB_B,1,JB_EX,"P-8a",JB_CC,"Electronics",JB_H,"LPD",JB_CE,"Advanced Training Domain (ATD)",JB_R,"",JB_N,"&lt;&gt;")+SUMIFS(JB_L,JB_S,"[ALT_VIEW]",JB_B,1,JB_EX,"P-8a",JB_CC,"Electronics",JB_H,"LPD",JB_CE,"Advanced Training Domain (ATD)",JB_R,"",JB_N,"")</f>
        <v/>
      </c>
      <c r="D161" s="31">
        <f>IFERROR(C161/C$182,0)</f>
        <v/>
      </c>
    </row>
    <row r="162" ht="10" customHeight="1">
      <c r="A162" s="24" t="inlineStr">
        <is>
          <t>Amphibious Assault Direction System (AADS)</t>
        </is>
      </c>
      <c r="B162" s="20" t="inlineStr">
        <is>
          <t>Electronics</t>
        </is>
      </c>
      <c r="C162" s="43">
        <f>SUMIFS(JB_R,JB_S,"[ALT_VIEW]",JB_B,1,JB_EX,"P-8a",JB_CC,"Electronics",JB_H,"LPD",JB_CE,"Amphibious Assault Direction System (AADS)",JB_R,"&lt;&gt;")+SUMIFS(JB_N,JB_S,"[ALT_VIEW]",JB_B,1,JB_EX,"P-8a",JB_CC,"Electronics",JB_H,"LPD",JB_CE,"Amphibious Assault Direction System (AADS)",JB_R,"",JB_N,"&lt;&gt;")+SUMIFS(JB_L,JB_S,"[ALT_VIEW]",JB_B,1,JB_EX,"P-8a",JB_CC,"Electronics",JB_H,"LPD",JB_CE,"Amphibious Assault Direction System (AADS)",JB_R,"",JB_N,"")</f>
        <v/>
      </c>
      <c r="D162" s="31">
        <f>IFERROR(C162/C$182,0)</f>
        <v/>
      </c>
    </row>
    <row r="163" ht="10" customHeight="1">
      <c r="A163" s="24" t="inlineStr">
        <is>
          <t>DHYSL</t>
        </is>
      </c>
      <c r="B163" s="20" t="inlineStr">
        <is>
          <t>Electronics</t>
        </is>
      </c>
      <c r="C163" s="43">
        <f>SUMIFS(JB_R,JB_S,"[ALT_VIEW]",JB_B,1,JB_EX,"P-8a",JB_CC,"Electronics",JB_H,"LPD",JB_CE,"DHYSL",JB_R,"&lt;&gt;")+SUMIFS(JB_N,JB_S,"[ALT_VIEW]",JB_B,1,JB_EX,"P-8a",JB_CC,"Electronics",JB_H,"LPD",JB_CE,"DHYSL",JB_R,"",JB_N,"&lt;&gt;")+SUMIFS(JB_L,JB_S,"[ALT_VIEW]",JB_B,1,JB_EX,"P-8a",JB_CC,"Electronics",JB_H,"LPD",JB_CE,"DHYSL",JB_R,"",JB_N,"")</f>
        <v/>
      </c>
      <c r="D163" s="31">
        <f>IFERROR(C163/C$182,0)</f>
        <v/>
      </c>
    </row>
    <row r="164" ht="10" customHeight="1">
      <c r="A164" s="24" t="inlineStr">
        <is>
          <t>AN/UQN-10</t>
        </is>
      </c>
      <c r="B164" s="20" t="inlineStr">
        <is>
          <t>Electronics</t>
        </is>
      </c>
      <c r="C164" s="43">
        <f>SUMIFS(JB_R,JB_S,"[ALT_VIEW]",JB_B,1,JB_EX,"P-8a",JB_CC,"Electronics",JB_H,"LPD",JB_CE,"AN/UQN-10",JB_R,"&lt;&gt;")+SUMIFS(JB_N,JB_S,"[ALT_VIEW]",JB_B,1,JB_EX,"P-8a",JB_CC,"Electronics",JB_H,"LPD",JB_CE,"AN/UQN-10",JB_R,"",JB_N,"&lt;&gt;")+SUMIFS(JB_L,JB_S,"[ALT_VIEW]",JB_B,1,JB_EX,"P-8a",JB_CC,"Electronics",JB_H,"LPD",JB_CE,"AN/UQN-10",JB_R,"",JB_N,"")</f>
        <v/>
      </c>
      <c r="D164" s="31">
        <f>IFERROR(C164/C$182,0)</f>
        <v/>
      </c>
    </row>
    <row r="165" ht="10" customHeight="1">
      <c r="A165" s="24" t="inlineStr">
        <is>
          <t>RADIAC</t>
        </is>
      </c>
      <c r="B165" s="20" t="inlineStr">
        <is>
          <t>Electronics</t>
        </is>
      </c>
      <c r="C165" s="43">
        <f>SUMIFS(JB_R,JB_S,"[ALT_VIEW]",JB_B,1,JB_EX,"P-8a",JB_CC,"Electronics",JB_H,"LPD",JB_CE,"RADIAC",JB_R,"&lt;&gt;")+SUMIFS(JB_N,JB_S,"[ALT_VIEW]",JB_B,1,JB_EX,"P-8a",JB_CC,"Electronics",JB_H,"LPD",JB_CE,"RADIAC",JB_R,"",JB_N,"&lt;&gt;")+SUMIFS(JB_L,JB_S,"[ALT_VIEW]",JB_B,1,JB_EX,"P-8a",JB_CC,"Electronics",JB_H,"LPD",JB_CE,"RADIAC",JB_R,"",JB_N,"")</f>
        <v/>
      </c>
      <c r="D165" s="31">
        <f>IFERROR(C165/C$182,0)</f>
        <v/>
      </c>
    </row>
    <row r="166" ht="10" customHeight="1">
      <c r="A166" s="24" t="inlineStr">
        <is>
          <t>EASR</t>
        </is>
      </c>
      <c r="B166" s="20" t="inlineStr">
        <is>
          <t>Ordnance</t>
        </is>
      </c>
      <c r="C166" s="43">
        <f>SUMIFS(JB_R,JB_S,"[ALT_VIEW]",JB_B,1,JB_EX,"P-8a",JB_CC,"Ordnance",JB_H,"LPD",JB_CE,"EASR",JB_R,"&lt;&gt;")+SUMIFS(JB_N,JB_S,"[ALT_VIEW]",JB_B,1,JB_EX,"P-8a",JB_CC,"Ordnance",JB_H,"LPD",JB_CE,"EASR",JB_R,"",JB_N,"&lt;&gt;")+SUMIFS(JB_L,JB_S,"[ALT_VIEW]",JB_B,1,JB_EX,"P-8a",JB_CC,"Ordnance",JB_H,"LPD",JB_CE,"EASR",JB_R,"",JB_N,"")</f>
        <v/>
      </c>
      <c r="D166" s="31">
        <f>IFERROR(C166/C$182,0)</f>
        <v/>
      </c>
    </row>
    <row r="167" ht="10" customHeight="1">
      <c r="A167" s="24" t="inlineStr">
        <is>
          <t>RAM BLOCK II</t>
        </is>
      </c>
      <c r="B167" s="20" t="inlineStr">
        <is>
          <t>Ordnance</t>
        </is>
      </c>
      <c r="C167" s="43">
        <f>SUMIFS(JB_R,JB_S,"[ALT_VIEW]",JB_B,1,JB_EX,"P-8a",JB_CC,"Ordnance",JB_H,"LPD",JB_CE,"RAM BLOCK II",JB_R,"&lt;&gt;")+SUMIFS(JB_N,JB_S,"[ALT_VIEW]",JB_B,1,JB_EX,"P-8a",JB_CC,"Ordnance",JB_H,"LPD",JB_CE,"RAM BLOCK II",JB_R,"",JB_N,"&lt;&gt;")+SUMIFS(JB_L,JB_S,"[ALT_VIEW]",JB_B,1,JB_EX,"P-8a",JB_CC,"Ordnance",JB_H,"LPD",JB_CE,"RAM BLOCK II",JB_R,"",JB_N,"")</f>
        <v/>
      </c>
      <c r="D167" s="31">
        <f>IFERROR(C167/C$182,0)</f>
        <v/>
      </c>
    </row>
    <row r="168" ht="10" customHeight="1">
      <c r="A168" s="24" t="inlineStr">
        <is>
          <t>MISCELLANEOUS ORDNANCE</t>
        </is>
      </c>
      <c r="B168" s="20" t="inlineStr">
        <is>
          <t>Ordnance</t>
        </is>
      </c>
      <c r="C168" s="43">
        <f>SUMIFS(JB_R,JB_S,"[ALT_VIEW]",JB_B,1,JB_EX,"P-8a",JB_CC,"Ordnance",JB_H,"LPD",JB_CE,"MISCELLANEOUS ORDNANCE",JB_R,"&lt;&gt;")+SUMIFS(JB_N,JB_S,"[ALT_VIEW]",JB_B,1,JB_EX,"P-8a",JB_CC,"Ordnance",JB_H,"LPD",JB_CE,"MISCELLANEOUS ORDNANCE",JB_R,"",JB_N,"&lt;&gt;")+SUMIFS(JB_L,JB_S,"[ALT_VIEW]",JB_B,1,JB_EX,"P-8a",JB_CC,"Ordnance",JB_H,"LPD",JB_CE,"MISCELLANEOUS ORDNANCE",JB_R,"",JB_N,"")</f>
        <v/>
      </c>
      <c r="D168" s="31">
        <f>IFERROR(C168/C$182,0)</f>
        <v/>
      </c>
    </row>
    <row r="169" ht="10" customHeight="1">
      <c r="A169" s="24" t="inlineStr">
        <is>
          <t>MK 46 GUN</t>
        </is>
      </c>
      <c r="B169" s="20" t="inlineStr">
        <is>
          <t>Ordnance</t>
        </is>
      </c>
      <c r="C169" s="43">
        <f>SUMIFS(JB_R,JB_S,"[ALT_VIEW]",JB_B,1,JB_EX,"P-8a",JB_CC,"Ordnance",JB_H,"LPD",JB_CE,"MK 46 GUN",JB_R,"&lt;&gt;")+SUMIFS(JB_N,JB_S,"[ALT_VIEW]",JB_B,1,JB_EX,"P-8a",JB_CC,"Ordnance",JB_H,"LPD",JB_CE,"MK 46 GUN",JB_R,"",JB_N,"&lt;&gt;")+SUMIFS(JB_L,JB_S,"[ALT_VIEW]",JB_B,1,JB_EX,"P-8a",JB_CC,"Ordnance",JB_H,"LPD",JB_CE,"MK 46 GUN",JB_R,"",JB_N,"")</f>
        <v/>
      </c>
      <c r="D169" s="31">
        <f>IFERROR(C169/C$182,0)</f>
        <v/>
      </c>
    </row>
    <row r="170" ht="10" customHeight="1">
      <c r="A170" s="24" t="inlineStr">
        <is>
          <t>AN/SPQ-9B Radar Set</t>
        </is>
      </c>
      <c r="B170" s="20" t="inlineStr">
        <is>
          <t>Ordnance</t>
        </is>
      </c>
      <c r="C170" s="43">
        <f>SUMIFS(JB_R,JB_S,"[ALT_VIEW]",JB_B,1,JB_EX,"P-8a",JB_CC,"Ordnance",JB_H,"LPD",JB_CE,"AN/SPQ-9B Radar Set",JB_R,"&lt;&gt;")+SUMIFS(JB_N,JB_S,"[ALT_VIEW]",JB_B,1,JB_EX,"P-8a",JB_CC,"Ordnance",JB_H,"LPD",JB_CE,"AN/SPQ-9B Radar Set",JB_R,"",JB_N,"&lt;&gt;")+SUMIFS(JB_L,JB_S,"[ALT_VIEW]",JB_B,1,JB_EX,"P-8a",JB_CC,"Ordnance",JB_H,"LPD",JB_CE,"AN/SPQ-9B Radar Set",JB_R,"",JB_N,"")</f>
        <v/>
      </c>
      <c r="D170" s="31">
        <f>IFERROR(C170/C$182,0)</f>
        <v/>
      </c>
    </row>
    <row r="171" ht="10" customHeight="1">
      <c r="A171" s="24" t="inlineStr">
        <is>
          <t>ASGSI/HOSS/MWS Fit Control &amp; Inst Land Sys</t>
        </is>
      </c>
      <c r="B171" s="20" t="inlineStr">
        <is>
          <t>Ordnance</t>
        </is>
      </c>
      <c r="C171" s="43">
        <f>SUMIFS(JB_R,JB_S,"[ALT_VIEW]",JB_B,1,JB_EX,"P-8a",JB_CC,"Ordnance",JB_H,"LPD",JB_CE,"ASGSI/HOSS/MWS Fit Control &amp; Inst Land Sys",JB_R,"&lt;&gt;")+SUMIFS(JB_N,JB_S,"[ALT_VIEW]",JB_B,1,JB_EX,"P-8a",JB_CC,"Ordnance",JB_H,"LPD",JB_CE,"ASGSI/HOSS/MWS Fit Control &amp; Inst Land Sys",JB_R,"",JB_N,"&lt;&gt;")+SUMIFS(JB_L,JB_S,"[ALT_VIEW]",JB_B,1,JB_EX,"P-8a",JB_CC,"Ordnance",JB_H,"LPD",JB_CE,"ASGSI/HOSS/MWS Fit Control &amp; Inst Land Sys",JB_R,"",JB_N,"")</f>
        <v/>
      </c>
      <c r="D171" s="31">
        <f>IFERROR(C171/C$182,0)</f>
        <v/>
      </c>
    </row>
    <row r="172" ht="10" customHeight="1">
      <c r="A172" s="24" t="inlineStr">
        <is>
          <t>Next Generation Surface Search Radar (NGSSR)</t>
        </is>
      </c>
      <c r="B172" s="20" t="inlineStr">
        <is>
          <t>Ordnance</t>
        </is>
      </c>
      <c r="C172" s="43">
        <f>SUMIFS(JB_R,JB_S,"[ALT_VIEW]",JB_B,1,JB_EX,"P-8a",JB_CC,"Ordnance",JB_H,"LPD",JB_CE,"Next Generation Surface Search Radar (NGSSR)",JB_R,"&lt;&gt;")+SUMIFS(JB_N,JB_S,"[ALT_VIEW]",JB_B,1,JB_EX,"P-8a",JB_CC,"Ordnance",JB_H,"LPD",JB_CE,"Next Generation Surface Search Radar (NGSSR)",JB_R,"",JB_N,"&lt;&gt;")+SUMIFS(JB_L,JB_S,"[ALT_VIEW]",JB_B,1,JB_EX,"P-8a",JB_CC,"Ordnance",JB_H,"LPD",JB_CE,"Next Generation Surface Search Radar (NGSSR)",JB_R,"",JB_N,"")</f>
        <v/>
      </c>
      <c r="D172" s="31">
        <f>IFERROR(C172/C$182,0)</f>
        <v/>
      </c>
    </row>
    <row r="173" ht="10" customHeight="1">
      <c r="A173" s="24" t="inlineStr">
        <is>
          <t>ORDNANCE HANDLING EQUIPMENT</t>
        </is>
      </c>
      <c r="B173" s="20" t="inlineStr">
        <is>
          <t>Ordnance</t>
        </is>
      </c>
      <c r="C173" s="43">
        <f>SUMIFS(JB_R,JB_S,"[ALT_VIEW]",JB_B,1,JB_EX,"P-8a",JB_CC,"Ordnance",JB_H,"LPD",JB_CE,"ORDNANCE HANDLING EQUIPMENT",JB_R,"&lt;&gt;")+SUMIFS(JB_N,JB_S,"[ALT_VIEW]",JB_B,1,JB_EX,"P-8a",JB_CC,"Ordnance",JB_H,"LPD",JB_CE,"ORDNANCE HANDLING EQUIPMENT",JB_R,"",JB_N,"&lt;&gt;")+SUMIFS(JB_L,JB_S,"[ALT_VIEW]",JB_B,1,JB_EX,"P-8a",JB_CC,"Ordnance",JB_H,"LPD",JB_CE,"ORDNANCE HANDLING EQUIPMENT",JB_R,"",JB_N,"")</f>
        <v/>
      </c>
      <c r="D173" s="31">
        <f>IFERROR(C173/C$182,0)</f>
        <v/>
      </c>
    </row>
    <row r="174" ht="10" customHeight="1">
      <c r="A174" s="24" t="inlineStr">
        <is>
          <t>Unclassified Video System (UVS)</t>
        </is>
      </c>
      <c r="B174" s="20" t="inlineStr">
        <is>
          <t>Hull, Mechanical, and Electrical</t>
        </is>
      </c>
      <c r="C174" s="43">
        <f>SUMIFS(JB_R,JB_S,"[ALT_VIEW]",JB_B,1,JB_EX,"P-8a",JB_CC,"Hull, Mechanical, and Electrical",JB_H,"LPD",JB_CE,"Unclassified Video System (UVS)",JB_R,"&lt;&gt;")+SUMIFS(JB_N,JB_S,"[ALT_VIEW]",JB_B,1,JB_EX,"P-8a",JB_CC,"Hull, Mechanical, and Electrical",JB_H,"LPD",JB_CE,"Unclassified Video System (UVS)",JB_R,"",JB_N,"&lt;&gt;")+SUMIFS(JB_L,JB_S,"[ALT_VIEW]",JB_B,1,JB_EX,"P-8a",JB_CC,"Hull, Mechanical, and Electrical",JB_H,"LPD",JB_CE,"Unclassified Video System (UVS)",JB_R,"",JB_N,"")</f>
        <v/>
      </c>
      <c r="D174" s="31">
        <f>IFERROR(C174/C$182,0)</f>
        <v/>
      </c>
    </row>
    <row r="175" ht="10" customHeight="1">
      <c r="A175" s="24" t="inlineStr">
        <is>
          <t>Forklift Trucks</t>
        </is>
      </c>
      <c r="B175" s="20" t="inlineStr">
        <is>
          <t>Hull, Mechanical, and Electrical</t>
        </is>
      </c>
      <c r="C175" s="43">
        <f>SUMIFS(JB_R,JB_S,"[ALT_VIEW]",JB_B,1,JB_EX,"P-8a",JB_CC,"Hull, Mechanical, and Electrical",JB_H,"LPD",JB_CE,"Forklift Trucks",JB_R,"&lt;&gt;")+SUMIFS(JB_N,JB_S,"[ALT_VIEW]",JB_B,1,JB_EX,"P-8a",JB_CC,"Hull, Mechanical, and Electrical",JB_H,"LPD",JB_CE,"Forklift Trucks",JB_R,"",JB_N,"&lt;&gt;")+SUMIFS(JB_L,JB_S,"[ALT_VIEW]",JB_B,1,JB_EX,"P-8a",JB_CC,"Hull, Mechanical, and Electrical",JB_H,"LPD",JB_CE,"Forklift Trucks",JB_R,"",JB_N,"")</f>
        <v/>
      </c>
      <c r="D175" s="31">
        <f>IFERROR(C175/C$182,0)</f>
        <v/>
      </c>
    </row>
    <row r="176" ht="10" customHeight="1">
      <c r="A176" s="24" t="inlineStr">
        <is>
          <t>Chemical Warfare Detectors</t>
        </is>
      </c>
      <c r="B176" s="20" t="inlineStr">
        <is>
          <t>Hull, Mechanical, and Electrical</t>
        </is>
      </c>
      <c r="C176" s="43">
        <f>SUMIFS(JB_R,JB_S,"[ALT_VIEW]",JB_B,1,JB_EX,"P-8a",JB_CC,"Hull, Mechanical, and Electrical",JB_H,"LPD",JB_CE,"Chemical Warfare Detectors",JB_R,"&lt;&gt;")+SUMIFS(JB_N,JB_S,"[ALT_VIEW]",JB_B,1,JB_EX,"P-8a",JB_CC,"Hull, Mechanical, and Electrical",JB_H,"LPD",JB_CE,"Chemical Warfare Detectors",JB_R,"",JB_N,"&lt;&gt;")+SUMIFS(JB_L,JB_S,"[ALT_VIEW]",JB_B,1,JB_EX,"P-8a",JB_CC,"Hull, Mechanical, and Electrical",JB_H,"LPD",JB_CE,"Chemical Warfare Detectors",JB_R,"",JB_N,"")</f>
        <v/>
      </c>
      <c r="D176" s="31">
        <f>IFERROR(C176/C$182,0)</f>
        <v/>
      </c>
    </row>
    <row r="177" ht="10" customHeight="1">
      <c r="A177" s="24" t="inlineStr">
        <is>
          <t>Motor Operated Pilot Valve (MOPV)</t>
        </is>
      </c>
      <c r="B177" s="20" t="inlineStr">
        <is>
          <t>Hull, Mechanical, and Electrical</t>
        </is>
      </c>
      <c r="C177" s="43">
        <f>SUMIFS(JB_R,JB_S,"[ALT_VIEW]",JB_B,1,JB_EX,"P-8a",JB_CC,"Hull, Mechanical, and Electrical",JB_H,"LPD",JB_CE,"Motor Operated Pilot Valve (MOPV)",JB_R,"&lt;&gt;")+SUMIFS(JB_N,JB_S,"[ALT_VIEW]",JB_B,1,JB_EX,"P-8a",JB_CC,"Hull, Mechanical, and Electrical",JB_H,"LPD",JB_CE,"Motor Operated Pilot Valve (MOPV)",JB_R,"",JB_N,"&lt;&gt;")+SUMIFS(JB_L,JB_S,"[ALT_VIEW]",JB_B,1,JB_EX,"P-8a",JB_CC,"Hull, Mechanical, and Electrical",JB_H,"LPD",JB_CE,"Motor Operated Pilot Valve (MOPV)",JB_R,"",JB_N,"")</f>
        <v/>
      </c>
      <c r="D177" s="31">
        <f>IFERROR(C177/C$182,0)</f>
        <v/>
      </c>
    </row>
    <row r="178" ht="10" customHeight="1">
      <c r="A178" s="24" t="inlineStr">
        <is>
          <t>Plastic Waste Processing EQP</t>
        </is>
      </c>
      <c r="B178" s="20" t="inlineStr">
        <is>
          <t>Hull, Mechanical, and Electrical</t>
        </is>
      </c>
      <c r="C178" s="43">
        <f>SUMIFS(JB_R,JB_S,"[ALT_VIEW]",JB_B,1,JB_EX,"P-8a",JB_CC,"Hull, Mechanical, and Electrical",JB_H,"LPD",JB_CE,"Plastic Waste Processing EQP",JB_R,"&lt;&gt;")+SUMIFS(JB_N,JB_S,"[ALT_VIEW]",JB_B,1,JB_EX,"P-8a",JB_CC,"Hull, Mechanical, and Electrical",JB_H,"LPD",JB_CE,"Plastic Waste Processing EQP",JB_R,"",JB_N,"&lt;&gt;")+SUMIFS(JB_L,JB_S,"[ALT_VIEW]",JB_B,1,JB_EX,"P-8a",JB_CC,"Hull, Mechanical, and Electrical",JB_H,"LPD",JB_CE,"Plastic Waste Processing EQP",JB_R,"",JB_N,"")</f>
        <v/>
      </c>
      <c r="D178" s="31">
        <f>IFERROR(C178/C$182,0)</f>
        <v/>
      </c>
    </row>
    <row r="179" ht="10" customHeight="1">
      <c r="A179" s="24" t="inlineStr">
        <is>
          <t>Boats (Rigid Inflatable Boat, 7 meter)</t>
        </is>
      </c>
      <c r="B179" s="20" t="inlineStr">
        <is>
          <t>Hull, Mechanical, and Electrical</t>
        </is>
      </c>
      <c r="C179" s="43">
        <f>SUMIFS(JB_R,JB_S,"[ALT_VIEW]",JB_B,1,JB_EX,"P-8a",JB_CC,"Hull, Mechanical, and Electrical",JB_H,"LPD",JB_CE,"Boats (Rigid Inflatable Boat, 7 meter)",JB_R,"&lt;&gt;")+SUMIFS(JB_N,JB_S,"[ALT_VIEW]",JB_B,1,JB_EX,"P-8a",JB_CC,"Hull, Mechanical, and Electrical",JB_H,"LPD",JB_CE,"Boats (Rigid Inflatable Boat, 7 meter)",JB_R,"",JB_N,"&lt;&gt;")+SUMIFS(JB_L,JB_S,"[ALT_VIEW]",JB_B,1,JB_EX,"P-8a",JB_CC,"Hull, Mechanical, and Electrical",JB_H,"LPD",JB_CE,"Boats (Rigid Inflatable Boat, 7 meter)",JB_R,"",JB_N,"")</f>
        <v/>
      </c>
      <c r="D179" s="31">
        <f>IFERROR(C179/C$182,0)</f>
        <v/>
      </c>
    </row>
    <row r="180" ht="10" customHeight="1">
      <c r="A180" s="24" t="inlineStr">
        <is>
          <t>Military Payroll System</t>
        </is>
      </c>
      <c r="B180" s="20" t="inlineStr">
        <is>
          <t>Hull, Mechanical, and Electrical</t>
        </is>
      </c>
      <c r="C180" s="43">
        <f>SUMIFS(JB_R,JB_S,"[ALT_VIEW]",JB_B,1,JB_EX,"P-8a",JB_CC,"Hull, Mechanical, and Electrical",JB_H,"LPD",JB_CE,"Military Payroll System",JB_R,"&lt;&gt;")+SUMIFS(JB_N,JB_S,"[ALT_VIEW]",JB_B,1,JB_EX,"P-8a",JB_CC,"Hull, Mechanical, and Electrical",JB_H,"LPD",JB_CE,"Military Payroll System",JB_R,"",JB_N,"&lt;&gt;")+SUMIFS(JB_L,JB_S,"[ALT_VIEW]",JB_B,1,JB_EX,"P-8a",JB_CC,"Hull, Mechanical, and Electrical",JB_H,"LPD",JB_CE,"Military Payroll System",JB_R,"",JB_N,"")</f>
        <v/>
      </c>
      <c r="D180" s="31">
        <f>IFERROR(C180/C$182,0)</f>
        <v/>
      </c>
    </row>
    <row r="181" ht="10" customHeight="1">
      <c r="A181" s="24" t="inlineStr">
        <is>
          <t>Oily Water Separator</t>
        </is>
      </c>
      <c r="B181" s="20" t="inlineStr">
        <is>
          <t>Hull, Mechanical, and Electrical</t>
        </is>
      </c>
      <c r="C181" s="43">
        <f>SUMIFS(JB_R,JB_S,"[ALT_VIEW]",JB_B,1,JB_EX,"P-8a",JB_CC,"Hull, Mechanical, and Electrical",JB_H,"LPD",JB_CE,"Oily Water Separator",JB_R,"&lt;&gt;")+SUMIFS(JB_N,JB_S,"[ALT_VIEW]",JB_B,1,JB_EX,"P-8a",JB_CC,"Hull, Mechanical, and Electrical",JB_H,"LPD",JB_CE,"Oily Water Separator",JB_R,"",JB_N,"&lt;&gt;")+SUMIFS(JB_L,JB_S,"[ALT_VIEW]",JB_B,1,JB_EX,"P-8a",JB_CC,"Hull, Mechanical, and Electrical",JB_H,"LPD",JB_CE,"Oily Water Separator",JB_R,"",JB_N,"")</f>
        <v/>
      </c>
      <c r="D181" s="31">
        <f>IFERROR(C181/C$182,0)</f>
        <v/>
      </c>
    </row>
    <row r="182" ht="10" customHeight="1">
      <c r="A182" s="26" t="inlineStr">
        <is>
          <t>LPD Total</t>
        </is>
      </c>
      <c r="B182" s="28" t="n"/>
      <c r="C182" s="27">
        <f>SUM(C149:C181)</f>
        <v/>
      </c>
      <c r="D182" s="32" t="n">
        <v>1</v>
      </c>
    </row>
    <row r="183" ht="10" customHeight="1"/>
    <row r="184" ht="10" customHeight="1">
      <c r="A184" s="40" t="inlineStr">
        <is>
          <t>T-AGOS (Surveillance Ships)</t>
        </is>
      </c>
      <c r="B184" s="33" t="n"/>
      <c r="C184" s="33" t="n"/>
      <c r="D184" s="33" t="n"/>
    </row>
    <row r="185" ht="10" customHeight="1">
      <c r="A185" s="23" t="inlineStr">
        <is>
          <t>System</t>
        </is>
      </c>
      <c r="B185" s="23" t="inlineStr">
        <is>
          <t>Cost Category</t>
        </is>
      </c>
      <c r="C185" s="23" t="inlineStr">
        <is>
          <t>FY2026 ($K)</t>
        </is>
      </c>
      <c r="D185" s="23" t="inlineStr">
        <is>
          <t>% of Hull</t>
        </is>
      </c>
    </row>
    <row r="186" ht="10" customHeight="1">
      <c r="A186" s="24" t="inlineStr">
        <is>
          <t>Surveillance Towed Array Sensor System (SURTASS)</t>
        </is>
      </c>
      <c r="B186" s="20" t="inlineStr">
        <is>
          <t>Electronics</t>
        </is>
      </c>
      <c r="C186" s="43">
        <f>SUMIFS(JB_R,JB_S,"[ALT_VIEW]",JB_B,1,JB_EX,"P-8a",JB_CC,"Electronics",JB_H,"T-AGOS",JB_CE,"Surveillance Towed Array Sensor System (SURTASS)",JB_R,"&lt;&gt;")+SUMIFS(JB_N,JB_S,"[ALT_VIEW]",JB_B,1,JB_EX,"P-8a",JB_CC,"Electronics",JB_H,"T-AGOS",JB_CE,"Surveillance Towed Array Sensor System (SURTASS)",JB_R,"",JB_N,"&lt;&gt;")+SUMIFS(JB_L,JB_S,"[ALT_VIEW]",JB_B,1,JB_EX,"P-8a",JB_CC,"Electronics",JB_H,"T-AGOS",JB_CE,"Surveillance Towed Array Sensor System (SURTASS)",JB_R,"",JB_N,"")</f>
        <v/>
      </c>
      <c r="D186" s="31">
        <f>IFERROR(C186/C$188,0)</f>
        <v/>
      </c>
    </row>
    <row r="187" ht="10" customHeight="1">
      <c r="A187" s="24" t="inlineStr">
        <is>
          <t>Command, Control, Communications, Computers and Intelligence (C4I)</t>
        </is>
      </c>
      <c r="B187" s="20" t="inlineStr">
        <is>
          <t>Electronics</t>
        </is>
      </c>
      <c r="C187" s="43">
        <f>SUMIFS(JB_R,JB_S,"[ALT_VIEW]",JB_B,1,JB_EX,"P-8a",JB_CC,"Electronics",JB_H,"T-AGOS",JB_CE,"Command, Control, Communications, Computers and Intelligence (C4I)",JB_R,"&lt;&gt;")+SUMIFS(JB_N,JB_S,"[ALT_VIEW]",JB_B,1,JB_EX,"P-8a",JB_CC,"Electronics",JB_H,"T-AGOS",JB_CE,"Command, Control, Communications, Computers and Intelligence (C4I)",JB_R,"",JB_N,"&lt;&gt;")+SUMIFS(JB_L,JB_S,"[ALT_VIEW]",JB_B,1,JB_EX,"P-8a",JB_CC,"Electronics",JB_H,"T-AGOS",JB_CE,"Command, Control, Communications, Computers and Intelligence (C4I)",JB_R,"",JB_N,"")</f>
        <v/>
      </c>
      <c r="D187" s="31">
        <f>IFERROR(C187/C$188,0)</f>
        <v/>
      </c>
    </row>
    <row r="188" ht="10" customHeight="1">
      <c r="A188" s="26" t="inlineStr">
        <is>
          <t>T-AGOS Total</t>
        </is>
      </c>
      <c r="B188" s="28" t="n"/>
      <c r="C188" s="27">
        <f>SUM(C186:C187)</f>
        <v/>
      </c>
      <c r="D188" s="32" t="n">
        <v>1</v>
      </c>
    </row>
    <row r="189" ht="10" customHeight="1"/>
    <row r="190" ht="10" customHeight="1">
      <c r="A190" s="40" t="inlineStr">
        <is>
          <t>T-AO (Combat Logistics Ships)</t>
        </is>
      </c>
      <c r="B190" s="33" t="n"/>
      <c r="C190" s="33" t="n"/>
      <c r="D190" s="33" t="n"/>
    </row>
    <row r="191" ht="10" customHeight="1">
      <c r="A191" s="23" t="inlineStr">
        <is>
          <t>System</t>
        </is>
      </c>
      <c r="B191" s="23" t="inlineStr">
        <is>
          <t>Cost Category</t>
        </is>
      </c>
      <c r="C191" s="23" t="inlineStr">
        <is>
          <t>FY2026 ($K)</t>
        </is>
      </c>
      <c r="D191" s="23" t="inlineStr">
        <is>
          <t>% of Hull</t>
        </is>
      </c>
    </row>
    <row r="192" ht="10" customHeight="1">
      <c r="A192" s="24" t="inlineStr">
        <is>
          <t>Network Management System (NMS) 2.0/Consolidated Afloat Networks and Enterprise Services (CANES) [T-AO 214]</t>
        </is>
      </c>
      <c r="B192" s="20" t="inlineStr">
        <is>
          <t>Electronics</t>
        </is>
      </c>
      <c r="C192" s="43">
        <f>SUMIFS(JB_R,JB_S,"[ALT_VIEW]",JB_B,1,JB_EX,"P-8a",JB_CC,"Electronics",JB_H,"T-AO",JB_CE,"Network Management System (NMS) 2.0/Consolidated Afloat Networks and Enterprise Services (CANES) [T-AO 214]",JB_R,"&lt;&gt;")+SUMIFS(JB_N,JB_S,"[ALT_VIEW]",JB_B,1,JB_EX,"P-8a",JB_CC,"Electronics",JB_H,"T-AO",JB_CE,"Network Management System (NMS) 2.0/Consolidated Afloat Networks and Enterprise Services (CANES) [T-AO 214]",JB_R,"",JB_N,"&lt;&gt;")+SUMIFS(JB_L,JB_S,"[ALT_VIEW]",JB_B,1,JB_EX,"P-8a",JB_CC,"Electronics",JB_H,"T-AO",JB_CE,"Network Management System (NMS) 2.0/Consolidated Afloat Networks and Enterprise Services (CANES) [T-AO 214]",JB_R,"",JB_N,"")</f>
        <v/>
      </c>
      <c r="D192" s="31">
        <f>IFERROR(C192/C$206,0)</f>
        <v/>
      </c>
    </row>
    <row r="193" ht="10" customHeight="1">
      <c r="A193" s="24" t="inlineStr">
        <is>
          <t>Minor Systems</t>
        </is>
      </c>
      <c r="B193" s="20" t="inlineStr">
        <is>
          <t>Electronics</t>
        </is>
      </c>
      <c r="C193" s="43">
        <f>SUMIFS(JB_R,JB_S,"[ALT_VIEW]",JB_B,1,JB_EX,"P-8a",JB_CC,"Electronics",JB_H,"T-AO",JB_CE,"Minor Systems",JB_R,"&lt;&gt;")+SUMIFS(JB_N,JB_S,"[ALT_VIEW]",JB_B,1,JB_EX,"P-8a",JB_CC,"Electronics",JB_H,"T-AO",JB_CE,"Minor Systems",JB_R,"",JB_N,"&lt;&gt;")+SUMIFS(JB_L,JB_S,"[ALT_VIEW]",JB_B,1,JB_EX,"P-8a",JB_CC,"Electronics",JB_H,"T-AO",JB_CE,"Minor Systems",JB_R,"",JB_N,"")</f>
        <v/>
      </c>
      <c r="D193" s="31">
        <f>IFERROR(C193/C$206,0)</f>
        <v/>
      </c>
    </row>
    <row r="194" ht="10" customHeight="1">
      <c r="A194" s="24" t="inlineStr">
        <is>
          <t>Radio Communication System (RCS) TURNKEY</t>
        </is>
      </c>
      <c r="B194" s="20" t="inlineStr">
        <is>
          <t>Electronics</t>
        </is>
      </c>
      <c r="C194" s="43">
        <f>SUMIFS(JB_R,JB_S,"[ALT_VIEW]",JB_B,1,JB_EX,"P-8a",JB_CC,"Electronics",JB_H,"T-AO",JB_CE,"Radio Communication System (RCS) TURNKEY",JB_R,"&lt;&gt;")+SUMIFS(JB_N,JB_S,"[ALT_VIEW]",JB_B,1,JB_EX,"P-8a",JB_CC,"Electronics",JB_H,"T-AO",JB_CE,"Radio Communication System (RCS) TURNKEY",JB_R,"",JB_N,"&lt;&gt;")+SUMIFS(JB_L,JB_S,"[ALT_VIEW]",JB_B,1,JB_EX,"P-8a",JB_CC,"Electronics",JB_H,"T-AO",JB_CE,"Radio Communication System (RCS) TURNKEY",JB_R,"",JB_N,"")</f>
        <v/>
      </c>
      <c r="D194" s="31">
        <f>IFERROR(C194/C$206,0)</f>
        <v/>
      </c>
    </row>
    <row r="195" ht="10" customHeight="1">
      <c r="A195" s="24" t="inlineStr">
        <is>
          <t>AN/SLQ-25 NIXIE</t>
        </is>
      </c>
      <c r="B195" s="20" t="inlineStr">
        <is>
          <t>Electronics</t>
        </is>
      </c>
      <c r="C195" s="43">
        <f>SUMIFS(JB_R,JB_S,"[ALT_VIEW]",JB_B,1,JB_EX,"P-8a",JB_CC,"Electronics",JB_H,"T-AO",JB_CE,"AN/SLQ-25 NIXIE",JB_R,"&lt;&gt;")+SUMIFS(JB_N,JB_S,"[ALT_VIEW]",JB_B,1,JB_EX,"P-8a",JB_CC,"Electronics",JB_H,"T-AO",JB_CE,"AN/SLQ-25 NIXIE",JB_R,"",JB_N,"&lt;&gt;")+SUMIFS(JB_L,JB_S,"[ALT_VIEW]",JB_B,1,JB_EX,"P-8a",JB_CC,"Electronics",JB_H,"T-AO",JB_CE,"AN/SLQ-25 NIXIE",JB_R,"",JB_N,"")</f>
        <v/>
      </c>
      <c r="D195" s="31">
        <f>IFERROR(C195/C$206,0)</f>
        <v/>
      </c>
    </row>
    <row r="196" ht="10" customHeight="1">
      <c r="A196" s="24" t="inlineStr">
        <is>
          <t>Digital Modular Radio (DMR)</t>
        </is>
      </c>
      <c r="B196" s="20" t="inlineStr">
        <is>
          <t>Electronics</t>
        </is>
      </c>
      <c r="C196" s="43">
        <f>SUMIFS(JB_R,JB_S,"[ALT_VIEW]",JB_B,1,JB_EX,"P-8a",JB_CC,"Electronics",JB_H,"T-AO",JB_CE,"Digital Modular Radio (DMR)",JB_R,"&lt;&gt;")+SUMIFS(JB_N,JB_S,"[ALT_VIEW]",JB_B,1,JB_EX,"P-8a",JB_CC,"Electronics",JB_H,"T-AO",JB_CE,"Digital Modular Radio (DMR)",JB_R,"",JB_N,"&lt;&gt;")+SUMIFS(JB_L,JB_S,"[ALT_VIEW]",JB_B,1,JB_EX,"P-8a",JB_CC,"Electronics",JB_H,"T-AO",JB_CE,"Digital Modular Radio (DMR)",JB_R,"",JB_N,"")</f>
        <v/>
      </c>
      <c r="D196" s="31">
        <f>IFERROR(C196/C$206,0)</f>
        <v/>
      </c>
    </row>
    <row r="197" ht="10" customHeight="1">
      <c r="A197" s="24" t="inlineStr">
        <is>
          <t>Commercial Broadband Satellite Program (CBSP)</t>
        </is>
      </c>
      <c r="B197" s="20" t="inlineStr">
        <is>
          <t>Electronics</t>
        </is>
      </c>
      <c r="C197" s="43">
        <f>SUMIFS(JB_R,JB_S,"[ALT_VIEW]",JB_B,1,JB_EX,"P-8a",JB_CC,"Electronics",JB_H,"T-AO",JB_CE,"Commercial Broadband Satellite Program (CBSP)",JB_R,"&lt;&gt;")+SUMIFS(JB_N,JB_S,"[ALT_VIEW]",JB_B,1,JB_EX,"P-8a",JB_CC,"Electronics",JB_H,"T-AO",JB_CE,"Commercial Broadband Satellite Program (CBSP)",JB_R,"",JB_N,"&lt;&gt;")+SUMIFS(JB_L,JB_S,"[ALT_VIEW]",JB_B,1,JB_EX,"P-8a",JB_CC,"Electronics",JB_H,"T-AO",JB_CE,"Commercial Broadband Satellite Program (CBSP)",JB_R,"",JB_N,"")</f>
        <v/>
      </c>
      <c r="D197" s="31">
        <f>IFERROR(C197/C$206,0)</f>
        <v/>
      </c>
    </row>
    <row r="198" ht="10" customHeight="1">
      <c r="A198" s="24" t="inlineStr">
        <is>
          <t>OA-9277A</t>
        </is>
      </c>
      <c r="B198" s="20" t="inlineStr">
        <is>
          <t>Electronics</t>
        </is>
      </c>
      <c r="C198" s="43">
        <f>SUMIFS(JB_R,JB_S,"[ALT_VIEW]",JB_B,1,JB_EX,"P-8a",JB_CC,"Electronics",JB_H,"T-AO",JB_CE,"OA-9277A",JB_R,"&lt;&gt;")+SUMIFS(JB_N,JB_S,"[ALT_VIEW]",JB_B,1,JB_EX,"P-8a",JB_CC,"Electronics",JB_H,"T-AO",JB_CE,"OA-9277A",JB_R,"",JB_N,"&lt;&gt;")+SUMIFS(JB_L,JB_S,"[ALT_VIEW]",JB_B,1,JB_EX,"P-8a",JB_CC,"Electronics",JB_H,"T-AO",JB_CE,"OA-9277A",JB_R,"",JB_N,"")</f>
        <v/>
      </c>
      <c r="D198" s="31">
        <f>IFERROR(C198/C$206,0)</f>
        <v/>
      </c>
    </row>
    <row r="199" ht="10" customHeight="1">
      <c r="A199" s="24" t="inlineStr">
        <is>
          <t>Battle Force Tactical Network (BFTN)/BFTN Resilient Command and Control System Enhancement (BRSE)</t>
        </is>
      </c>
      <c r="B199" s="20" t="inlineStr">
        <is>
          <t>Electronics</t>
        </is>
      </c>
      <c r="C199" s="43">
        <f>SUMIFS(JB_R,JB_S,"[ALT_VIEW]",JB_B,1,JB_EX,"P-8a",JB_CC,"Electronics",JB_H,"T-AO",JB_CE,"Battle Force Tactical Network (BFTN)/BFTN Resilient Command and Control System Enhancement (BRSE)",JB_R,"&lt;&gt;")+SUMIFS(JB_N,JB_S,"[ALT_VIEW]",JB_B,1,JB_EX,"P-8a",JB_CC,"Electronics",JB_H,"T-AO",JB_CE,"Battle Force Tactical Network (BFTN)/BFTN Resilient Command and Control System Enhancement (BRSE)",JB_R,"",JB_N,"&lt;&gt;")+SUMIFS(JB_L,JB_S,"[ALT_VIEW]",JB_B,1,JB_EX,"P-8a",JB_CC,"Electronics",JB_H,"T-AO",JB_CE,"Battle Force Tactical Network (BFTN)/BFTN Resilient Command and Control System Enhancement (BRSE)",JB_R,"",JB_N,"")</f>
        <v/>
      </c>
      <c r="D199" s="31">
        <f>IFERROR(C199/C$206,0)</f>
        <v/>
      </c>
    </row>
    <row r="200" ht="10" customHeight="1">
      <c r="A200" s="24" t="inlineStr">
        <is>
          <t>AN/USQ-155 Tactical Variant Switch (TVS)</t>
        </is>
      </c>
      <c r="B200" s="20" t="inlineStr">
        <is>
          <t>Electronics</t>
        </is>
      </c>
      <c r="C200" s="43">
        <f>SUMIFS(JB_R,JB_S,"[ALT_VIEW]",JB_B,1,JB_EX,"P-8a",JB_CC,"Electronics",JB_H,"T-AO",JB_CE,"AN/USQ-155 Tactical Variant Switch (TVS)",JB_R,"&lt;&gt;")+SUMIFS(JB_N,JB_S,"[ALT_VIEW]",JB_B,1,JB_EX,"P-8a",JB_CC,"Electronics",JB_H,"T-AO",JB_CE,"AN/USQ-155 Tactical Variant Switch (TVS)",JB_R,"",JB_N,"&lt;&gt;")+SUMIFS(JB_L,JB_S,"[ALT_VIEW]",JB_B,1,JB_EX,"P-8a",JB_CC,"Electronics",JB_H,"T-AO",JB_CE,"AN/USQ-155 Tactical Variant Switch (TVS)",JB_R,"",JB_N,"")</f>
        <v/>
      </c>
      <c r="D200" s="31">
        <f>IFERROR(C200/C$206,0)</f>
        <v/>
      </c>
    </row>
    <row r="201" ht="10" customHeight="1">
      <c r="A201" s="24" t="inlineStr">
        <is>
          <t>Engineering Services</t>
        </is>
      </c>
      <c r="B201" s="20" t="inlineStr">
        <is>
          <t>Hull, Mechanical, and Electrical</t>
        </is>
      </c>
      <c r="C201" s="43">
        <f>SUMIFS(JB_R,JB_S,"[ALT_VIEW]",JB_B,1,JB_EX,"P-8a",JB_CC,"Hull, Mechanical, and Electrical",JB_H,"T-AO",JB_CE,"Engineering Services",JB_R,"&lt;&gt;")+SUMIFS(JB_N,JB_S,"[ALT_VIEW]",JB_B,1,JB_EX,"P-8a",JB_CC,"Hull, Mechanical, and Electrical",JB_H,"T-AO",JB_CE,"Engineering Services",JB_R,"",JB_N,"&lt;&gt;")+SUMIFS(JB_L,JB_S,"[ALT_VIEW]",JB_B,1,JB_EX,"P-8a",JB_CC,"Hull, Mechanical, and Electrical",JB_H,"T-AO",JB_CE,"Engineering Services",JB_R,"",JB_N,"")</f>
        <v/>
      </c>
      <c r="D201" s="31">
        <f>IFERROR(C201/C$206,0)</f>
        <v/>
      </c>
    </row>
    <row r="202" ht="10" customHeight="1">
      <c r="A202" s="24" t="inlineStr">
        <is>
          <t>Logistics Support Services</t>
        </is>
      </c>
      <c r="B202" s="20" t="inlineStr">
        <is>
          <t>Hull, Mechanical, and Electrical</t>
        </is>
      </c>
      <c r="C202" s="43">
        <f>SUMIFS(JB_R,JB_S,"[ALT_VIEW]",JB_B,1,JB_EX,"P-8a",JB_CC,"Hull, Mechanical, and Electrical",JB_H,"T-AO",JB_CE,"Logistics Support Services",JB_R,"&lt;&gt;")+SUMIFS(JB_N,JB_S,"[ALT_VIEW]",JB_B,1,JB_EX,"P-8a",JB_CC,"Hull, Mechanical, and Electrical",JB_H,"T-AO",JB_CE,"Logistics Support Services",JB_R,"",JB_N,"&lt;&gt;")+SUMIFS(JB_L,JB_S,"[ALT_VIEW]",JB_B,1,JB_EX,"P-8a",JB_CC,"Hull, Mechanical, and Electrical",JB_H,"T-AO",JB_CE,"Logistics Support Services",JB_R,"",JB_N,"")</f>
        <v/>
      </c>
      <c r="D202" s="31">
        <f>IFERROR(C202/C$206,0)</f>
        <v/>
      </c>
    </row>
    <row r="203" ht="10" customHeight="1">
      <c r="A203" s="24" t="inlineStr">
        <is>
          <t>Material Handling Equipment</t>
        </is>
      </c>
      <c r="B203" s="20" t="inlineStr">
        <is>
          <t>Hull, Mechanical, and Electrical</t>
        </is>
      </c>
      <c r="C203" s="43">
        <f>SUMIFS(JB_R,JB_S,"[ALT_VIEW]",JB_B,1,JB_EX,"P-8a",JB_CC,"Hull, Mechanical, and Electrical",JB_H,"T-AO",JB_CE,"Material Handling Equipment",JB_R,"&lt;&gt;")+SUMIFS(JB_N,JB_S,"[ALT_VIEW]",JB_B,1,JB_EX,"P-8a",JB_CC,"Hull, Mechanical, and Electrical",JB_H,"T-AO",JB_CE,"Material Handling Equipment",JB_R,"",JB_N,"&lt;&gt;")+SUMIFS(JB_L,JB_S,"[ALT_VIEW]",JB_B,1,JB_EX,"P-8a",JB_CC,"Hull, Mechanical, and Electrical",JB_H,"T-AO",JB_CE,"Material Handling Equipment",JB_R,"",JB_N,"")</f>
        <v/>
      </c>
      <c r="D203" s="31">
        <f>IFERROR(C203/C$206,0)</f>
        <v/>
      </c>
    </row>
    <row r="204" ht="10" customHeight="1">
      <c r="A204" s="24" t="inlineStr">
        <is>
          <t>Improved Point Detection System - Lifecycle Replacement (IPDS-LR)</t>
        </is>
      </c>
      <c r="B204" s="20" t="inlineStr">
        <is>
          <t>Hull, Mechanical, and Electrical</t>
        </is>
      </c>
      <c r="C204" s="43">
        <f>SUMIFS(JB_R,JB_S,"[ALT_VIEW]",JB_B,1,JB_EX,"P-8a",JB_CC,"Hull, Mechanical, and Electrical",JB_H,"T-AO",JB_CE,"Improved Point Detection System - Lifecycle Replacement (IPDS-LR)",JB_R,"&lt;&gt;")+SUMIFS(JB_N,JB_S,"[ALT_VIEW]",JB_B,1,JB_EX,"P-8a",JB_CC,"Hull, Mechanical, and Electrical",JB_H,"T-AO",JB_CE,"Improved Point Detection System - Lifecycle Replacement (IPDS-LR)",JB_R,"",JB_N,"&lt;&gt;")+SUMIFS(JB_L,JB_S,"[ALT_VIEW]",JB_B,1,JB_EX,"P-8a",JB_CC,"Hull, Mechanical, and Electrical",JB_H,"T-AO",JB_CE,"Improved Point Detection System - Lifecycle Replacement (IPDS-LR)",JB_R,"",JB_N,"")</f>
        <v/>
      </c>
      <c r="D204" s="31">
        <f>IFERROR(C204/C$206,0)</f>
        <v/>
      </c>
    </row>
    <row r="205" ht="10" customHeight="1">
      <c r="A205" s="24" t="inlineStr">
        <is>
          <t>Shipboard Automated Maintenance Module (SAMM)</t>
        </is>
      </c>
      <c r="B205" s="20" t="inlineStr">
        <is>
          <t>Hull, Mechanical, and Electrical</t>
        </is>
      </c>
      <c r="C205" s="43">
        <f>SUMIFS(JB_R,JB_S,"[ALT_VIEW]",JB_B,1,JB_EX,"P-8a",JB_CC,"Hull, Mechanical, and Electrical",JB_H,"T-AO",JB_CE,"Shipboard Automated Maintenance Module (SAMM)",JB_R,"&lt;&gt;")+SUMIFS(JB_N,JB_S,"[ALT_VIEW]",JB_B,1,JB_EX,"P-8a",JB_CC,"Hull, Mechanical, and Electrical",JB_H,"T-AO",JB_CE,"Shipboard Automated Maintenance Module (SAMM)",JB_R,"",JB_N,"&lt;&gt;")+SUMIFS(JB_L,JB_S,"[ALT_VIEW]",JB_B,1,JB_EX,"P-8a",JB_CC,"Hull, Mechanical, and Electrical",JB_H,"T-AO",JB_CE,"Shipboard Automated Maintenance Module (SAMM)",JB_R,"",JB_N,"")</f>
        <v/>
      </c>
      <c r="D205" s="31">
        <f>IFERROR(C205/C$206,0)</f>
        <v/>
      </c>
    </row>
    <row r="206" ht="10" customHeight="1">
      <c r="A206" s="26" t="inlineStr">
        <is>
          <t>T-AO Total</t>
        </is>
      </c>
      <c r="B206" s="28" t="n"/>
      <c r="C206" s="27">
        <f>SUM(C192:C205)</f>
        <v/>
      </c>
      <c r="D206" s="32" t="n">
        <v>1</v>
      </c>
    </row>
    <row r="207" ht="10" customHeight="1"/>
    <row r="208" ht="10" customHeight="1"/>
    <row r="209" ht="10" customHeight="1">
      <c r="A209" s="21" t="inlineStr">
        <is>
          <t>(C) Top P-8a Systems — Cross-Program Summary — FY2026 ($K)</t>
        </is>
      </c>
      <c r="B209" s="22" t="n"/>
      <c r="C209" s="22" t="n"/>
      <c r="D209" s="22" t="n"/>
      <c r="E209" s="22" t="n"/>
    </row>
    <row r="210" ht="10" customHeight="1">
      <c r="A210" s="20" t="inlineStr">
        <is>
          <t>Largest GFE systems aggregated across all SAM hull programs.</t>
        </is>
      </c>
    </row>
    <row r="211" ht="10" customHeight="1">
      <c r="A211" s="23" t="inlineStr">
        <is>
          <t>System</t>
        </is>
      </c>
      <c r="B211" s="23" t="inlineStr">
        <is>
          <t>Cost Category</t>
        </is>
      </c>
      <c r="C211" s="23" t="inlineStr">
        <is>
          <t>FY2026 ($K)</t>
        </is>
      </c>
      <c r="D211" s="23" t="inlineStr">
        <is>
          <t># Hulls</t>
        </is>
      </c>
      <c r="E211" s="23" t="inlineStr">
        <is>
          <t>Hull Programs</t>
        </is>
      </c>
    </row>
    <row r="212" ht="10" customHeight="1">
      <c r="A212" s="24" t="inlineStr">
        <is>
          <t>AN/SPY-6(V)1 (AMDR)</t>
        </is>
      </c>
      <c r="B212" s="20" t="inlineStr">
        <is>
          <t>Ordnance</t>
        </is>
      </c>
      <c r="C212" s="43">
        <f>SUMIFS(JB_R,JB_S,"[ALT_VIEW]",JB_B,1,JB_EX,"P-8a",JB_CE,"AN/SPY-6(V)1 (AMDR)",JB_R,"&lt;&gt;")+SUMIFS(JB_N,JB_S,"[ALT_VIEW]",JB_B,1,JB_EX,"P-8a",JB_CE,"AN/SPY-6(V)1 (AMDR)",JB_R,"",JB_N,"&lt;&gt;")+SUMIFS(JB_L,JB_S,"[ALT_VIEW]",JB_B,1,JB_EX,"P-8a",JB_CE,"AN/SPY-6(V)1 (AMDR)",JB_R,"",JB_N,"")</f>
        <v/>
      </c>
      <c r="D212" s="24" t="n">
        <v>1</v>
      </c>
      <c r="E212" s="20" t="inlineStr">
        <is>
          <t>DDG</t>
        </is>
      </c>
    </row>
    <row r="213" ht="10" customHeight="1">
      <c r="A213" s="24" t="inlineStr">
        <is>
          <t>AEGIS WEAPON SYSTEM (MK-7)</t>
        </is>
      </c>
      <c r="B213" s="20" t="inlineStr">
        <is>
          <t>Ordnance</t>
        </is>
      </c>
      <c r="C213" s="43">
        <f>SUMIFS(JB_R,JB_S,"[ALT_VIEW]",JB_B,1,JB_EX,"P-8a",JB_CE,"AEGIS WEAPON SYSTEM (MK-7)",JB_R,"&lt;&gt;")+SUMIFS(JB_N,JB_S,"[ALT_VIEW]",JB_B,1,JB_EX,"P-8a",JB_CE,"AEGIS WEAPON SYSTEM (MK-7)",JB_R,"",JB_N,"&lt;&gt;")+SUMIFS(JB_L,JB_S,"[ALT_VIEW]",JB_B,1,JB_EX,"P-8a",JB_CE,"AEGIS WEAPON SYSTEM (MK-7)",JB_R,"",JB_N,"")</f>
        <v/>
      </c>
      <c r="D213" s="24" t="n">
        <v>1</v>
      </c>
      <c r="E213" s="20" t="inlineStr">
        <is>
          <t>DDG</t>
        </is>
      </c>
    </row>
    <row r="214" ht="10" customHeight="1">
      <c r="A214" s="24" t="inlineStr">
        <is>
          <t>VERTICAL LAUNCHING SYSTEM (VLS) MK 57 4-CELL MODULES</t>
        </is>
      </c>
      <c r="B214" s="20" t="inlineStr">
        <is>
          <t>Electronics</t>
        </is>
      </c>
      <c r="C214" s="43">
        <f>SUMIFS(JB_R,JB_S,"[ALT_VIEW]",JB_B,1,JB_EX,"P-8a",JB_CE,"VERTICAL LAUNCHING SYSTEM (VLS) MK 57 4-CELL MODULES",JB_R,"&lt;&gt;")+SUMIFS(JB_N,JB_S,"[ALT_VIEW]",JB_B,1,JB_EX,"P-8a",JB_CE,"VERTICAL LAUNCHING SYSTEM (VLS) MK 57 4-CELL MODULES",JB_R,"",JB_N,"&lt;&gt;")+SUMIFS(JB_L,JB_S,"[ALT_VIEW]",JB_B,1,JB_EX,"P-8a",JB_CE,"VERTICAL LAUNCHING SYSTEM (VLS) MK 57 4-CELL MODULES",JB_R,"",JB_N,"")</f>
        <v/>
      </c>
      <c r="D214" s="24" t="n">
        <v>1</v>
      </c>
      <c r="E214" s="20" t="inlineStr">
        <is>
          <t>DDG</t>
        </is>
      </c>
    </row>
    <row r="215" ht="10" customHeight="1">
      <c r="A215" s="24" t="inlineStr">
        <is>
          <t>MULTI FUNCTION RADAR (MFR)</t>
        </is>
      </c>
      <c r="B215" s="20" t="inlineStr">
        <is>
          <t>Electronics</t>
        </is>
      </c>
      <c r="C215" s="43">
        <f>SUMIFS(JB_R,JB_S,"[ALT_VIEW]",JB_B,1,JB_EX,"P-8a",JB_CE,"MULTI FUNCTION RADAR (MFR)",JB_R,"&lt;&gt;")+SUMIFS(JB_N,JB_S,"[ALT_VIEW]",JB_B,1,JB_EX,"P-8a",JB_CE,"MULTI FUNCTION RADAR (MFR)",JB_R,"",JB_N,"&lt;&gt;")+SUMIFS(JB_L,JB_S,"[ALT_VIEW]",JB_B,1,JB_EX,"P-8a",JB_CE,"MULTI FUNCTION RADAR (MFR)",JB_R,"",JB_N,"")</f>
        <v/>
      </c>
      <c r="D215" s="24" t="n">
        <v>1</v>
      </c>
      <c r="E215" s="20" t="inlineStr">
        <is>
          <t>DDG</t>
        </is>
      </c>
    </row>
    <row r="216" ht="10" customHeight="1">
      <c r="A216" s="24" t="inlineStr">
        <is>
          <t>TOTAL SHIP COMPUTING ENVIRONMENT (TSCE)</t>
        </is>
      </c>
      <c r="B216" s="20" t="inlineStr">
        <is>
          <t>Electronics</t>
        </is>
      </c>
      <c r="C216" s="43">
        <f>SUMIFS(JB_R,JB_S,"[ALT_VIEW]",JB_B,1,JB_EX,"P-8a",JB_CE,"TOTAL SHIP COMPUTING ENVIRONMENT (TSCE)",JB_R,"&lt;&gt;")+SUMIFS(JB_N,JB_S,"[ALT_VIEW]",JB_B,1,JB_EX,"P-8a",JB_CE,"TOTAL SHIP COMPUTING ENVIRONMENT (TSCE)",JB_R,"",JB_N,"&lt;&gt;")+SUMIFS(JB_L,JB_S,"[ALT_VIEW]",JB_B,1,JB_EX,"P-8a",JB_CE,"TOTAL SHIP COMPUTING ENVIRONMENT (TSCE)",JB_R,"",JB_N,"")</f>
        <v/>
      </c>
      <c r="D216" s="24" t="n">
        <v>1</v>
      </c>
      <c r="E216" s="20" t="inlineStr">
        <is>
          <t>DDG</t>
        </is>
      </c>
    </row>
    <row r="217" ht="10" customHeight="1">
      <c r="A217" s="24" t="inlineStr">
        <is>
          <t>ADVANCED GUN SYSTEM (AGS)</t>
        </is>
      </c>
      <c r="B217" s="20" t="inlineStr">
        <is>
          <t>Ordnance</t>
        </is>
      </c>
      <c r="C217" s="43">
        <f>SUMIFS(JB_R,JB_S,"[ALT_VIEW]",JB_B,1,JB_EX,"P-8a",JB_CE,"ADVANCED GUN SYSTEM (AGS)",JB_R,"&lt;&gt;")+SUMIFS(JB_N,JB_S,"[ALT_VIEW]",JB_B,1,JB_EX,"P-8a",JB_CE,"ADVANCED GUN SYSTEM (AGS)",JB_R,"",JB_N,"&lt;&gt;")+SUMIFS(JB_L,JB_S,"[ALT_VIEW]",JB_B,1,JB_EX,"P-8a",JB_CE,"ADVANCED GUN SYSTEM (AGS)",JB_R,"",JB_N,"")</f>
        <v/>
      </c>
      <c r="D217" s="24" t="n">
        <v>1</v>
      </c>
      <c r="E217" s="20" t="inlineStr">
        <is>
          <t>DDG</t>
        </is>
      </c>
    </row>
    <row r="218" ht="10" customHeight="1">
      <c r="A218" s="24" t="inlineStr">
        <is>
          <t>AN/SLQ-32 SEWIP V(7)</t>
        </is>
      </c>
      <c r="B218" s="20" t="inlineStr">
        <is>
          <t>Electronics</t>
        </is>
      </c>
      <c r="C218" s="43">
        <f>SUMIFS(JB_R,JB_S,"[ALT_VIEW]",JB_B,1,JB_EX,"P-8a",JB_CE,"AN/SLQ-32 SEWIP V(7)",JB_R,"&lt;&gt;")+SUMIFS(JB_N,JB_S,"[ALT_VIEW]",JB_B,1,JB_EX,"P-8a",JB_CE,"AN/SLQ-32 SEWIP V(7)",JB_R,"",JB_N,"&lt;&gt;")+SUMIFS(JB_L,JB_S,"[ALT_VIEW]",JB_B,1,JB_EX,"P-8a",JB_CE,"AN/SLQ-32 SEWIP V(7)",JB_R,"",JB_N,"")</f>
        <v/>
      </c>
      <c r="D218" s="24" t="n">
        <v>1</v>
      </c>
      <c r="E218" s="20" t="inlineStr">
        <is>
          <t>DDG</t>
        </is>
      </c>
    </row>
    <row r="219" ht="10" customHeight="1">
      <c r="A219" s="24" t="inlineStr">
        <is>
          <t>VLS MK 41</t>
        </is>
      </c>
      <c r="B219" s="20" t="inlineStr">
        <is>
          <t>Ordnance</t>
        </is>
      </c>
      <c r="C219" s="43">
        <f>SUMIFS(JB_R,JB_S,"[ALT_VIEW]",JB_B,1,JB_EX,"P-8a",JB_CE,"VLS MK 41",JB_R,"&lt;&gt;")+SUMIFS(JB_N,JB_S,"[ALT_VIEW]",JB_B,1,JB_EX,"P-8a",JB_CE,"VLS MK 41",JB_R,"",JB_N,"&lt;&gt;")+SUMIFS(JB_L,JB_S,"[ALT_VIEW]",JB_B,1,JB_EX,"P-8a",JB_CE,"VLS MK 41",JB_R,"",JB_N,"")</f>
        <v/>
      </c>
      <c r="D219" s="24" t="n">
        <v>1</v>
      </c>
      <c r="E219" s="20" t="inlineStr">
        <is>
          <t>DDG</t>
        </is>
      </c>
    </row>
    <row r="220" ht="10" customHeight="1">
      <c r="A220" s="24" t="inlineStr">
        <is>
          <t>EXCOMM</t>
        </is>
      </c>
      <c r="B220" s="20" t="inlineStr">
        <is>
          <t>Electronics</t>
        </is>
      </c>
      <c r="C220" s="43">
        <f>SUMIFS(JB_R,JB_S,"[ALT_VIEW]",JB_B,1,JB_EX,"P-8a",JB_CE,"EXCOMM",JB_R,"&lt;&gt;")+SUMIFS(JB_N,JB_S,"[ALT_VIEW]",JB_B,1,JB_EX,"P-8a",JB_CE,"EXCOMM",JB_R,"",JB_N,"&lt;&gt;")+SUMIFS(JB_L,JB_S,"[ALT_VIEW]",JB_B,1,JB_EX,"P-8a",JB_CE,"EXCOMM",JB_R,"",JB_N,"")</f>
        <v/>
      </c>
      <c r="D220" s="24" t="n">
        <v>1</v>
      </c>
      <c r="E220" s="20" t="inlineStr">
        <is>
          <t>DDG</t>
        </is>
      </c>
    </row>
    <row r="221" ht="10" customHeight="1">
      <c r="A221" s="24" t="inlineStr">
        <is>
          <t>MISC. ORDNANCE</t>
        </is>
      </c>
      <c r="B221" s="20" t="inlineStr">
        <is>
          <t>Ordnance</t>
        </is>
      </c>
      <c r="C221" s="43">
        <f>SUMIFS(JB_R,JB_S,"[ALT_VIEW]",JB_B,1,JB_EX,"P-8a",JB_CE,"MISC. ORDNANCE",JB_R,"&lt;&gt;")+SUMIFS(JB_N,JB_S,"[ALT_VIEW]",JB_B,1,JB_EX,"P-8a",JB_CE,"MISC. ORDNANCE",JB_R,"",JB_N,"&lt;&gt;")+SUMIFS(JB_L,JB_S,"[ALT_VIEW]",JB_B,1,JB_EX,"P-8a",JB_CE,"MISC. ORDNANCE",JB_R,"",JB_N,"")</f>
        <v/>
      </c>
      <c r="D221" s="24" t="n">
        <v>1</v>
      </c>
      <c r="E221" s="20" t="inlineStr">
        <is>
          <t>DDG</t>
        </is>
      </c>
    </row>
    <row r="222" ht="10" customHeight="1">
      <c r="A222" s="24" t="inlineStr">
        <is>
          <t>SQQ 89 ASW</t>
        </is>
      </c>
      <c r="B222" s="20" t="inlineStr">
        <is>
          <t>Electronics</t>
        </is>
      </c>
      <c r="C222" s="43">
        <f>SUMIFS(JB_R,JB_S,"[ALT_VIEW]",JB_B,1,JB_EX,"P-8a",JB_CE,"SQQ 89 ASW",JB_R,"&lt;&gt;")+SUMIFS(JB_N,JB_S,"[ALT_VIEW]",JB_B,1,JB_EX,"P-8a",JB_CE,"SQQ 89 ASW",JB_R,"",JB_N,"&lt;&gt;")+SUMIFS(JB_L,JB_S,"[ALT_VIEW]",JB_B,1,JB_EX,"P-8a",JB_CE,"SQQ 89 ASW",JB_R,"",JB_N,"")</f>
        <v/>
      </c>
      <c r="D222" s="24" t="n">
        <v>1</v>
      </c>
      <c r="E222" s="20" t="inlineStr">
        <is>
          <t>DDG</t>
        </is>
      </c>
    </row>
    <row r="223" ht="10" customHeight="1">
      <c r="A223" s="24" t="inlineStr">
        <is>
          <t>Command, Control, Communication, Computer Intelligence Surveillance and Reconnaissance (C4ISR)</t>
        </is>
      </c>
      <c r="B223" s="20" t="inlineStr">
        <is>
          <t>Electronics</t>
        </is>
      </c>
      <c r="C223" s="43">
        <f>SUMIFS(JB_R,JB_S,"[ALT_VIEW]",JB_B,1,JB_EX,"P-8a",JB_CE,"Command, Control, Communication, Computer Intelligence Surveillance and Reconnaissance (C4ISR)",JB_R,"&lt;&gt;")+SUMIFS(JB_N,JB_S,"[ALT_VIEW]",JB_B,1,JB_EX,"P-8a",JB_CE,"Command, Control, Communication, Computer Intelligence Surveillance and Reconnaissance (C4ISR)",JB_R,"",JB_N,"&lt;&gt;")+SUMIFS(JB_L,JB_S,"[ALT_VIEW]",JB_B,1,JB_EX,"P-8a",JB_CE,"Command, Control, Communication, Computer Intelligence Surveillance and Reconnaissance (C4ISR)",JB_R,"",JB_N,"")</f>
        <v/>
      </c>
      <c r="D223" s="24" t="n">
        <v>1</v>
      </c>
      <c r="E223" s="20" t="inlineStr">
        <is>
          <t>LHA</t>
        </is>
      </c>
    </row>
    <row r="224" ht="10" customHeight="1">
      <c r="A224" s="24" t="inlineStr">
        <is>
          <t>Enterprise Air Surveillance Radar (EASR)</t>
        </is>
      </c>
      <c r="B224" s="20" t="inlineStr">
        <is>
          <t>Ordnance</t>
        </is>
      </c>
      <c r="C224" s="43">
        <f>SUMIFS(JB_R,JB_S,"[ALT_VIEW]",JB_B,1,JB_EX,"P-8a",JB_CE,"Enterprise Air Surveillance Radar (EASR)",JB_R,"&lt;&gt;")+SUMIFS(JB_N,JB_S,"[ALT_VIEW]",JB_B,1,JB_EX,"P-8a",JB_CE,"Enterprise Air Surveillance Radar (EASR)",JB_R,"",JB_N,"&lt;&gt;")+SUMIFS(JB_L,JB_S,"[ALT_VIEW]",JB_B,1,JB_EX,"P-8a",JB_CE,"Enterprise Air Surveillance Radar (EASR)",JB_R,"",JB_N,"")</f>
        <v/>
      </c>
      <c r="D224" s="24" t="n">
        <v>2</v>
      </c>
      <c r="E224" s="20" t="inlineStr">
        <is>
          <t>FFG, LHA</t>
        </is>
      </c>
    </row>
    <row r="225" ht="10" customHeight="1">
      <c r="A225" s="24" t="inlineStr">
        <is>
          <t>MISSION SYSTEM ENGR INTEGR &amp; TEST (MSEIT)</t>
        </is>
      </c>
      <c r="B225" s="20" t="inlineStr">
        <is>
          <t>Electronics</t>
        </is>
      </c>
      <c r="C225" s="43">
        <f>SUMIFS(JB_R,JB_S,"[ALT_VIEW]",JB_B,1,JB_EX,"P-8a",JB_CE,"MISSION SYSTEM ENGR INTEGR &amp; TEST (MSEIT)",JB_R,"&lt;&gt;")+SUMIFS(JB_N,JB_S,"[ALT_VIEW]",JB_B,1,JB_EX,"P-8a",JB_CE,"MISSION SYSTEM ENGR INTEGR &amp; TEST (MSEIT)",JB_R,"",JB_N,"&lt;&gt;")+SUMIFS(JB_L,JB_S,"[ALT_VIEW]",JB_B,1,JB_EX,"P-8a",JB_CE,"MISSION SYSTEM ENGR INTEGR &amp; TEST (MSEIT)",JB_R,"",JB_N,"")</f>
        <v/>
      </c>
      <c r="D225" s="24" t="n">
        <v>1</v>
      </c>
      <c r="E225" s="20" t="inlineStr">
        <is>
          <t>DDG</t>
        </is>
      </c>
    </row>
    <row r="226" ht="10" customHeight="1">
      <c r="A226" s="24" t="inlineStr">
        <is>
          <t>MISSION SYSTEM ACTIVATION</t>
        </is>
      </c>
      <c r="B226" s="20" t="inlineStr">
        <is>
          <t>Electronics</t>
        </is>
      </c>
      <c r="C226" s="43">
        <f>SUMIFS(JB_R,JB_S,"[ALT_VIEW]",JB_B,1,JB_EX,"P-8a",JB_CE,"MISSION SYSTEM ACTIVATION",JB_R,"&lt;&gt;")+SUMIFS(JB_N,JB_S,"[ALT_VIEW]",JB_B,1,JB_EX,"P-8a",JB_CE,"MISSION SYSTEM ACTIVATION",JB_R,"",JB_N,"&lt;&gt;")+SUMIFS(JB_L,JB_S,"[ALT_VIEW]",JB_B,1,JB_EX,"P-8a",JB_CE,"MISSION SYSTEM ACTIVATION",JB_R,"",JB_N,"")</f>
        <v/>
      </c>
      <c r="D226" s="24" t="n">
        <v>1</v>
      </c>
      <c r="E226" s="20" t="inlineStr">
        <is>
          <t>DDG</t>
        </is>
      </c>
    </row>
    <row r="227" ht="10" customHeight="1">
      <c r="A227" s="24" t="inlineStr">
        <is>
          <t>SHIP CONTROL SYSTEM (SCS)</t>
        </is>
      </c>
      <c r="B227" s="20" t="inlineStr">
        <is>
          <t>Electronics</t>
        </is>
      </c>
      <c r="C227" s="43">
        <f>SUMIFS(JB_R,JB_S,"[ALT_VIEW]",JB_B,1,JB_EX,"P-8a",JB_CE,"SHIP CONTROL SYSTEM (SCS)",JB_R,"&lt;&gt;")+SUMIFS(JB_N,JB_S,"[ALT_VIEW]",JB_B,1,JB_EX,"P-8a",JB_CE,"SHIP CONTROL SYSTEM (SCS)",JB_R,"",JB_N,"&lt;&gt;")+SUMIFS(JB_L,JB_S,"[ALT_VIEW]",JB_B,1,JB_EX,"P-8a",JB_CE,"SHIP CONTROL SYSTEM (SCS)",JB_R,"",JB_N,"")</f>
        <v/>
      </c>
      <c r="D227" s="24" t="n">
        <v>1</v>
      </c>
      <c r="E227" s="20" t="inlineStr">
        <is>
          <t>DDG</t>
        </is>
      </c>
    </row>
    <row r="228" ht="10" customHeight="1">
      <c r="A228" s="24" t="inlineStr">
        <is>
          <t>INTEGRATED UNDERSEA WARFARE (IUSW) SYSTEM</t>
        </is>
      </c>
      <c r="B228" s="20" t="inlineStr">
        <is>
          <t>Electronics</t>
        </is>
      </c>
      <c r="C228" s="43">
        <f>SUMIFS(JB_R,JB_S,"[ALT_VIEW]",JB_B,1,JB_EX,"P-8a",JB_CE,"INTEGRATED UNDERSEA WARFARE (IUSW) SYSTEM",JB_R,"&lt;&gt;")+SUMIFS(JB_N,JB_S,"[ALT_VIEW]",JB_B,1,JB_EX,"P-8a",JB_CE,"INTEGRATED UNDERSEA WARFARE (IUSW) SYSTEM",JB_R,"",JB_N,"&lt;&gt;")+SUMIFS(JB_L,JB_S,"[ALT_VIEW]",JB_B,1,JB_EX,"P-8a",JB_CE,"INTEGRATED UNDERSEA WARFARE (IUSW) SYSTEM",JB_R,"",JB_N,"")</f>
        <v/>
      </c>
      <c r="D228" s="24" t="n">
        <v>1</v>
      </c>
      <c r="E228" s="20" t="inlineStr">
        <is>
          <t>DDG</t>
        </is>
      </c>
    </row>
    <row r="229" ht="10" customHeight="1">
      <c r="A229" s="24" t="inlineStr">
        <is>
          <t>MISC. ELECTRONICS</t>
        </is>
      </c>
      <c r="B229" s="20" t="inlineStr">
        <is>
          <t>Electronics</t>
        </is>
      </c>
      <c r="C229" s="43">
        <f>SUMIFS(JB_R,JB_S,"[ALT_VIEW]",JB_B,1,JB_EX,"P-8a",JB_CE,"MISC. ELECTRONICS",JB_R,"&lt;&gt;")+SUMIFS(JB_N,JB_S,"[ALT_VIEW]",JB_B,1,JB_EX,"P-8a",JB_CE,"MISC. ELECTRONICS",JB_R,"",JB_N,"&lt;&gt;")+SUMIFS(JB_L,JB_S,"[ALT_VIEW]",JB_B,1,JB_EX,"P-8a",JB_CE,"MISC. ELECTRONICS",JB_R,"",JB_N,"")</f>
        <v/>
      </c>
      <c r="D229" s="24" t="n">
        <v>1</v>
      </c>
      <c r="E229" s="20" t="inlineStr">
        <is>
          <t>DDG</t>
        </is>
      </c>
    </row>
    <row r="230" ht="10" customHeight="1">
      <c r="A230" s="24" t="inlineStr">
        <is>
          <t>AEGIS Weapon System (AWS)</t>
        </is>
      </c>
      <c r="B230" s="20" t="inlineStr">
        <is>
          <t>Electronics</t>
        </is>
      </c>
      <c r="C230" s="43">
        <f>SUMIFS(JB_R,JB_S,"[ALT_VIEW]",JB_B,1,JB_EX,"P-8a",JB_CE,"AEGIS Weapon System (AWS)",JB_R,"&lt;&gt;")+SUMIFS(JB_N,JB_S,"[ALT_VIEW]",JB_B,1,JB_EX,"P-8a",JB_CE,"AEGIS Weapon System (AWS)",JB_R,"",JB_N,"&lt;&gt;")+SUMIFS(JB_L,JB_S,"[ALT_VIEW]",JB_B,1,JB_EX,"P-8a",JB_CE,"AEGIS Weapon System (AWS)",JB_R,"",JB_N,"")</f>
        <v/>
      </c>
      <c r="D230" s="24" t="n">
        <v>1</v>
      </c>
      <c r="E230" s="20" t="inlineStr">
        <is>
          <t>FFG</t>
        </is>
      </c>
    </row>
    <row r="231" ht="10" customHeight="1">
      <c r="A231" s="24" t="inlineStr">
        <is>
          <t>MK 45 Light Weight Gun (LWG)</t>
        </is>
      </c>
      <c r="B231" s="20" t="inlineStr">
        <is>
          <t>Ordnance</t>
        </is>
      </c>
      <c r="C231" s="43">
        <f>SUMIFS(JB_R,JB_S,"[ALT_VIEW]",JB_B,1,JB_EX,"P-8a",JB_CE,"MK 45 Light Weight Gun (LWG)",JB_R,"&lt;&gt;")+SUMIFS(JB_N,JB_S,"[ALT_VIEW]",JB_B,1,JB_EX,"P-8a",JB_CE,"MK 45 Light Weight Gun (LWG)",JB_R,"",JB_N,"&lt;&gt;")+SUMIFS(JB_L,JB_S,"[ALT_VIEW]",JB_B,1,JB_EX,"P-8a",JB_CE,"MK 45 Light Weight Gun (LWG)",JB_R,"",JB_N,"")</f>
        <v/>
      </c>
      <c r="D231" s="24" t="n">
        <v>1</v>
      </c>
      <c r="E231" s="20" t="inlineStr">
        <is>
          <t>DDG</t>
        </is>
      </c>
    </row>
    <row r="232" ht="10" customHeight="1">
      <c r="A232" s="24" t="inlineStr">
        <is>
          <t>Surveillance Towed Array Sensor System (SURTASS)</t>
        </is>
      </c>
      <c r="B232" s="20" t="inlineStr">
        <is>
          <t>Electronics</t>
        </is>
      </c>
      <c r="C232" s="43">
        <f>SUMIFS(JB_R,JB_S,"[ALT_VIEW]",JB_B,1,JB_EX,"P-8a",JB_CE,"Surveillance Towed Array Sensor System (SURTASS)",JB_R,"&lt;&gt;")+SUMIFS(JB_N,JB_S,"[ALT_VIEW]",JB_B,1,JB_EX,"P-8a",JB_CE,"Surveillance Towed Array Sensor System (SURTASS)",JB_R,"",JB_N,"&lt;&gt;")+SUMIFS(JB_L,JB_S,"[ALT_VIEW]",JB_B,1,JB_EX,"P-8a",JB_CE,"Surveillance Towed Array Sensor System (SURTASS)",JB_R,"",JB_N,"")</f>
        <v/>
      </c>
      <c r="D232" s="24" t="n">
        <v>1</v>
      </c>
      <c r="E232" s="20" t="inlineStr">
        <is>
          <t>T-AGOS</t>
        </is>
      </c>
    </row>
    <row r="233" ht="10" customHeight="1">
      <c r="A233" s="24" t="inlineStr">
        <is>
          <t>C4ISR</t>
        </is>
      </c>
      <c r="B233" s="20" t="inlineStr">
        <is>
          <t>Electronics</t>
        </is>
      </c>
      <c r="C233" s="43">
        <f>SUMIFS(JB_R,JB_S,"[ALT_VIEW]",JB_B,1,JB_EX,"P-8a",JB_CE,"C4ISR",JB_R,"&lt;&gt;")+SUMIFS(JB_N,JB_S,"[ALT_VIEW]",JB_B,1,JB_EX,"P-8a",JB_CE,"C4ISR",JB_R,"",JB_N,"&lt;&gt;")+SUMIFS(JB_L,JB_S,"[ALT_VIEW]",JB_B,1,JB_EX,"P-8a",JB_CE,"C4ISR",JB_R,"",JB_N,"")</f>
        <v/>
      </c>
      <c r="D233" s="24" t="n">
        <v>1</v>
      </c>
      <c r="E233" s="20" t="inlineStr">
        <is>
          <t>LPD</t>
        </is>
      </c>
    </row>
    <row r="234" ht="10" customHeight="1">
      <c r="A234" s="24" t="inlineStr">
        <is>
          <t>EXTERIOR COMMUNICATIONS (EXCOMMS)</t>
        </is>
      </c>
      <c r="B234" s="20" t="inlineStr">
        <is>
          <t>Electronics</t>
        </is>
      </c>
      <c r="C234" s="43">
        <f>SUMIFS(JB_R,JB_S,"[ALT_VIEW]",JB_B,1,JB_EX,"P-8a",JB_CE,"EXTERIOR COMMUNICATIONS (EXCOMMS)",JB_R,"&lt;&gt;")+SUMIFS(JB_N,JB_S,"[ALT_VIEW]",JB_B,1,JB_EX,"P-8a",JB_CE,"EXTERIOR COMMUNICATIONS (EXCOMMS)",JB_R,"",JB_N,"&lt;&gt;")+SUMIFS(JB_L,JB_S,"[ALT_VIEW]",JB_B,1,JB_EX,"P-8a",JB_CE,"EXTERIOR COMMUNICATIONS (EXCOMMS)",JB_R,"",JB_N,"")</f>
        <v/>
      </c>
      <c r="D234" s="24" t="n">
        <v>1</v>
      </c>
      <c r="E234" s="20" t="inlineStr">
        <is>
          <t>DDG</t>
        </is>
      </c>
    </row>
    <row r="235" ht="10" customHeight="1">
      <c r="A235" s="24" t="inlineStr">
        <is>
          <t>SPECTRAL</t>
        </is>
      </c>
      <c r="B235" s="20" t="inlineStr">
        <is>
          <t>Electronics</t>
        </is>
      </c>
      <c r="C235" s="43">
        <f>SUMIFS(JB_R,JB_S,"[ALT_VIEW]",JB_B,1,JB_EX,"P-8a",JB_CE,"SPECTRAL",JB_R,"&lt;&gt;")+SUMIFS(JB_N,JB_S,"[ALT_VIEW]",JB_B,1,JB_EX,"P-8a",JB_CE,"SPECTRAL",JB_R,"",JB_N,"&lt;&gt;")+SUMIFS(JB_L,JB_S,"[ALT_VIEW]",JB_B,1,JB_EX,"P-8a",JB_CE,"SPECTRAL",JB_R,"",JB_N,"")</f>
        <v/>
      </c>
      <c r="D235" s="24" t="n">
        <v>1</v>
      </c>
      <c r="E235" s="20" t="inlineStr">
        <is>
          <t>DDG</t>
        </is>
      </c>
    </row>
    <row r="236" ht="10" customHeight="1">
      <c r="A236" s="24" t="inlineStr">
        <is>
          <t>Anti-Submarine Warfare (ASW) Combat Suite</t>
        </is>
      </c>
      <c r="B236" s="20" t="inlineStr">
        <is>
          <t>Electronics</t>
        </is>
      </c>
      <c r="C236" s="43">
        <f>SUMIFS(JB_R,JB_S,"[ALT_VIEW]",JB_B,1,JB_EX,"P-8a",JB_CE,"Anti-Submarine Warfare (ASW) Combat Suite",JB_R,"&lt;&gt;")+SUMIFS(JB_N,JB_S,"[ALT_VIEW]",JB_B,1,JB_EX,"P-8a",JB_CE,"Anti-Submarine Warfare (ASW) Combat Suite",JB_R,"",JB_N,"&lt;&gt;")+SUMIFS(JB_L,JB_S,"[ALT_VIEW]",JB_B,1,JB_EX,"P-8a",JB_CE,"Anti-Submarine Warfare (ASW) Combat Suite",JB_R,"",JB_N,"")</f>
        <v/>
      </c>
      <c r="D236" s="24" t="n">
        <v>1</v>
      </c>
      <c r="E236" s="20" t="inlineStr">
        <is>
          <t>FFG</t>
        </is>
      </c>
    </row>
    <row r="237" ht="10" customHeight="1">
      <c r="A237" s="24" t="inlineStr">
        <is>
          <t>DDG 1002 TSCE MODERNIZATION</t>
        </is>
      </c>
      <c r="B237" s="20" t="inlineStr">
        <is>
          <t>Electronics</t>
        </is>
      </c>
      <c r="C237" s="43">
        <f>SUMIFS(JB_R,JB_S,"[ALT_VIEW]",JB_B,1,JB_EX,"P-8a",JB_CE,"DDG 1002 TSCE MODERNIZATION",JB_R,"&lt;&gt;")+SUMIFS(JB_N,JB_S,"[ALT_VIEW]",JB_B,1,JB_EX,"P-8a",JB_CE,"DDG 1002 TSCE MODERNIZATION",JB_R,"",JB_N,"&lt;&gt;")+SUMIFS(JB_L,JB_S,"[ALT_VIEW]",JB_B,1,JB_EX,"P-8a",JB_CE,"DDG 1002 TSCE MODERNIZATION",JB_R,"",JB_N,"")</f>
        <v/>
      </c>
      <c r="D237" s="24" t="n">
        <v>1</v>
      </c>
      <c r="E237" s="20" t="inlineStr">
        <is>
          <t>DDG</t>
        </is>
      </c>
    </row>
    <row r="238" ht="10" customHeight="1">
      <c r="A238" s="24" t="inlineStr">
        <is>
          <t>MK 41 Vertical Launch System (VLS)- 32 Cell</t>
        </is>
      </c>
      <c r="B238" s="20" t="inlineStr">
        <is>
          <t>Ordnance</t>
        </is>
      </c>
      <c r="C238" s="43">
        <f>SUMIFS(JB_R,JB_S,"[ALT_VIEW]",JB_B,1,JB_EX,"P-8a",JB_CE,"MK 41 Vertical Launch System (VLS)- 32 Cell",JB_R,"&lt;&gt;")+SUMIFS(JB_N,JB_S,"[ALT_VIEW]",JB_B,1,JB_EX,"P-8a",JB_CE,"MK 41 Vertical Launch System (VLS)- 32 Cell",JB_R,"",JB_N,"&lt;&gt;")+SUMIFS(JB_L,JB_S,"[ALT_VIEW]",JB_B,1,JB_EX,"P-8a",JB_CE,"MK 41 Vertical Launch System (VLS)- 32 Cell",JB_R,"",JB_N,"")</f>
        <v/>
      </c>
      <c r="D238" s="24" t="n">
        <v>1</v>
      </c>
      <c r="E238" s="20" t="inlineStr">
        <is>
          <t>FFG</t>
        </is>
      </c>
    </row>
    <row r="239" ht="10" customHeight="1">
      <c r="A239" s="24" t="inlineStr">
        <is>
          <t>MISC. HM&amp;E</t>
        </is>
      </c>
      <c r="B239" s="20" t="inlineStr">
        <is>
          <t>Hull, Mechanical, and Electrical</t>
        </is>
      </c>
      <c r="C239" s="43">
        <f>SUMIFS(JB_R,JB_S,"[ALT_VIEW]",JB_B,1,JB_EX,"P-8a",JB_CE,"MISC. HM&amp;E",JB_R,"&lt;&gt;")+SUMIFS(JB_N,JB_S,"[ALT_VIEW]",JB_B,1,JB_EX,"P-8a",JB_CE,"MISC. HM&amp;E",JB_R,"",JB_N,"&lt;&gt;")+SUMIFS(JB_L,JB_S,"[ALT_VIEW]",JB_B,1,JB_EX,"P-8a",JB_CE,"MISC. HM&amp;E",JB_R,"",JB_N,"")</f>
        <v/>
      </c>
      <c r="D239" s="24" t="n">
        <v>1</v>
      </c>
      <c r="E239" s="20" t="inlineStr">
        <is>
          <t>DDG</t>
        </is>
      </c>
    </row>
    <row r="240" ht="10" customHeight="1">
      <c r="A240" s="24" t="inlineStr">
        <is>
          <t>MK 37 TOMAHAWK</t>
        </is>
      </c>
      <c r="B240" s="20" t="inlineStr">
        <is>
          <t>Ordnance</t>
        </is>
      </c>
      <c r="C240" s="43">
        <f>SUMIFS(JB_R,JB_S,"[ALT_VIEW]",JB_B,1,JB_EX,"P-8a",JB_CE,"MK 37 TOMAHAWK",JB_R,"&lt;&gt;")+SUMIFS(JB_N,JB_S,"[ALT_VIEW]",JB_B,1,JB_EX,"P-8a",JB_CE,"MK 37 TOMAHAWK",JB_R,"",JB_N,"&lt;&gt;")+SUMIFS(JB_L,JB_S,"[ALT_VIEW]",JB_B,1,JB_EX,"P-8a",JB_CE,"MK 37 TOMAHAWK",JB_R,"",JB_N,"")</f>
        <v/>
      </c>
      <c r="D240" s="24" t="n">
        <v>1</v>
      </c>
      <c r="E240" s="20" t="inlineStr">
        <is>
          <t>DDG</t>
        </is>
      </c>
    </row>
    <row r="241" ht="10" customHeight="1">
      <c r="A241" s="24" t="inlineStr">
        <is>
          <t>USQ 82(V) GEDMS</t>
        </is>
      </c>
      <c r="B241" s="20" t="inlineStr">
        <is>
          <t>Electronics</t>
        </is>
      </c>
      <c r="C241" s="43">
        <f>SUMIFS(JB_R,JB_S,"[ALT_VIEW]",JB_B,1,JB_EX,"P-8a",JB_CE,"USQ 82(V) GEDMS",JB_R,"&lt;&gt;")+SUMIFS(JB_N,JB_S,"[ALT_VIEW]",JB_B,1,JB_EX,"P-8a",JB_CE,"USQ 82(V) GEDMS",JB_R,"",JB_N,"&lt;&gt;")+SUMIFS(JB_L,JB_S,"[ALT_VIEW]",JB_B,1,JB_EX,"P-8a",JB_CE,"USQ 82(V) GEDMS",JB_R,"",JB_N,"")</f>
        <v/>
      </c>
      <c r="D241" s="24" t="n">
        <v>1</v>
      </c>
      <c r="E241" s="20" t="inlineStr">
        <is>
          <t>DDG</t>
        </is>
      </c>
    </row>
    <row r="242" ht="10" customHeight="1">
      <c r="A242" s="26" t="inlineStr">
        <is>
          <t>Total (top systems)</t>
        </is>
      </c>
      <c r="B242" s="28" t="n"/>
      <c r="C242" s="27">
        <f>SUM(C212:C241)</f>
        <v/>
      </c>
      <c r="D242" s="28" t="n"/>
      <c r="E242" s="28" t="n"/>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18" t="inlineStr">
        <is>
          <t>MRO TAM — FY2026 ($K)</t>
        </is>
      </c>
      <c r="B1" s="19" t="n"/>
      <c r="C1" s="19" t="n"/>
      <c r="D1" s="19" t="n"/>
      <c r="E1" s="19" t="n"/>
      <c r="F1" s="19" t="n"/>
      <c r="G1" s="19" t="n"/>
      <c r="H1" s="19" t="n"/>
      <c r="I1" s="19" t="n"/>
      <c r="J1" s="19" t="n"/>
      <c r="K1" s="19" t="n"/>
      <c r="L1" s="19" t="n"/>
    </row>
    <row r="2" ht="10" customHeight="1">
      <c r="A2" s="20" t="inlineStr">
        <is>
          <t>MRO &amp; sustainment scoped to Combatant Ships, Auxiliary Ships, USCG Cutters &amp; Unmanned Platforms</t>
        </is>
      </c>
    </row>
    <row r="3" ht="10" customHeight="1"/>
    <row r="4" ht="10" customHeight="1">
      <c r="A4" s="21" t="inlineStr">
        <is>
          <t>(A) Bridge: Total MRO Funding → MRO TAM</t>
        </is>
      </c>
      <c r="B4" s="22" t="n"/>
    </row>
    <row r="5" ht="10" customHeight="1">
      <c r="A5" s="24" t="inlineStr">
        <is>
          <t>Total MRO Funding (Buckets 2–7)</t>
        </is>
      </c>
      <c r="B5" s="2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24" t="inlineStr">
        <is>
          <t xml:space="preserve">  Less: Unattributed (fleet-wide MRO items)</t>
        </is>
      </c>
      <c r="B6" s="2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24" t="inlineStr">
        <is>
          <t xml:space="preserve">  Less: Combatant Crafts</t>
        </is>
      </c>
      <c r="B7" s="2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24" t="inlineStr">
        <is>
          <t xml:space="preserve">  Less: Support Crafts</t>
        </is>
      </c>
      <c r="B8" s="2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26" t="inlineStr">
        <is>
          <t>MRO TAM</t>
        </is>
      </c>
      <c r="B9" s="27">
        <f>B20</f>
        <v/>
      </c>
    </row>
    <row r="10" ht="10" customHeight="1"/>
    <row r="11" ht="10" customHeight="1"/>
    <row r="12" ht="10" customHeight="1">
      <c r="A12" s="21" t="inlineStr">
        <is>
          <t>(B) MRO TAM by Work Type</t>
        </is>
      </c>
      <c r="B12" s="22" t="n"/>
      <c r="C12" s="22" t="n"/>
    </row>
    <row r="13" ht="10" customHeight="1">
      <c r="A13" s="23" t="inlineStr">
        <is>
          <t>Work Type</t>
        </is>
      </c>
      <c r="B13" s="23" t="inlineStr">
        <is>
          <t>FY2026 ($K)</t>
        </is>
      </c>
      <c r="C13" s="23" t="inlineStr">
        <is>
          <t>% of TAM</t>
        </is>
      </c>
    </row>
    <row r="14" ht="10" customHeight="1">
      <c r="A14" s="24" t="inlineStr">
        <is>
          <t>Scheduled Depot Maintenance</t>
        </is>
      </c>
      <c r="B14" s="2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31">
        <f>IFERROR(B14/B$20,0)</f>
        <v/>
      </c>
    </row>
    <row r="15" ht="10" customHeight="1">
      <c r="A15" s="24" t="inlineStr">
        <is>
          <t>Continuous / Emergent Maintenance</t>
        </is>
      </c>
      <c r="B15" s="2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31">
        <f>IFERROR(B15/B$20,0)</f>
        <v/>
      </c>
    </row>
    <row r="16" ht="10" customHeight="1">
      <c r="A16" s="24" t="inlineStr">
        <is>
          <t>Modernization</t>
        </is>
      </c>
      <c r="B16" s="2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31">
        <f>IFERROR(B16/B$20,0)</f>
        <v/>
      </c>
    </row>
    <row r="17" ht="10" customHeight="1">
      <c r="A17" s="24" t="inlineStr">
        <is>
          <t>Major Life-Cycle Events / RCOH</t>
        </is>
      </c>
      <c r="B17" s="2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31">
        <f>IFERROR(B17/B$20,0)</f>
        <v/>
      </c>
    </row>
    <row r="18" ht="10" customHeight="1">
      <c r="A18" s="24" t="inlineStr">
        <is>
          <t>Sustainment Engineering</t>
        </is>
      </c>
      <c r="B18" s="2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31">
        <f>IFERROR(B18/B$20,0)</f>
        <v/>
      </c>
    </row>
    <row r="19" ht="10" customHeight="1">
      <c r="A19" s="24" t="inlineStr">
        <is>
          <t>Availability Support</t>
        </is>
      </c>
      <c r="B19" s="2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31">
        <f>IFERROR(B19/B$20,0)</f>
        <v/>
      </c>
    </row>
    <row r="20" ht="10" customHeight="1">
      <c r="A20" s="26" t="inlineStr">
        <is>
          <t>MRO TAM</t>
        </is>
      </c>
      <c r="B20" s="27">
        <f>SUM(B14:B19)</f>
        <v/>
      </c>
      <c r="C20" s="32" t="n">
        <v>1</v>
      </c>
    </row>
    <row r="21" ht="10" customHeight="1"/>
    <row r="22" ht="10" customHeight="1"/>
    <row r="23" ht="10" customHeight="1">
      <c r="A23" s="21" t="inlineStr">
        <is>
          <t>(C) MRO TAM by Vessel Type</t>
        </is>
      </c>
      <c r="B23" s="22" t="n"/>
      <c r="C23" s="22" t="n"/>
      <c r="D23" s="22" t="n"/>
    </row>
    <row r="24" ht="10" customHeight="1">
      <c r="A24" s="23" t="inlineStr">
        <is>
          <t>Vessel Type</t>
        </is>
      </c>
      <c r="B24" s="23" t="inlineStr">
        <is>
          <t>Service</t>
        </is>
      </c>
      <c r="C24" s="23" t="inlineStr">
        <is>
          <t>FY2026 ($K)</t>
        </is>
      </c>
      <c r="D24" s="23" t="inlineStr">
        <is>
          <t>% of TAM</t>
        </is>
      </c>
    </row>
    <row r="25" ht="10" customHeight="1">
      <c r="A25" s="24" t="inlineStr">
        <is>
          <t>Submarines</t>
        </is>
      </c>
      <c r="B25" s="24" t="inlineStr">
        <is>
          <t>USN</t>
        </is>
      </c>
      <c r="C25" s="2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31">
        <f>IFERROR(C25/C$53,0)</f>
        <v/>
      </c>
    </row>
    <row r="26" ht="10" customHeight="1">
      <c r="A26" s="24" t="inlineStr">
        <is>
          <t>Surface Combatants</t>
        </is>
      </c>
      <c r="B26" s="24" t="inlineStr">
        <is>
          <t>USN</t>
        </is>
      </c>
      <c r="C26" s="2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31">
        <f>IFERROR(C26/C$53,0)</f>
        <v/>
      </c>
    </row>
    <row r="27" ht="10" customHeight="1">
      <c r="A27" s="24" t="inlineStr">
        <is>
          <t>Aircraft Carriers</t>
        </is>
      </c>
      <c r="B27" s="24" t="inlineStr">
        <is>
          <t>USN</t>
        </is>
      </c>
      <c r="C27" s="2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31">
        <f>IFERROR(C27/C$53,0)</f>
        <v/>
      </c>
    </row>
    <row r="28" ht="10" customHeight="1">
      <c r="A28" s="24" t="inlineStr">
        <is>
          <t>Amphibious Warfare Ships</t>
        </is>
      </c>
      <c r="B28" s="24" t="inlineStr">
        <is>
          <t>USN</t>
        </is>
      </c>
      <c r="C28" s="2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31">
        <f>IFERROR(C28/C$53,0)</f>
        <v/>
      </c>
    </row>
    <row r="29" ht="10" customHeight="1">
      <c r="A29" s="24" t="inlineStr">
        <is>
          <t>Expeditionary &amp; Seabasing Ships</t>
        </is>
      </c>
      <c r="B29" s="24" t="inlineStr">
        <is>
          <t>USN</t>
        </is>
      </c>
      <c r="C29" s="2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31">
        <f>IFERROR(C29/C$53,0)</f>
        <v/>
      </c>
    </row>
    <row r="30" ht="10" customHeight="1">
      <c r="A30" s="24" t="inlineStr">
        <is>
          <t>Command Ships</t>
        </is>
      </c>
      <c r="B30" s="24" t="inlineStr">
        <is>
          <t>USN</t>
        </is>
      </c>
      <c r="C30" s="2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31">
        <f>IFERROR(C30/C$53,0)</f>
        <v/>
      </c>
    </row>
    <row r="31" ht="10" customHeight="1">
      <c r="A31" s="24" t="inlineStr">
        <is>
          <t>Surveillance Ships</t>
        </is>
      </c>
      <c r="B31" s="24" t="inlineStr">
        <is>
          <t>USN</t>
        </is>
      </c>
      <c r="C31" s="2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31">
        <f>IFERROR(C31/C$53,0)</f>
        <v/>
      </c>
    </row>
    <row r="32" ht="10" customHeight="1">
      <c r="A32" s="24" t="inlineStr">
        <is>
          <t>Mine Warfare</t>
        </is>
      </c>
      <c r="B32" s="24" t="inlineStr">
        <is>
          <t>USN</t>
        </is>
      </c>
      <c r="C32" s="2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31">
        <f>IFERROR(C32/C$53,0)</f>
        <v/>
      </c>
    </row>
    <row r="33" ht="10" customHeight="1">
      <c r="A33" s="24" t="inlineStr">
        <is>
          <t>Crane Ship</t>
        </is>
      </c>
      <c r="B33" s="24" t="inlineStr">
        <is>
          <t>USN</t>
        </is>
      </c>
      <c r="C33" s="2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3" s="31">
        <f>IFERROR(C33/C$53,0)</f>
        <v/>
      </c>
    </row>
    <row r="34" ht="10" customHeight="1">
      <c r="A34" s="24" t="inlineStr">
        <is>
          <t>Material Support Ships</t>
        </is>
      </c>
      <c r="B34" s="24" t="inlineStr">
        <is>
          <t>USN</t>
        </is>
      </c>
      <c r="C34" s="2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34" s="31">
        <f>IFERROR(C34/C$53,0)</f>
        <v/>
      </c>
    </row>
    <row r="35" ht="10" customHeight="1">
      <c r="A35" s="24" t="inlineStr">
        <is>
          <t>Aviation Logistics Support Ship</t>
        </is>
      </c>
      <c r="B35" s="24" t="inlineStr">
        <is>
          <t>USN</t>
        </is>
      </c>
      <c r="C35" s="2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5" s="31">
        <f>IFERROR(C35/C$53,0)</f>
        <v/>
      </c>
    </row>
    <row r="36" ht="10" customHeight="1">
      <c r="A36" s="24" t="inlineStr">
        <is>
          <t>Unmanned Undersea Vehicles</t>
        </is>
      </c>
      <c r="B36" s="24" t="inlineStr">
        <is>
          <t>USN</t>
        </is>
      </c>
      <c r="C36" s="2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36" s="31">
        <f>IFERROR(C36/C$53,0)</f>
        <v/>
      </c>
    </row>
    <row r="37" ht="10" customHeight="1">
      <c r="A37" s="24" t="inlineStr">
        <is>
          <t>High Speed Transport</t>
        </is>
      </c>
      <c r="B37" s="24" t="inlineStr">
        <is>
          <t>USN</t>
        </is>
      </c>
      <c r="C37" s="2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7" s="31">
        <f>IFERROR(C37/C$53,0)</f>
        <v/>
      </c>
    </row>
    <row r="38" ht="10" customHeight="1">
      <c r="A38" s="24" t="inlineStr">
        <is>
          <t>Combat Logistics Ships</t>
        </is>
      </c>
      <c r="B38" s="24" t="inlineStr">
        <is>
          <t>MSC</t>
        </is>
      </c>
      <c r="C38" s="2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8" s="31">
        <f>IFERROR(C38/C$53,0)</f>
        <v/>
      </c>
    </row>
    <row r="39" ht="10" customHeight="1">
      <c r="A39" s="24" t="inlineStr">
        <is>
          <t>Salvage Ships &amp; Fleet Ocean Tugs</t>
        </is>
      </c>
      <c r="B39" s="24" t="inlineStr">
        <is>
          <t>MSC</t>
        </is>
      </c>
      <c r="C39" s="2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9" s="31">
        <f>IFERROR(C39/C$53,0)</f>
        <v/>
      </c>
    </row>
    <row r="40" ht="10" customHeight="1">
      <c r="A40" s="24" t="inlineStr">
        <is>
          <t>Cargo &amp; Vehicle Cargo Ships</t>
        </is>
      </c>
      <c r="B40" s="24" t="inlineStr">
        <is>
          <t>USN</t>
        </is>
      </c>
      <c r="C40" s="2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40" s="31">
        <f>IFERROR(C40/C$53,0)</f>
        <v/>
      </c>
    </row>
    <row r="41" ht="10" customHeight="1">
      <c r="A41" s="24" t="inlineStr">
        <is>
          <t>Hospital Ship</t>
        </is>
      </c>
      <c r="B41" s="24" t="inlineStr">
        <is>
          <t>MSC</t>
        </is>
      </c>
      <c r="C41" s="2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1" s="31">
        <f>IFERROR(C41/C$53,0)</f>
        <v/>
      </c>
    </row>
    <row r="42" ht="10" customHeight="1">
      <c r="A42" s="24" t="inlineStr">
        <is>
          <t>Submarine Escort Ship</t>
        </is>
      </c>
      <c r="B42" s="24" t="inlineStr">
        <is>
          <t>USN</t>
        </is>
      </c>
      <c r="C42" s="2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42" s="31">
        <f>IFERROR(C42/C$53,0)</f>
        <v/>
      </c>
    </row>
    <row r="43" ht="10" customHeight="1">
      <c r="A43" s="24" t="inlineStr">
        <is>
          <t>Unmanned Surface Vehicles</t>
        </is>
      </c>
      <c r="B43" s="24" t="inlineStr">
        <is>
          <t>USN</t>
        </is>
      </c>
      <c r="C43" s="2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43" s="31">
        <f>IFERROR(C43/C$53,0)</f>
        <v/>
      </c>
    </row>
    <row r="44" ht="10" customHeight="1">
      <c r="A44" s="24" t="inlineStr">
        <is>
          <t>Research, Survey &amp; Instrumentation Ships</t>
        </is>
      </c>
      <c r="B44" s="24" t="inlineStr">
        <is>
          <t>MSC</t>
        </is>
      </c>
      <c r="C44" s="2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44" s="31">
        <f>IFERROR(C44/C$53,0)</f>
        <v/>
      </c>
    </row>
    <row r="45" ht="10" customHeight="1">
      <c r="A45" s="24" t="inlineStr">
        <is>
          <t>General Auxiliary</t>
        </is>
      </c>
      <c r="B45" s="24" t="inlineStr">
        <is>
          <t>USN</t>
        </is>
      </c>
      <c r="C45" s="2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5" s="31">
        <f>IFERROR(C45/C$53,0)</f>
        <v/>
      </c>
    </row>
    <row r="46" ht="10" customHeight="1">
      <c r="A46" s="24" t="inlineStr">
        <is>
          <t>National Security Cutters</t>
        </is>
      </c>
      <c r="B46" s="24" t="inlineStr">
        <is>
          <t>USCG</t>
        </is>
      </c>
      <c r="C46" s="2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31">
        <f>IFERROR(C46/C$53,0)</f>
        <v/>
      </c>
    </row>
    <row r="47" ht="10" customHeight="1">
      <c r="A47" s="24" t="inlineStr">
        <is>
          <t>Offshore Patrol Cutter</t>
        </is>
      </c>
      <c r="B47" s="24" t="inlineStr">
        <is>
          <t>USCG</t>
        </is>
      </c>
      <c r="C47" s="2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7" s="31">
        <f>IFERROR(C47/C$53,0)</f>
        <v/>
      </c>
    </row>
    <row r="48" ht="10" customHeight="1">
      <c r="A48" s="24" t="inlineStr">
        <is>
          <t>Fast Response Cutters</t>
        </is>
      </c>
      <c r="B48" s="24" t="inlineStr">
        <is>
          <t>USCG</t>
        </is>
      </c>
      <c r="C48" s="2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8" s="31">
        <f>IFERROR(C48/C$53,0)</f>
        <v/>
      </c>
    </row>
    <row r="49" ht="10" customHeight="1">
      <c r="A49" s="24" t="inlineStr">
        <is>
          <t>Icebreakers, Oceangoing</t>
        </is>
      </c>
      <c r="B49" s="24" t="inlineStr">
        <is>
          <t>USCG</t>
        </is>
      </c>
      <c r="C49" s="2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9" s="31">
        <f>IFERROR(C49/C$53,0)</f>
        <v/>
      </c>
    </row>
    <row r="50" ht="10" customHeight="1">
      <c r="A50" s="24" t="inlineStr">
        <is>
          <t>Waterways Commerce Cutters</t>
        </is>
      </c>
      <c r="B50" s="24" t="inlineStr">
        <is>
          <t>USCG</t>
        </is>
      </c>
      <c r="C50" s="2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50" s="31">
        <f>IFERROR(C50/C$53,0)</f>
        <v/>
      </c>
    </row>
    <row r="51" ht="10" customHeight="1">
      <c r="A51" s="24" t="inlineStr">
        <is>
          <t>Icebreakers, Great Lakes</t>
        </is>
      </c>
      <c r="B51" s="24" t="inlineStr">
        <is>
          <t>USCG</t>
        </is>
      </c>
      <c r="C51" s="2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51" s="31">
        <f>IFERROR(C51/C$53,0)</f>
        <v/>
      </c>
    </row>
    <row r="52" ht="10" customHeight="1">
      <c r="A52" s="24" t="inlineStr">
        <is>
          <t>Coastal Buoy Tenders</t>
        </is>
      </c>
      <c r="B52" s="24" t="inlineStr">
        <is>
          <t>USCG</t>
        </is>
      </c>
      <c r="C52" s="2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2" s="31">
        <f>IFERROR(C52/C$53,0)</f>
        <v/>
      </c>
    </row>
    <row r="53" ht="10" customHeight="1">
      <c r="A53" s="26" t="inlineStr">
        <is>
          <t>MRO TAM</t>
        </is>
      </c>
      <c r="B53" s="26" t="inlineStr"/>
      <c r="C53" s="27">
        <f>SUM(C25:C52)</f>
        <v/>
      </c>
      <c r="D53" s="32" t="n">
        <v>1</v>
      </c>
    </row>
    <row r="54" ht="10" customHeight="1"/>
    <row r="55" ht="10" customHeight="1"/>
    <row r="56" ht="10" customHeight="1">
      <c r="A56" s="21" t="inlineStr">
        <is>
          <t>(D) MRO TAM — Work Type by Vessel Type (Mekko)</t>
        </is>
      </c>
      <c r="B56" s="22" t="n"/>
      <c r="C56" s="22" t="n"/>
      <c r="D56" s="22" t="n"/>
      <c r="E56" s="22" t="n"/>
      <c r="F56" s="22" t="n"/>
      <c r="G56" s="22" t="n"/>
      <c r="H56" s="22" t="n"/>
      <c r="I56" s="22" t="n"/>
      <c r="J56" s="22" t="n"/>
      <c r="K56" s="22" t="n"/>
    </row>
    <row r="57" ht="10" customHeight="1">
      <c r="A57" s="33" t="n"/>
      <c r="B57" s="34" t="inlineStr">
        <is>
          <t>USN</t>
        </is>
      </c>
      <c r="C57" s="33" t="n"/>
      <c r="D57" s="33" t="n"/>
      <c r="E57" s="33" t="n"/>
      <c r="F57" s="33" t="n"/>
      <c r="G57" s="33" t="n"/>
      <c r="H57" s="33" t="n"/>
      <c r="I57" s="33" t="n"/>
      <c r="J57" s="34" t="inlineStr">
        <is>
          <t>USCG</t>
        </is>
      </c>
      <c r="K57" s="35" t="n"/>
    </row>
    <row r="58" ht="10" customHeight="1">
      <c r="A58" s="23" t="inlineStr">
        <is>
          <t>Work Type</t>
        </is>
      </c>
      <c r="B58" s="36" t="inlineStr">
        <is>
          <t>Submarines</t>
        </is>
      </c>
      <c r="C58" s="23" t="inlineStr">
        <is>
          <t>Surface Combatants</t>
        </is>
      </c>
      <c r="D58" s="23" t="inlineStr">
        <is>
          <t>Aircraft Carriers</t>
        </is>
      </c>
      <c r="E58" s="23" t="inlineStr">
        <is>
          <t>Amphibious Warfare Ships</t>
        </is>
      </c>
      <c r="F58" s="23" t="inlineStr">
        <is>
          <t>Expeditionary &amp; Seabasing Ships</t>
        </is>
      </c>
      <c r="G58" s="23" t="inlineStr">
        <is>
          <t>Command Ships</t>
        </is>
      </c>
      <c r="H58" s="23" t="inlineStr">
        <is>
          <t>Surveillance Ships</t>
        </is>
      </c>
      <c r="I58" s="23" t="inlineStr">
        <is>
          <t>Mine Warfare</t>
        </is>
      </c>
      <c r="J58" s="36" t="inlineStr">
        <is>
          <t>National Security Cutters</t>
        </is>
      </c>
      <c r="K58" s="36" t="inlineStr">
        <is>
          <t>Total</t>
        </is>
      </c>
    </row>
    <row r="59" ht="10" customHeight="1">
      <c r="A59" s="24" t="inlineStr">
        <is>
          <t>Scheduled Depot Maintenance</t>
        </is>
      </c>
      <c r="B59" s="37">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3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3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3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3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3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3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3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3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37">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24" t="inlineStr">
        <is>
          <t>Continuous / Emergent Maintenance</t>
        </is>
      </c>
      <c r="B60" s="37">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3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3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3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3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3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3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3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37">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37">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24" t="inlineStr">
        <is>
          <t>Modernization</t>
        </is>
      </c>
      <c r="B61" s="37">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3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3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3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3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3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3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3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3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37">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24" t="inlineStr">
        <is>
          <t>Major Life-Cycle Events / RCOH</t>
        </is>
      </c>
      <c r="B62" s="37">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3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3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3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3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3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3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3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37">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37">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24" t="inlineStr">
        <is>
          <t>Sustainment Engineering</t>
        </is>
      </c>
      <c r="B63" s="37">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3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3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3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3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3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3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3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37">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37">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24" t="inlineStr">
        <is>
          <t>Availability Support</t>
        </is>
      </c>
      <c r="B64" s="37">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3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3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3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3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3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3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3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37">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37">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26" t="inlineStr">
        <is>
          <t>Total ($K)</t>
        </is>
      </c>
      <c r="B65" s="3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2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2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2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2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2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2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2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3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38">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18" t="inlineStr">
        <is>
          <t>MRO SAM — FY2026 ($K)</t>
        </is>
      </c>
      <c r="B1" s="19" t="n"/>
      <c r="C1" s="19" t="n"/>
      <c r="D1" s="19" t="n"/>
      <c r="E1" s="19" t="n"/>
      <c r="F1" s="19" t="n"/>
      <c r="G1" s="19" t="n"/>
      <c r="H1" s="19" t="n"/>
      <c r="I1" s="19" t="n"/>
      <c r="J1" s="19" t="n"/>
    </row>
    <row r="2" ht="10" customHeight="1">
      <c r="A2" s="20" t="inlineStr">
        <is>
          <t>Outsourceable MRO: SDM + Modernization, excluding non-addressable vessel types</t>
        </is>
      </c>
    </row>
    <row r="3" ht="10" customHeight="1"/>
    <row r="4" ht="10" customHeight="1">
      <c r="A4" s="21" t="inlineStr">
        <is>
          <t>(A) Bridge: MRO TAM → MRO SAM</t>
        </is>
      </c>
      <c r="B4" s="22" t="n"/>
    </row>
    <row r="5" ht="10" customHeight="1">
      <c r="A5" s="24" t="inlineStr">
        <is>
          <t>MRO TAM</t>
        </is>
      </c>
      <c r="B5" s="43">
        <f>'FY26 MRO TAM'!B20</f>
        <v/>
      </c>
    </row>
    <row r="6" ht="10" customHeight="1">
      <c r="A6" s="24" t="inlineStr">
        <is>
          <t xml:space="preserve">  Less: Submarines</t>
        </is>
      </c>
      <c r="B6" s="2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24" t="inlineStr">
        <is>
          <t xml:space="preserve">  Less: Aircraft Carriers</t>
        </is>
      </c>
      <c r="B7" s="2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24" t="inlineStr">
        <is>
          <t xml:space="preserve">  Less: Unmanned Undersea Vehicles</t>
        </is>
      </c>
      <c r="B8" s="2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24" t="inlineStr">
        <is>
          <t xml:space="preserve">  Less: Non-outsourceable work types</t>
        </is>
      </c>
      <c r="B9" s="25">
        <f>-(B5+B6+B7+B8-B10)</f>
        <v/>
      </c>
    </row>
    <row r="10" ht="10" customHeight="1">
      <c r="A10" s="26" t="inlineStr">
        <is>
          <t>MRO SAM</t>
        </is>
      </c>
      <c r="B10" s="2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21" t="inlineStr">
        <is>
          <t>(B) MRO SAM by Vessel Type</t>
        </is>
      </c>
      <c r="B13" s="22" t="n"/>
      <c r="C13" s="22" t="n"/>
      <c r="D13" s="22" t="n"/>
      <c r="E13" s="22" t="n"/>
      <c r="F13" s="22" t="n"/>
    </row>
    <row r="14" ht="10" customHeight="1">
      <c r="A14" s="23" t="inlineStr">
        <is>
          <t>Vessel Type</t>
        </is>
      </c>
      <c r="B14" s="23" t="inlineStr">
        <is>
          <t>Service</t>
        </is>
      </c>
      <c r="C14" s="23" t="inlineStr">
        <is>
          <t>SDM ($K)</t>
        </is>
      </c>
      <c r="D14" s="23" t="inlineStr">
        <is>
          <t>Mod ($K)</t>
        </is>
      </c>
      <c r="E14" s="23" t="inlineStr">
        <is>
          <t>Total ($K)</t>
        </is>
      </c>
      <c r="F14" s="23" t="inlineStr">
        <is>
          <t>% of SAM</t>
        </is>
      </c>
    </row>
    <row r="15" ht="10" customHeight="1">
      <c r="A15" s="24" t="inlineStr">
        <is>
          <t>Surface Combatants</t>
        </is>
      </c>
      <c r="B15" s="24" t="inlineStr">
        <is>
          <t>USN</t>
        </is>
      </c>
      <c r="C15" s="2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2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25">
        <f>C15+D15</f>
        <v/>
      </c>
      <c r="F15" s="31">
        <f>IFERROR(E15/E$40,0)</f>
        <v/>
      </c>
    </row>
    <row r="16" ht="10" customHeight="1">
      <c r="A16" s="24" t="inlineStr">
        <is>
          <t>Amphibious Warfare Ships</t>
        </is>
      </c>
      <c r="B16" s="24" t="inlineStr">
        <is>
          <t>USN</t>
        </is>
      </c>
      <c r="C16" s="2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2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25">
        <f>C16+D16</f>
        <v/>
      </c>
      <c r="F16" s="31">
        <f>IFERROR(E16/E$40,0)</f>
        <v/>
      </c>
    </row>
    <row r="17" ht="10" customHeight="1">
      <c r="A17" s="24" t="inlineStr">
        <is>
          <t>Surveillance Ships</t>
        </is>
      </c>
      <c r="B17" s="24" t="inlineStr">
        <is>
          <t>USN</t>
        </is>
      </c>
      <c r="C17" s="2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2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25">
        <f>C17+D17</f>
        <v/>
      </c>
      <c r="F17" s="31">
        <f>IFERROR(E17/E$40,0)</f>
        <v/>
      </c>
    </row>
    <row r="18" ht="10" customHeight="1">
      <c r="A18" s="24" t="inlineStr">
        <is>
          <t>Expeditionary &amp; Seabasing Ships</t>
        </is>
      </c>
      <c r="B18" s="24" t="inlineStr">
        <is>
          <t>USN</t>
        </is>
      </c>
      <c r="C18" s="2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2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25">
        <f>C18+D18</f>
        <v/>
      </c>
      <c r="F18" s="31">
        <f>IFERROR(E18/E$40,0)</f>
        <v/>
      </c>
    </row>
    <row r="19" ht="10" customHeight="1">
      <c r="A19" s="24" t="inlineStr">
        <is>
          <t>Mine Warfare</t>
        </is>
      </c>
      <c r="B19" s="24" t="inlineStr">
        <is>
          <t>USN</t>
        </is>
      </c>
      <c r="C19" s="2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2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25">
        <f>C19+D19</f>
        <v/>
      </c>
      <c r="F19" s="31">
        <f>IFERROR(E19/E$40,0)</f>
        <v/>
      </c>
    </row>
    <row r="20" ht="10" customHeight="1">
      <c r="A20" s="24" t="inlineStr">
        <is>
          <t>Command Ships</t>
        </is>
      </c>
      <c r="B20" s="24" t="inlineStr">
        <is>
          <t>USN</t>
        </is>
      </c>
      <c r="C20" s="2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2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25">
        <f>C20+D20</f>
        <v/>
      </c>
      <c r="F20" s="31">
        <f>IFERROR(E20/E$40,0)</f>
        <v/>
      </c>
    </row>
    <row r="21" ht="10" customHeight="1">
      <c r="A21" s="24" t="inlineStr">
        <is>
          <t>Crane Ship</t>
        </is>
      </c>
      <c r="B21" s="24" t="inlineStr">
        <is>
          <t>USN</t>
        </is>
      </c>
      <c r="C21" s="2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1" s="2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1" s="25">
        <f>C21+D21</f>
        <v/>
      </c>
      <c r="F21" s="31">
        <f>IFERROR(E21/E$40,0)</f>
        <v/>
      </c>
    </row>
    <row r="22" ht="10" customHeight="1">
      <c r="A22" s="24" t="inlineStr">
        <is>
          <t>Material Support Ships</t>
        </is>
      </c>
      <c r="B22" s="24" t="inlineStr">
        <is>
          <t>USN</t>
        </is>
      </c>
      <c r="C22" s="2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2" s="2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2" s="25">
        <f>C22+D22</f>
        <v/>
      </c>
      <c r="F22" s="31">
        <f>IFERROR(E22/E$40,0)</f>
        <v/>
      </c>
    </row>
    <row r="23" ht="10" customHeight="1">
      <c r="A23" s="24" t="inlineStr">
        <is>
          <t>Aviation Logistics Support Ship</t>
        </is>
      </c>
      <c r="B23" s="24" t="inlineStr">
        <is>
          <t>USN</t>
        </is>
      </c>
      <c r="C23" s="2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3" s="2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3" s="25">
        <f>C23+D23</f>
        <v/>
      </c>
      <c r="F23" s="31">
        <f>IFERROR(E23/E$40,0)</f>
        <v/>
      </c>
    </row>
    <row r="24" ht="10" customHeight="1">
      <c r="A24" s="24" t="inlineStr">
        <is>
          <t>Cargo &amp; Vehicle Cargo Ships</t>
        </is>
      </c>
      <c r="B24" s="24" t="inlineStr">
        <is>
          <t>USN</t>
        </is>
      </c>
      <c r="C24" s="2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4" s="2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4" s="25">
        <f>C24+D24</f>
        <v/>
      </c>
      <c r="F24" s="31">
        <f>IFERROR(E24/E$40,0)</f>
        <v/>
      </c>
    </row>
    <row r="25" ht="10" customHeight="1">
      <c r="A25" s="24" t="inlineStr">
        <is>
          <t>High Speed Transport</t>
        </is>
      </c>
      <c r="B25" s="24" t="inlineStr">
        <is>
          <t>USN</t>
        </is>
      </c>
      <c r="C25" s="2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5" s="2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5" s="25">
        <f>C25+D25</f>
        <v/>
      </c>
      <c r="F25" s="31">
        <f>IFERROR(E25/E$40,0)</f>
        <v/>
      </c>
    </row>
    <row r="26" ht="10" customHeight="1">
      <c r="A26" s="24" t="inlineStr">
        <is>
          <t>Combat Logistics Ships</t>
        </is>
      </c>
      <c r="B26" s="24" t="inlineStr">
        <is>
          <t>MSC</t>
        </is>
      </c>
      <c r="C26" s="2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6" s="2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6" s="25">
        <f>C26+D26</f>
        <v/>
      </c>
      <c r="F26" s="31">
        <f>IFERROR(E26/E$40,0)</f>
        <v/>
      </c>
    </row>
    <row r="27" ht="10" customHeight="1">
      <c r="A27" s="24" t="inlineStr">
        <is>
          <t>Hospital Ship</t>
        </is>
      </c>
      <c r="B27" s="24" t="inlineStr">
        <is>
          <t>MSC</t>
        </is>
      </c>
      <c r="C27" s="2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7" s="2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7" s="25">
        <f>C27+D27</f>
        <v/>
      </c>
      <c r="F27" s="31">
        <f>IFERROR(E27/E$40,0)</f>
        <v/>
      </c>
    </row>
    <row r="28" ht="10" customHeight="1">
      <c r="A28" s="24" t="inlineStr">
        <is>
          <t>Submarine Escort Ship</t>
        </is>
      </c>
      <c r="B28" s="24" t="inlineStr">
        <is>
          <t>USN</t>
        </is>
      </c>
      <c r="C28" s="2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8" s="2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8" s="25">
        <f>C28+D28</f>
        <v/>
      </c>
      <c r="F28" s="31">
        <f>IFERROR(E28/E$40,0)</f>
        <v/>
      </c>
    </row>
    <row r="29" ht="10" customHeight="1">
      <c r="A29" s="24" t="inlineStr">
        <is>
          <t>Unmanned Surface Vehicles</t>
        </is>
      </c>
      <c r="B29" s="24" t="inlineStr">
        <is>
          <t>USN</t>
        </is>
      </c>
      <c r="C29" s="2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9" s="2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9" s="25">
        <f>C29+D29</f>
        <v/>
      </c>
      <c r="F29" s="31">
        <f>IFERROR(E29/E$40,0)</f>
        <v/>
      </c>
    </row>
    <row r="30" ht="10" customHeight="1">
      <c r="A30" s="24" t="inlineStr">
        <is>
          <t>Research, Survey &amp; Instrumentation Ships</t>
        </is>
      </c>
      <c r="B30" s="24" t="inlineStr">
        <is>
          <t>MSC</t>
        </is>
      </c>
      <c r="C30" s="2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30" s="2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30" s="25">
        <f>C30+D30</f>
        <v/>
      </c>
      <c r="F30" s="31">
        <f>IFERROR(E30/E$40,0)</f>
        <v/>
      </c>
    </row>
    <row r="31" ht="10" customHeight="1">
      <c r="A31" s="24" t="inlineStr">
        <is>
          <t>Salvage Ships &amp; Fleet Ocean Tugs</t>
        </is>
      </c>
      <c r="B31" s="24" t="inlineStr">
        <is>
          <t>MSC</t>
        </is>
      </c>
      <c r="C31" s="2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31" s="2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31" s="25">
        <f>C31+D31</f>
        <v/>
      </c>
      <c r="F31" s="31">
        <f>IFERROR(E31/E$40,0)</f>
        <v/>
      </c>
    </row>
    <row r="32" ht="10" customHeight="1">
      <c r="A32" s="24" t="inlineStr">
        <is>
          <t>General Auxiliary</t>
        </is>
      </c>
      <c r="B32" s="24" t="inlineStr">
        <is>
          <t>USN</t>
        </is>
      </c>
      <c r="C32" s="2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32" s="2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32" s="25">
        <f>C32+D32</f>
        <v/>
      </c>
      <c r="F32" s="31">
        <f>IFERROR(E32/E$40,0)</f>
        <v/>
      </c>
    </row>
    <row r="33" ht="10" customHeight="1">
      <c r="A33" s="24" t="inlineStr">
        <is>
          <t>National Security Cutters</t>
        </is>
      </c>
      <c r="B33" s="24" t="inlineStr">
        <is>
          <t>USCG</t>
        </is>
      </c>
      <c r="C33" s="2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2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25">
        <f>C33+D33</f>
        <v/>
      </c>
      <c r="F33" s="31">
        <f>IFERROR(E33/E$40,0)</f>
        <v/>
      </c>
    </row>
    <row r="34" ht="10" customHeight="1">
      <c r="A34" s="24" t="inlineStr">
        <is>
          <t>Icebreakers, Oceangoing</t>
        </is>
      </c>
      <c r="B34" s="24" t="inlineStr">
        <is>
          <t>USCG</t>
        </is>
      </c>
      <c r="C34" s="2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4" s="2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4" s="25">
        <f>C34+D34</f>
        <v/>
      </c>
      <c r="F34" s="31">
        <f>IFERROR(E34/E$40,0)</f>
        <v/>
      </c>
    </row>
    <row r="35" ht="10" customHeight="1">
      <c r="A35" s="24" t="inlineStr">
        <is>
          <t>Waterways Commerce Cutters</t>
        </is>
      </c>
      <c r="B35" s="24" t="inlineStr">
        <is>
          <t>USCG</t>
        </is>
      </c>
      <c r="C35" s="2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5" s="2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5" s="25">
        <f>C35+D35</f>
        <v/>
      </c>
      <c r="F35" s="31">
        <f>IFERROR(E35/E$40,0)</f>
        <v/>
      </c>
    </row>
    <row r="36" ht="10" customHeight="1">
      <c r="A36" s="24" t="inlineStr">
        <is>
          <t>Offshore Patrol Cutter</t>
        </is>
      </c>
      <c r="B36" s="24" t="inlineStr">
        <is>
          <t>USCG</t>
        </is>
      </c>
      <c r="C36" s="2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6" s="2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6" s="25">
        <f>C36+D36</f>
        <v/>
      </c>
      <c r="F36" s="31">
        <f>IFERROR(E36/E$40,0)</f>
        <v/>
      </c>
    </row>
    <row r="37" ht="10" customHeight="1">
      <c r="A37" s="24" t="inlineStr">
        <is>
          <t>Fast Response Cutters</t>
        </is>
      </c>
      <c r="B37" s="24" t="inlineStr">
        <is>
          <t>USCG</t>
        </is>
      </c>
      <c r="C37" s="2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7" s="2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7" s="25">
        <f>C37+D37</f>
        <v/>
      </c>
      <c r="F37" s="31">
        <f>IFERROR(E37/E$40,0)</f>
        <v/>
      </c>
    </row>
    <row r="38" ht="10" customHeight="1">
      <c r="A38" s="24" t="inlineStr">
        <is>
          <t>Icebreakers, Great Lakes</t>
        </is>
      </c>
      <c r="B38" s="24" t="inlineStr">
        <is>
          <t>USCG</t>
        </is>
      </c>
      <c r="C38" s="2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8" s="2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8" s="25">
        <f>C38+D38</f>
        <v/>
      </c>
      <c r="F38" s="31">
        <f>IFERROR(E38/E$40,0)</f>
        <v/>
      </c>
    </row>
    <row r="39" ht="10" customHeight="1">
      <c r="A39" s="24" t="inlineStr">
        <is>
          <t>Coastal Buoy Tenders</t>
        </is>
      </c>
      <c r="B39" s="24" t="inlineStr">
        <is>
          <t>USCG</t>
        </is>
      </c>
      <c r="C39" s="2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9" s="2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9" s="25">
        <f>C39+D39</f>
        <v/>
      </c>
      <c r="F39" s="31">
        <f>IFERROR(E39/E$40,0)</f>
        <v/>
      </c>
    </row>
    <row r="40" ht="10" customHeight="1">
      <c r="A40" s="26" t="inlineStr">
        <is>
          <t>MRO SAM</t>
        </is>
      </c>
      <c r="B40" s="26" t="inlineStr"/>
      <c r="C40" s="27">
        <f>SUM(C15:C39)</f>
        <v/>
      </c>
      <c r="D40" s="27">
        <f>SUM(D15:D39)</f>
        <v/>
      </c>
      <c r="E40" s="27">
        <f>SUM(E15:E39)</f>
        <v/>
      </c>
      <c r="F40" s="32" t="n">
        <v>1</v>
      </c>
    </row>
    <row r="41" ht="10" customHeight="1"/>
    <row r="42" ht="10" customHeight="1"/>
    <row r="43" ht="10" customHeight="1">
      <c r="A43" s="21" t="inlineStr">
        <is>
          <t>(C) MRO SAM — SDM vs Modernization by Vessel Type (Mekko)</t>
        </is>
      </c>
      <c r="B43" s="22" t="n"/>
      <c r="C43" s="22" t="n"/>
      <c r="D43" s="22" t="n"/>
      <c r="E43" s="22" t="n"/>
      <c r="F43" s="22" t="n"/>
      <c r="G43" s="22" t="n"/>
      <c r="H43" s="22" t="n"/>
      <c r="I43" s="22" t="n"/>
    </row>
    <row r="44" ht="10" customHeight="1">
      <c r="A44" s="33" t="n"/>
      <c r="B44" s="34" t="inlineStr">
        <is>
          <t>USN</t>
        </is>
      </c>
      <c r="C44" s="33" t="n"/>
      <c r="D44" s="33" t="n"/>
      <c r="E44" s="33" t="n"/>
      <c r="F44" s="33" t="n"/>
      <c r="G44" s="33" t="n"/>
      <c r="H44" s="34" t="inlineStr">
        <is>
          <t>USCG</t>
        </is>
      </c>
      <c r="I44" s="35" t="n"/>
    </row>
    <row r="45" ht="10" customHeight="1">
      <c r="A45" s="23" t="inlineStr">
        <is>
          <t>Work Type</t>
        </is>
      </c>
      <c r="B45" s="36" t="inlineStr">
        <is>
          <t>Surface Combatants</t>
        </is>
      </c>
      <c r="C45" s="23" t="inlineStr">
        <is>
          <t>Amphibious Warfare Ships</t>
        </is>
      </c>
      <c r="D45" s="23" t="inlineStr">
        <is>
          <t>Expeditionary &amp; Seabasing Ships</t>
        </is>
      </c>
      <c r="E45" s="23" t="inlineStr">
        <is>
          <t>Command Ships</t>
        </is>
      </c>
      <c r="F45" s="23" t="inlineStr">
        <is>
          <t>Surveillance Ships</t>
        </is>
      </c>
      <c r="G45" s="23" t="inlineStr">
        <is>
          <t>Mine Warfare</t>
        </is>
      </c>
      <c r="H45" s="36" t="inlineStr">
        <is>
          <t>National Security Cutters</t>
        </is>
      </c>
      <c r="I45" s="36" t="inlineStr">
        <is>
          <t>Total</t>
        </is>
      </c>
    </row>
    <row r="46" ht="10" customHeight="1">
      <c r="A46" s="24" t="inlineStr">
        <is>
          <t>Scheduled Depot Maintenance</t>
        </is>
      </c>
      <c r="B46" s="3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3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3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3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3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3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3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37">
        <f>IFERROR(1-I47,0)</f>
        <v/>
      </c>
    </row>
    <row r="47" ht="10" customHeight="1">
      <c r="A47" s="24" t="inlineStr">
        <is>
          <t>Modernization</t>
        </is>
      </c>
      <c r="B47" s="3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3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3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3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3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3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3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3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26" t="inlineStr">
        <is>
          <t>Total ($K)</t>
        </is>
      </c>
      <c r="B48" s="3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2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2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2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2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2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3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38">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18" t="inlineStr">
        <is>
          <t>FY2027</t>
        </is>
      </c>
      <c r="B1" s="19" t="n"/>
      <c r="C1" s="19" t="n"/>
      <c r="D1" s="19" t="n"/>
      <c r="E1" s="19" t="n"/>
      <c r="F1" s="19"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18" t="inlineStr">
        <is>
          <t>Total Funding</t>
        </is>
      </c>
      <c r="B1" s="19" t="n"/>
      <c r="C1" s="19" t="n"/>
    </row>
    <row r="2" ht="10" customHeight="1">
      <c r="A2" s="20" t="inlineStr">
        <is>
          <t>All Navy + USCG appropriations for vessel-related activity, FY2027 ($K)</t>
        </is>
      </c>
    </row>
    <row r="3" ht="10" customHeight="1"/>
    <row r="4" ht="10" customHeight="1">
      <c r="A4" s="21" t="inlineStr">
        <is>
          <t>(A) FY2027 Total Funding by Work Type</t>
        </is>
      </c>
      <c r="B4" s="22" t="n"/>
    </row>
    <row r="5" ht="10" customHeight="1">
      <c r="A5" s="23" t="inlineStr">
        <is>
          <t>Work Type</t>
        </is>
      </c>
      <c r="B5" s="23" t="inlineStr">
        <is>
          <t>FY2027 ($K)</t>
        </is>
      </c>
    </row>
    <row r="6" ht="10" customHeight="1">
      <c r="A6" s="24" t="inlineStr">
        <is>
          <t>New Construction</t>
        </is>
      </c>
      <c r="B6" s="25">
        <f>SUMIFS(JB_27U,JB_B,1,JB_S,"",JB_27U,"&lt;&gt;")+SUMIFS(JB_27S,JB_B,1,JB_S,"",JB_27U,"")+SUMIFS(JB_27U,JB_B,1,JB_S,"[PARENT]",JB_27U,"&lt;&gt;")+SUMIFS(JB_27S,JB_B,1,JB_S,"[PARENT]",JB_27U,"")</f>
        <v/>
      </c>
    </row>
    <row r="7" ht="10" customHeight="1">
      <c r="A7" s="24" t="inlineStr">
        <is>
          <t>Scheduled Depot Maintenance &amp; Repair</t>
        </is>
      </c>
      <c r="B7" s="25">
        <f>SUMIFS(JB_27U,JB_B,2,JB_S,"",JB_27U,"&lt;&gt;")+SUMIFS(JB_27S,JB_B,2,JB_S,"",JB_27U,"")+SUMIFS(JB_27U,JB_B,2,JB_S,"[PARENT]",JB_27U,"&lt;&gt;")+SUMIFS(JB_27S,JB_B,2,JB_S,"[PARENT]",JB_27U,"")</f>
        <v/>
      </c>
    </row>
    <row r="8" ht="10" customHeight="1">
      <c r="A8" s="24" t="inlineStr">
        <is>
          <t>Continuous / Intermediate / Emergent Maintenance</t>
        </is>
      </c>
      <c r="B8" s="25">
        <f>SUMIFS(JB_27U,JB_B,3,JB_S,"",JB_27U,"&lt;&gt;")+SUMIFS(JB_27S,JB_B,3,JB_S,"",JB_27U,"")+SUMIFS(JB_27U,JB_B,3,JB_S,"[PARENT]",JB_27U,"&lt;&gt;")+SUMIFS(JB_27S,JB_B,3,JB_S,"[PARENT]",JB_27U,"")</f>
        <v/>
      </c>
    </row>
    <row r="9" ht="10" customHeight="1">
      <c r="A9" s="24" t="inlineStr">
        <is>
          <t>Modernization &amp; Alteration Installation</t>
        </is>
      </c>
      <c r="B9" s="25">
        <f>SUMIFS(JB_27U,JB_B,4,JB_S,"",JB_27U,"&lt;&gt;")+SUMIFS(JB_27S,JB_B,4,JB_S,"",JB_27U,"")+SUMIFS(JB_27U,JB_B,4,JB_S,"[PARENT]",JB_27U,"&lt;&gt;")+SUMIFS(JB_27S,JB_B,4,JB_S,"[PARENT]",JB_27U,"")</f>
        <v/>
      </c>
    </row>
    <row r="10" ht="10" customHeight="1">
      <c r="A10" s="24" t="inlineStr">
        <is>
          <t>Major Life-Cycle Events / SLEP / MMA / RCOH</t>
        </is>
      </c>
      <c r="B10" s="25">
        <f>SUMIFS(JB_27U,JB_B,5,JB_S,"",JB_27U,"&lt;&gt;")+SUMIFS(JB_27S,JB_B,5,JB_S,"",JB_27U,"")+SUMIFS(JB_27U,JB_B,5,JB_S,"[PARENT]",JB_27U,"&lt;&gt;")+SUMIFS(JB_27S,JB_B,5,JB_S,"[PARENT]",JB_27U,"")</f>
        <v/>
      </c>
    </row>
    <row r="11" ht="10" customHeight="1">
      <c r="A11" s="24" t="inlineStr">
        <is>
          <t>Sustainment Engineering / Planning / Obsolescence Support</t>
        </is>
      </c>
      <c r="B11" s="25">
        <f>SUMIFS(JB_27U,JB_B,6,JB_S,"",JB_27U,"&lt;&gt;")+SUMIFS(JB_27S,JB_B,6,JB_S,"",JB_27U,"")+SUMIFS(JB_27U,JB_B,6,JB_S,"[PARENT]",JB_27U,"&lt;&gt;")+SUMIFS(JB_27S,JB_B,6,JB_S,"[PARENT]",JB_27U,"")</f>
        <v/>
      </c>
    </row>
    <row r="12" ht="10" customHeight="1">
      <c r="A12" s="24" t="inlineStr">
        <is>
          <t>Availability Support / Husbanding / Port Services</t>
        </is>
      </c>
      <c r="B12" s="25">
        <f>SUMIFS(JB_27U,JB_B,7,JB_S,"",JB_27U,"&lt;&gt;")+SUMIFS(JB_27S,JB_B,7,JB_S,"",JB_27U,"")+SUMIFS(JB_27U,JB_B,7,JB_S,"[PARENT]",JB_27U,"&lt;&gt;")+SUMIFS(JB_27S,JB_B,7,JB_S,"[PARENT]",JB_27U,"")</f>
        <v/>
      </c>
    </row>
    <row r="13" ht="10" customHeight="1">
      <c r="A13" s="26" t="inlineStr">
        <is>
          <t>Total</t>
        </is>
      </c>
      <c r="B13" s="27">
        <f>SUM(B6:B12)</f>
        <v/>
      </c>
    </row>
    <row r="14" ht="10" customHeight="1"/>
    <row r="15" ht="10" customHeight="1"/>
    <row r="16" ht="10" customHeight="1">
      <c r="A16" s="21" t="inlineStr">
        <is>
          <t>(B) FY2027 Total Funding by Vessel Category</t>
        </is>
      </c>
      <c r="B16" s="22" t="n"/>
      <c r="C16" s="22" t="n"/>
    </row>
    <row r="17" ht="10" customHeight="1">
      <c r="A17" s="23" t="inlineStr">
        <is>
          <t>Category</t>
        </is>
      </c>
      <c r="B17" s="23" t="inlineStr">
        <is>
          <t>FY2027 ($K)</t>
        </is>
      </c>
      <c r="C17" s="23" t="inlineStr">
        <is>
          <t>TAM Scope</t>
        </is>
      </c>
    </row>
    <row r="18" ht="10" customHeight="1">
      <c r="A18" s="24" t="inlineStr">
        <is>
          <t>Combatant Ships</t>
        </is>
      </c>
      <c r="B18" s="25">
        <f>SUMIFS(JB_27U,JB_V,"Combatant Ships",JB_S,"",JB_27U,"&lt;&gt;")+SUMIFS(JB_27S,JB_V,"Combatant Ships",JB_S,"",JB_27U,"")+SUMIFS(JB_27U,JB_V,"Combatant Ships",JB_S,"[PARENT]",JB_27U,"&lt;&gt;")+SUMIFS(JB_27S,JB_V,"Combatant Ships",JB_S,"[PARENT]",JB_27U,"")</f>
        <v/>
      </c>
      <c r="C18" s="20" t="inlineStr">
        <is>
          <t>YES → TAM</t>
        </is>
      </c>
    </row>
    <row r="19" ht="10" customHeight="1">
      <c r="A19" s="24" t="inlineStr">
        <is>
          <t>Auxiliary Ships</t>
        </is>
      </c>
      <c r="B19" s="25">
        <f>SUMIFS(JB_27U,JB_V,"Auxiliary Ships",JB_S,"",JB_27U,"&lt;&gt;")+SUMIFS(JB_27S,JB_V,"Auxiliary Ships",JB_S,"",JB_27U,"")+SUMIFS(JB_27U,JB_V,"Auxiliary Ships",JB_S,"[PARENT]",JB_27U,"&lt;&gt;")+SUMIFS(JB_27S,JB_V,"Auxiliary Ships",JB_S,"[PARENT]",JB_27U,"")</f>
        <v/>
      </c>
      <c r="C19" s="20" t="inlineStr">
        <is>
          <t>YES → TAM</t>
        </is>
      </c>
    </row>
    <row r="20" ht="10" customHeight="1">
      <c r="A20" s="24" t="inlineStr">
        <is>
          <t>Cutters</t>
        </is>
      </c>
      <c r="B20" s="25">
        <f>SUMIFS(JB_27U,JB_V,"Cutters",JB_S,"",JB_27U,"&lt;&gt;")+SUMIFS(JB_27S,JB_V,"Cutters",JB_S,"",JB_27U,"")+SUMIFS(JB_27U,JB_V,"Cutters",JB_S,"[PARENT]",JB_27U,"&lt;&gt;")+SUMIFS(JB_27S,JB_V,"Cutters",JB_S,"[PARENT]",JB_27U,"")</f>
        <v/>
      </c>
      <c r="C20" s="20" t="inlineStr">
        <is>
          <t>YES → TAM</t>
        </is>
      </c>
    </row>
    <row r="21" ht="10" customHeight="1">
      <c r="A21" s="24" t="inlineStr">
        <is>
          <t>Unmanned Maritime Platforms</t>
        </is>
      </c>
      <c r="B21" s="25">
        <f>SUMIFS(JB_27U,JB_V,"Unmanned Maritime Platforms",JB_S,"",JB_27U,"&lt;&gt;")+SUMIFS(JB_27S,JB_V,"Unmanned Maritime Platforms",JB_S,"",JB_27U,"")+SUMIFS(JB_27U,JB_V,"Unmanned Maritime Platforms",JB_S,"[PARENT]",JB_27U,"&lt;&gt;")+SUMIFS(JB_27S,JB_V,"Unmanned Maritime Platforms",JB_S,"[PARENT]",JB_27U,"")</f>
        <v/>
      </c>
      <c r="C21" s="20" t="inlineStr">
        <is>
          <t>YES → TAM</t>
        </is>
      </c>
    </row>
    <row r="22" ht="10" customHeight="1">
      <c r="A22" s="24" t="inlineStr">
        <is>
          <t>Combatant Crafts</t>
        </is>
      </c>
      <c r="B22" s="25">
        <f>SUMIFS(JB_27U,JB_V,"Combatant Crafts",JB_S,"",JB_27U,"&lt;&gt;")+SUMIFS(JB_27S,JB_V,"Combatant Crafts",JB_S,"",JB_27U,"")+SUMIFS(JB_27U,JB_V,"Combatant Crafts",JB_S,"[PARENT]",JB_27U,"&lt;&gt;")+SUMIFS(JB_27S,JB_V,"Combatant Crafts",JB_S,"[PARENT]",JB_27U,"")</f>
        <v/>
      </c>
      <c r="C22" s="20" t="inlineStr">
        <is>
          <t>No — small craft</t>
        </is>
      </c>
    </row>
    <row r="23" ht="10" customHeight="1">
      <c r="A23" s="24" t="inlineStr">
        <is>
          <t>Support Crafts</t>
        </is>
      </c>
      <c r="B23" s="25">
        <f>SUMIFS(JB_27U,JB_V,"Support Crafts",JB_S,"",JB_27U,"&lt;&gt;")+SUMIFS(JB_27S,JB_V,"Support Crafts",JB_S,"",JB_27U,"")+SUMIFS(JB_27U,JB_V,"Support Crafts",JB_S,"[PARENT]",JB_27U,"&lt;&gt;")+SUMIFS(JB_27S,JB_V,"Support Crafts",JB_S,"[PARENT]",JB_27U,"")</f>
        <v/>
      </c>
      <c r="C23" s="20" t="inlineStr">
        <is>
          <t>No — non-oceangoing</t>
        </is>
      </c>
    </row>
    <row r="24" ht="10" customHeight="1">
      <c r="A24" s="24" t="inlineStr">
        <is>
          <t>Boats</t>
        </is>
      </c>
      <c r="B24" s="25">
        <f>SUMIFS(JB_27U,JB_V,"Boats",JB_S,"",JB_27U,"&lt;&gt;")+SUMIFS(JB_27S,JB_V,"Boats",JB_S,"",JB_27U,"")+SUMIFS(JB_27U,JB_V,"Boats",JB_S,"[PARENT]",JB_27U,"&lt;&gt;")+SUMIFS(JB_27S,JB_V,"Boats",JB_S,"[PARENT]",JB_27U,"")</f>
        <v/>
      </c>
      <c r="C24" s="20" t="inlineStr">
        <is>
          <t>No — under 65 ft</t>
        </is>
      </c>
    </row>
    <row r="25" ht="10" customHeight="1">
      <c r="A25" s="24" t="inlineStr">
        <is>
          <t>Unattributed (fleet-wide)</t>
        </is>
      </c>
      <c r="B25" s="25">
        <f>SUMIFS(JB_27U,JB_V,"",JB_S,"",JB_27U,"&lt;&gt;")+SUMIFS(JB_27S,JB_V,"",JB_S,"",JB_27U,"")+SUMIFS(JB_27U,JB_V,"",JB_S,"[PARENT]",JB_27U,"&lt;&gt;")+SUMIFS(JB_27S,JB_V,"",JB_S,"[PARENT]",JB_27U,"")</f>
        <v/>
      </c>
      <c r="C25" s="20" t="inlineStr">
        <is>
          <t>No — not vessel-specific</t>
        </is>
      </c>
    </row>
    <row r="26" ht="10" customHeight="1">
      <c r="A26" s="26" t="inlineStr">
        <is>
          <t>Total</t>
        </is>
      </c>
      <c r="B26" s="27">
        <f>SUM(B18:B25)</f>
        <v/>
      </c>
      <c r="C26" s="28" t="n"/>
    </row>
    <row r="27" ht="10" customHeight="1">
      <c r="A27" s="29" t="inlineStr">
        <is>
          <t>TAM-eligible</t>
        </is>
      </c>
      <c r="B27" s="30">
        <f>B18+B19+B20+B21</f>
        <v/>
      </c>
    </row>
    <row r="28" ht="10" customHeight="1"/>
    <row r="29" ht="10" customHeight="1"/>
    <row r="30" ht="10" customHeight="1">
      <c r="A30" s="21" t="inlineStr">
        <is>
          <t>(C) FY2027 Total Funding by Source Book</t>
        </is>
      </c>
      <c r="B30" s="22" t="n"/>
    </row>
    <row r="31" ht="10" customHeight="1">
      <c r="A31" s="23" t="inlineStr">
        <is>
          <t>Source Book</t>
        </is>
      </c>
      <c r="B31" s="23" t="inlineStr">
        <is>
          <t>FY2027 ($K)</t>
        </is>
      </c>
    </row>
    <row r="32" ht="10" customHeight="1">
      <c r="A32" s="24" t="inlineStr">
        <is>
          <t>SCN</t>
        </is>
      </c>
      <c r="B32" s="25">
        <f>SUMIFS(JB_27U,JB_A,"SCN",JB_S,"",JB_27U,"&lt;&gt;")+SUMIFS(JB_27S,JB_A,"SCN",JB_S,"",JB_27U,"")+SUMIFS(JB_27U,JB_A,"SCN",JB_S,"[PARENT]",JB_27U,"&lt;&gt;")+SUMIFS(JB_27S,JB_A,"SCN",JB_S,"[PARENT]",JB_27U,"")</f>
        <v/>
      </c>
    </row>
    <row r="33" ht="10" customHeight="1">
      <c r="A33" s="24" t="inlineStr">
        <is>
          <t>WPN</t>
        </is>
      </c>
      <c r="B33" s="25">
        <f>SUMIFS(JB_27U,JB_A,"WPN",JB_S,"",JB_27U,"&lt;&gt;")+SUMIFS(JB_27S,JB_A,"WPN",JB_S,"",JB_27U,"")+SUMIFS(JB_27U,JB_A,"WPN",JB_S,"[PARENT]",JB_27U,"&lt;&gt;")+SUMIFS(JB_27S,JB_A,"WPN",JB_S,"[PARENT]",JB_27U,"")</f>
        <v/>
      </c>
    </row>
    <row r="34" ht="10" customHeight="1">
      <c r="A34" s="24" t="inlineStr">
        <is>
          <t>OPN_BA2</t>
        </is>
      </c>
      <c r="B34" s="25">
        <f>SUMIFS(JB_27U,JB_A,"OPN_BA2",JB_S,"",JB_27U,"&lt;&gt;")+SUMIFS(JB_27S,JB_A,"OPN_BA2",JB_S,"",JB_27U,"")+SUMIFS(JB_27U,JB_A,"OPN_BA2",JB_S,"[PARENT]",JB_27U,"&lt;&gt;")+SUMIFS(JB_27S,JB_A,"OPN_BA2",JB_S,"[PARENT]",JB_27U,"")</f>
        <v/>
      </c>
    </row>
    <row r="35" ht="10" customHeight="1">
      <c r="A35" s="24" t="inlineStr">
        <is>
          <t>OPN_BA1</t>
        </is>
      </c>
      <c r="B35" s="25">
        <f>SUMIFS(JB_27U,JB_A,"OPN_BA1",JB_S,"",JB_27U,"&lt;&gt;")+SUMIFS(JB_27S,JB_A,"OPN_BA1",JB_S,"",JB_27U,"")+SUMIFS(JB_27U,JB_A,"OPN_BA1",JB_S,"[PARENT]",JB_27U,"&lt;&gt;")+SUMIFS(JB_27S,JB_A,"OPN_BA1",JB_S,"[PARENT]",JB_27U,"")</f>
        <v/>
      </c>
    </row>
    <row r="36" ht="10" customHeight="1">
      <c r="A36" s="24" t="inlineStr">
        <is>
          <t>OPN_BA4</t>
        </is>
      </c>
      <c r="B36" s="25">
        <f>SUMIFS(JB_27U,JB_A,"OPN_BA4",JB_S,"",JB_27U,"&lt;&gt;")+SUMIFS(JB_27S,JB_A,"OPN_BA4",JB_S,"",JB_27U,"")+SUMIFS(JB_27U,JB_A,"OPN_BA4",JB_S,"[PARENT]",JB_27U,"&lt;&gt;")+SUMIFS(JB_27S,JB_A,"OPN_BA4",JB_S,"[PARENT]",JB_27U,"")</f>
        <v/>
      </c>
    </row>
    <row r="37" ht="10" customHeight="1">
      <c r="A37" s="24" t="inlineStr">
        <is>
          <t>OPN_BA3</t>
        </is>
      </c>
      <c r="B37" s="25">
        <f>SUMIFS(JB_27U,JB_A,"OPN_BA3",JB_S,"",JB_27U,"&lt;&gt;")+SUMIFS(JB_27S,JB_A,"OPN_BA3",JB_S,"",JB_27U,"")+SUMIFS(JB_27U,JB_A,"OPN_BA3",JB_S,"[PARENT]",JB_27U,"&lt;&gt;")+SUMIFS(JB_27S,JB_A,"OPN_BA3",JB_S,"[PARENT]",JB_27U,"")</f>
        <v/>
      </c>
    </row>
    <row r="38" ht="10" customHeight="1">
      <c r="A38" s="24" t="inlineStr">
        <is>
          <t>OPN_BA5-8</t>
        </is>
      </c>
      <c r="B38" s="25">
        <f>SUMIFS(JB_27U,JB_A,"OPN_BA5-8",JB_S,"",JB_27U,"&lt;&gt;")+SUMIFS(JB_27S,JB_A,"OPN_BA5-8",JB_S,"",JB_27U,"")+SUMIFS(JB_27U,JB_A,"OPN_BA5-8",JB_S,"[PARENT]",JB_27U,"&lt;&gt;")+SUMIFS(JB_27S,JB_A,"OPN_BA5-8",JB_S,"[PARENT]",JB_27U,"")</f>
        <v/>
      </c>
    </row>
    <row r="39" ht="10" customHeight="1">
      <c r="A39" s="24" t="inlineStr">
        <is>
          <t>NWCF</t>
        </is>
      </c>
      <c r="B39" s="25">
        <f>SUMIFS(JB_27U,JB_A,"NWCF",JB_S,"",JB_27U,"&lt;&gt;")+SUMIFS(JB_27S,JB_A,"NWCF",JB_S,"",JB_27U,"")+SUMIFS(JB_27U,JB_A,"NWCF",JB_S,"[PARENT]",JB_27U,"&lt;&gt;")+SUMIFS(JB_27S,JB_A,"NWCF",JB_S,"[PARENT]",JB_27U,"")</f>
        <v/>
      </c>
    </row>
    <row r="40" ht="10" customHeight="1">
      <c r="A40" s="24" t="inlineStr">
        <is>
          <t>OMN</t>
        </is>
      </c>
      <c r="B40" s="25">
        <f>SUMIFS(JB_27U,JB_A,"OMN",JB_S,"",JB_27U,"&lt;&gt;")+SUMIFS(JB_27S,JB_A,"OMN",JB_S,"",JB_27U,"")+SUMIFS(JB_27U,JB_A,"OMN",JB_S,"[PARENT]",JB_27U,"&lt;&gt;")+SUMIFS(JB_27S,JB_A,"OMN",JB_S,"[PARENT]",JB_27U,"")</f>
        <v/>
      </c>
    </row>
    <row r="41" ht="10" customHeight="1">
      <c r="A41" s="24" t="inlineStr">
        <is>
          <t>OMN_Vol2</t>
        </is>
      </c>
      <c r="B41" s="25">
        <f>SUMIFS(JB_27U,JB_A,"OMN_Vol2",JB_S,"",JB_27U,"&lt;&gt;")+SUMIFS(JB_27S,JB_A,"OMN_Vol2",JB_S,"",JB_27U,"")+SUMIFS(JB_27U,JB_A,"OMN_Vol2",JB_S,"[PARENT]",JB_27U,"&lt;&gt;")+SUMIFS(JB_27S,JB_A,"OMN_Vol2",JB_S,"[PARENT]",JB_27U,"")</f>
        <v/>
      </c>
    </row>
    <row r="42" ht="10" customHeight="1">
      <c r="A42" s="24" t="inlineStr">
        <is>
          <t>USCG</t>
        </is>
      </c>
      <c r="B42" s="25">
        <f>SUMIFS(JB_27U,JB_A,"USCG",JB_S,"",JB_27U,"&lt;&gt;")+SUMIFS(JB_27S,JB_A,"USCG",JB_S,"",JB_27U,"")+SUMIFS(JB_27U,JB_A,"USCG",JB_S,"[PARENT]",JB_27U,"&lt;&gt;")+SUMIFS(JB_27S,JB_A,"USCG",JB_S,"[PARENT]",JB_27U,"")</f>
        <v/>
      </c>
    </row>
    <row r="43" ht="10" customHeight="1">
      <c r="A43" s="26" t="inlineStr">
        <is>
          <t>Total</t>
        </is>
      </c>
      <c r="B43" s="27">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72"/>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18" t="inlineStr">
        <is>
          <t>Newbuild TAM — FY2027 ($K)</t>
        </is>
      </c>
      <c r="B1" s="19" t="n"/>
      <c r="C1" s="19" t="n"/>
      <c r="D1" s="19" t="n"/>
      <c r="E1" s="19" t="n"/>
      <c r="F1" s="19" t="n"/>
      <c r="G1" s="19" t="n"/>
      <c r="H1" s="19" t="n"/>
      <c r="I1" s="19" t="n"/>
      <c r="J1" s="19" t="n"/>
      <c r="K1" s="19" t="n"/>
      <c r="L1" s="19" t="n"/>
      <c r="M1" s="19" t="n"/>
      <c r="N1" s="19" t="n"/>
      <c r="O1" s="19" t="n"/>
    </row>
    <row r="2" ht="10" customHeight="1">
      <c r="A2" s="20" t="inlineStr">
        <is>
          <t>New Construction scoped to Combatant Ships, Auxiliary Ships, USCG Cutters &amp; Unmanned Platforms</t>
        </is>
      </c>
    </row>
    <row r="3" ht="10" customHeight="1"/>
    <row r="4" ht="10" customHeight="1">
      <c r="A4" s="21" t="inlineStr">
        <is>
          <t>(A) Bridge: Total NC Funding → Newbuild TAM</t>
        </is>
      </c>
      <c r="B4" s="22" t="n"/>
    </row>
    <row r="5" ht="10" customHeight="1">
      <c r="A5" s="24" t="inlineStr">
        <is>
          <t>Total New Construction Funding</t>
        </is>
      </c>
      <c r="B5" s="25">
        <f>SUMIFS(JB_27U,JB_B,1,JB_S,"",JB_27U,"&lt;&gt;")+SUMIFS(JB_27S,JB_B,1,JB_S,"",JB_27U,"")+SUMIFS(JB_27U,JB_B,1,JB_S,"[PARENT]",JB_27U,"&lt;&gt;")+SUMIFS(JB_27S,JB_B,1,JB_S,"[PARENT]",JB_27U,"")</f>
        <v/>
      </c>
    </row>
    <row r="6" ht="10" customHeight="1">
      <c r="A6" s="24" t="inlineStr">
        <is>
          <t xml:space="preserve">  Less: Unattributed (fleet-wide NC items)</t>
        </is>
      </c>
      <c r="B6" s="25">
        <f>-(SUMIFS(JB_27U,JB_B,1,JB_V,"",JB_S,"",JB_27U,"&lt;&gt;")+SUMIFS(JB_27S,JB_B,1,JB_V,"",JB_S,"",JB_27U,"")+SUMIFS(JB_27U,JB_B,1,JB_V,"",JB_S,"[PARENT]",JB_27U,"&lt;&gt;")+SUMIFS(JB_27S,JB_B,1,JB_V,"",JB_S,"[PARENT]",JB_27U,""))</f>
        <v/>
      </c>
    </row>
    <row r="7" ht="10" customHeight="1">
      <c r="A7" s="24" t="inlineStr">
        <is>
          <t xml:space="preserve">  Less: Combatant Crafts</t>
        </is>
      </c>
      <c r="B7" s="25">
        <f>-(SUMIFS(JB_27U,JB_B,1,JB_V,"Combatant Crafts",JB_S,"",JB_27U,"&lt;&gt;")+SUMIFS(JB_27S,JB_B,1,JB_V,"Combatant Crafts",JB_S,"",JB_27U,"")+SUMIFS(JB_27U,JB_B,1,JB_V,"Combatant Crafts",JB_S,"[PARENT]",JB_27U,"&lt;&gt;")+SUMIFS(JB_27S,JB_B,1,JB_V,"Combatant Crafts",JB_S,"[PARENT]",JB_27U,""))</f>
        <v/>
      </c>
    </row>
    <row r="8" ht="10" customHeight="1">
      <c r="A8" s="24" t="inlineStr">
        <is>
          <t xml:space="preserve">  Less: Support Crafts</t>
        </is>
      </c>
      <c r="B8" s="25">
        <f>-(SUMIFS(JB_27U,JB_B,1,JB_V,"Support Crafts",JB_S,"",JB_27U,"&lt;&gt;")+SUMIFS(JB_27S,JB_B,1,JB_V,"Support Crafts",JB_S,"",JB_27U,"")+SUMIFS(JB_27U,JB_B,1,JB_V,"Support Crafts",JB_S,"[PARENT]",JB_27U,"&lt;&gt;")+SUMIFS(JB_27S,JB_B,1,JB_V,"Support Crafts",JB_S,"[PARENT]",JB_27U,""))</f>
        <v/>
      </c>
    </row>
    <row r="9" ht="10" customHeight="1">
      <c r="A9" s="26" t="inlineStr">
        <is>
          <t>Newbuild TAM</t>
        </is>
      </c>
      <c r="B9" s="2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21" t="inlineStr">
        <is>
          <t>(B) Newbuild TAM by Vessel Type</t>
        </is>
      </c>
      <c r="B12" s="22" t="n"/>
      <c r="C12" s="22" t="n"/>
      <c r="D12" s="22" t="n"/>
    </row>
    <row r="13" ht="10" customHeight="1">
      <c r="A13" s="23" t="inlineStr">
        <is>
          <t>Vessel Type</t>
        </is>
      </c>
      <c r="B13" s="23" t="inlineStr">
        <is>
          <t>Service</t>
        </is>
      </c>
      <c r="C13" s="23" t="inlineStr">
        <is>
          <t>FY2027 ($K)</t>
        </is>
      </c>
      <c r="D13" s="23" t="inlineStr">
        <is>
          <t>% of TAM</t>
        </is>
      </c>
    </row>
    <row r="14" ht="10" customHeight="1">
      <c r="A14" s="24" t="inlineStr">
        <is>
          <t>Submarines</t>
        </is>
      </c>
      <c r="B14" s="24" t="inlineStr">
        <is>
          <t>USN</t>
        </is>
      </c>
      <c r="C14" s="25">
        <f>SUMIFS(JB_27U,JB_B,1,JB_W,"Submarines",JB_S,"",JB_27U,"&lt;&gt;")+SUMIFS(JB_27S,JB_B,1,JB_W,"Submarines",JB_S,"",JB_27U,"")+SUMIFS(JB_27U,JB_B,1,JB_W,"Submarines",JB_S,"[PARENT]",JB_27U,"&lt;&gt;")+SUMIFS(JB_27S,JB_B,1,JB_W,"Submarines",JB_S,"[PARENT]",JB_27U,"")</f>
        <v/>
      </c>
      <c r="D14" s="31">
        <f>IFERROR(C14/C$42,0)</f>
        <v/>
      </c>
    </row>
    <row r="15" ht="10" customHeight="1">
      <c r="A15" s="24" t="inlineStr">
        <is>
          <t>Amphibious Warfare Ships</t>
        </is>
      </c>
      <c r="B15" s="24" t="inlineStr">
        <is>
          <t>USN</t>
        </is>
      </c>
      <c r="C15" s="25">
        <f>SUMIFS(JB_27U,JB_B,1,JB_W,"Amphibious Warfare Ships",JB_S,"",JB_27U,"&lt;&gt;")+SUMIFS(JB_27S,JB_B,1,JB_W,"Amphibious Warfare Ships",JB_S,"",JB_27U,"")+SUMIFS(JB_27U,JB_B,1,JB_W,"Amphibious Warfare Ships",JB_S,"[PARENT]",JB_27U,"&lt;&gt;")+SUMIFS(JB_27S,JB_B,1,JB_W,"Amphibious Warfare Ships",JB_S,"[PARENT]",JB_27U,"")</f>
        <v/>
      </c>
      <c r="D15" s="31">
        <f>IFERROR(C15/C$42,0)</f>
        <v/>
      </c>
    </row>
    <row r="16" ht="10" customHeight="1">
      <c r="A16" s="24" t="inlineStr">
        <is>
          <t>Surface Combatants</t>
        </is>
      </c>
      <c r="B16" s="24" t="inlineStr">
        <is>
          <t>USN</t>
        </is>
      </c>
      <c r="C16" s="25">
        <f>SUMIFS(JB_27U,JB_B,1,JB_W,"Surface Combatants",JB_S,"",JB_27U,"&lt;&gt;")+SUMIFS(JB_27S,JB_B,1,JB_W,"Surface Combatants",JB_S,"",JB_27U,"")+SUMIFS(JB_27U,JB_B,1,JB_W,"Surface Combatants",JB_S,"[PARENT]",JB_27U,"&lt;&gt;")+SUMIFS(JB_27S,JB_B,1,JB_W,"Surface Combatants",JB_S,"[PARENT]",JB_27U,"")</f>
        <v/>
      </c>
      <c r="D16" s="31">
        <f>IFERROR(C16/C$42,0)</f>
        <v/>
      </c>
    </row>
    <row r="17" ht="10" customHeight="1">
      <c r="A17" s="24" t="inlineStr">
        <is>
          <t>Material Support Ships</t>
        </is>
      </c>
      <c r="B17" s="24" t="inlineStr">
        <is>
          <t>USN</t>
        </is>
      </c>
      <c r="C17" s="25">
        <f>SUMIFS(JB_27U,JB_B,1,JB_W,"Material Support Ships",JB_S,"",JB_27U,"&lt;&gt;")+SUMIFS(JB_27S,JB_B,1,JB_W,"Material Support Ships",JB_S,"",JB_27U,"")+SUMIFS(JB_27U,JB_B,1,JB_W,"Material Support Ships",JB_S,"[PARENT]",JB_27U,"&lt;&gt;")+SUMIFS(JB_27S,JB_B,1,JB_W,"Material Support Ships",JB_S,"[PARENT]",JB_27U,"")</f>
        <v/>
      </c>
      <c r="D17" s="31">
        <f>IFERROR(C17/C$42,0)</f>
        <v/>
      </c>
    </row>
    <row r="18" ht="10" customHeight="1">
      <c r="A18" s="24" t="inlineStr">
        <is>
          <t>Aircraft Carriers</t>
        </is>
      </c>
      <c r="B18" s="24" t="inlineStr">
        <is>
          <t>USN</t>
        </is>
      </c>
      <c r="C18" s="25">
        <f>SUMIFS(JB_27U,JB_B,1,JB_W,"Aircraft Carriers",JB_S,"",JB_27U,"&lt;&gt;")+SUMIFS(JB_27S,JB_B,1,JB_W,"Aircraft Carriers",JB_S,"",JB_27U,"")+SUMIFS(JB_27U,JB_B,1,JB_W,"Aircraft Carriers",JB_S,"[PARENT]",JB_27U,"&lt;&gt;")+SUMIFS(JB_27S,JB_B,1,JB_W,"Aircraft Carriers",JB_S,"[PARENT]",JB_27U,"")</f>
        <v/>
      </c>
      <c r="D18" s="31">
        <f>IFERROR(C18/C$42,0)</f>
        <v/>
      </c>
    </row>
    <row r="19" ht="10" customHeight="1">
      <c r="A19" s="24" t="inlineStr">
        <is>
          <t>Combat Logistics Ships</t>
        </is>
      </c>
      <c r="B19" s="24" t="inlineStr">
        <is>
          <t>MSC</t>
        </is>
      </c>
      <c r="C19" s="25">
        <f>SUMIFS(JB_27U,JB_B,1,JB_W,"Combat Logistics Ships",JB_S,"",JB_27U,"&lt;&gt;")+SUMIFS(JB_27S,JB_B,1,JB_W,"Combat Logistics Ships",JB_S,"",JB_27U,"")+SUMIFS(JB_27U,JB_B,1,JB_W,"Combat Logistics Ships",JB_S,"[PARENT]",JB_27U,"&lt;&gt;")+SUMIFS(JB_27S,JB_B,1,JB_W,"Combat Logistics Ships",JB_S,"[PARENT]",JB_27U,"")</f>
        <v/>
      </c>
      <c r="D19" s="31">
        <f>IFERROR(C19/C$42,0)</f>
        <v/>
      </c>
    </row>
    <row r="20" ht="10" customHeight="1">
      <c r="A20" s="24" t="inlineStr">
        <is>
          <t>Expeditionary &amp; Seabasing Ships</t>
        </is>
      </c>
      <c r="B20" s="24" t="inlineStr">
        <is>
          <t>USN</t>
        </is>
      </c>
      <c r="C20" s="2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31">
        <f>IFERROR(C20/C$42,0)</f>
        <v/>
      </c>
    </row>
    <row r="21" ht="10" customHeight="1">
      <c r="A21" s="24" t="inlineStr">
        <is>
          <t>Surveillance Ships</t>
        </is>
      </c>
      <c r="B21" s="24" t="inlineStr">
        <is>
          <t>USN</t>
        </is>
      </c>
      <c r="C21" s="25">
        <f>SUMIFS(JB_27U,JB_B,1,JB_W,"Surveillance Ships",JB_S,"",JB_27U,"&lt;&gt;")+SUMIFS(JB_27S,JB_B,1,JB_W,"Surveillance Ships",JB_S,"",JB_27U,"")+SUMIFS(JB_27U,JB_B,1,JB_W,"Surveillance Ships",JB_S,"[PARENT]",JB_27U,"&lt;&gt;")+SUMIFS(JB_27S,JB_B,1,JB_W,"Surveillance Ships",JB_S,"[PARENT]",JB_27U,"")</f>
        <v/>
      </c>
      <c r="D21" s="31">
        <f>IFERROR(C21/C$42,0)</f>
        <v/>
      </c>
    </row>
    <row r="22" ht="10" customHeight="1">
      <c r="A22" s="24" t="inlineStr">
        <is>
          <t>Hospital Ship</t>
        </is>
      </c>
      <c r="B22" s="24" t="inlineStr">
        <is>
          <t>MSC</t>
        </is>
      </c>
      <c r="C22" s="25">
        <f>SUMIFS(JB_27U,JB_B,1,JB_W,"Hospital Ship",JB_S,"",JB_27U,"&lt;&gt;")+SUMIFS(JB_27S,JB_B,1,JB_W,"Hospital Ship",JB_S,"",JB_27U,"")+SUMIFS(JB_27U,JB_B,1,JB_W,"Hospital Ship",JB_S,"[PARENT]",JB_27U,"&lt;&gt;")+SUMIFS(JB_27S,JB_B,1,JB_W,"Hospital Ship",JB_S,"[PARENT]",JB_27U,"")</f>
        <v/>
      </c>
      <c r="D22" s="31">
        <f>IFERROR(C22/C$42,0)</f>
        <v/>
      </c>
    </row>
    <row r="23" ht="10" customHeight="1">
      <c r="A23" s="24" t="inlineStr">
        <is>
          <t>Cargo &amp; Vehicle Cargo Ships</t>
        </is>
      </c>
      <c r="B23" s="24" t="inlineStr">
        <is>
          <t>USN</t>
        </is>
      </c>
      <c r="C23" s="25">
        <f>SUMIFS(JB_27U,JB_B,1,JB_W,"Cargo &amp; Vehicle Cargo Ships",JB_S,"",JB_27U,"&lt;&gt;")+SUMIFS(JB_27S,JB_B,1,JB_W,"Cargo &amp; Vehicle Cargo Ships",JB_S,"",JB_27U,"")+SUMIFS(JB_27U,JB_B,1,JB_W,"Cargo &amp; Vehicle Cargo Ships",JB_S,"[PARENT]",JB_27U,"&lt;&gt;")+SUMIFS(JB_27S,JB_B,1,JB_W,"Cargo &amp; Vehicle Cargo Ships",JB_S,"[PARENT]",JB_27U,"")</f>
        <v/>
      </c>
      <c r="D23" s="31">
        <f>IFERROR(C23/C$42,0)</f>
        <v/>
      </c>
    </row>
    <row r="24" ht="10" customHeight="1">
      <c r="A24" s="24" t="inlineStr">
        <is>
          <t>Unmanned Undersea Vehicles</t>
        </is>
      </c>
      <c r="B24" s="24" t="inlineStr">
        <is>
          <t>USN</t>
        </is>
      </c>
      <c r="C24" s="25">
        <f>SUMIFS(JB_27U,JB_B,1,JB_W,"Unmanned Undersea Vehicles",JB_S,"",JB_27U,"&lt;&gt;")+SUMIFS(JB_27S,JB_B,1,JB_W,"Unmanned Undersea Vehicles",JB_S,"",JB_27U,"")+SUMIFS(JB_27U,JB_B,1,JB_W,"Unmanned Undersea Vehicles",JB_S,"[PARENT]",JB_27U,"&lt;&gt;")+SUMIFS(JB_27S,JB_B,1,JB_W,"Unmanned Undersea Vehicles",JB_S,"[PARENT]",JB_27U,"")</f>
        <v/>
      </c>
      <c r="D24" s="31">
        <f>IFERROR(C24/C$42,0)</f>
        <v/>
      </c>
    </row>
    <row r="25" ht="10" customHeight="1">
      <c r="A25" s="24" t="inlineStr">
        <is>
          <t>Unmanned Surface Vehicles</t>
        </is>
      </c>
      <c r="B25" s="24" t="inlineStr">
        <is>
          <t>USN</t>
        </is>
      </c>
      <c r="C25" s="25">
        <f>SUMIFS(JB_27U,JB_B,1,JB_W,"Unmanned Surface Vehicles",JB_S,"",JB_27U,"&lt;&gt;")+SUMIFS(JB_27S,JB_B,1,JB_W,"Unmanned Surface Vehicles",JB_S,"",JB_27U,"")+SUMIFS(JB_27U,JB_B,1,JB_W,"Unmanned Surface Vehicles",JB_S,"[PARENT]",JB_27U,"&lt;&gt;")+SUMIFS(JB_27S,JB_B,1,JB_W,"Unmanned Surface Vehicles",JB_S,"[PARENT]",JB_27U,"")</f>
        <v/>
      </c>
      <c r="D25" s="31">
        <f>IFERROR(C25/C$42,0)</f>
        <v/>
      </c>
    </row>
    <row r="26" ht="10" customHeight="1">
      <c r="A26" s="24" t="inlineStr">
        <is>
          <t>Crane Ship</t>
        </is>
      </c>
      <c r="B26" s="24" t="inlineStr">
        <is>
          <t>USN</t>
        </is>
      </c>
      <c r="C26" s="25">
        <f>SUMIFS(JB_27U,JB_B,1,JB_W,"Crane Ship",JB_S,"",JB_27U,"&lt;&gt;")+SUMIFS(JB_27S,JB_B,1,JB_W,"Crane Ship",JB_S,"",JB_27U,"")+SUMIFS(JB_27U,JB_B,1,JB_W,"Crane Ship",JB_S,"[PARENT]",JB_27U,"&lt;&gt;")+SUMIFS(JB_27S,JB_B,1,JB_W,"Crane Ship",JB_S,"[PARENT]",JB_27U,"")</f>
        <v/>
      </c>
      <c r="D26" s="31">
        <f>IFERROR(C26/C$42,0)</f>
        <v/>
      </c>
    </row>
    <row r="27" ht="10" customHeight="1">
      <c r="A27" s="24" t="inlineStr">
        <is>
          <t>Aviation Logistics Support Ship</t>
        </is>
      </c>
      <c r="B27" s="24" t="inlineStr">
        <is>
          <t>USN</t>
        </is>
      </c>
      <c r="C27" s="2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7" s="31">
        <f>IFERROR(C27/C$42,0)</f>
        <v/>
      </c>
    </row>
    <row r="28" ht="10" customHeight="1">
      <c r="A28" s="24" t="inlineStr">
        <is>
          <t>Command Ships</t>
        </is>
      </c>
      <c r="B28" s="24" t="inlineStr">
        <is>
          <t>USN</t>
        </is>
      </c>
      <c r="C28" s="25">
        <f>SUMIFS(JB_27U,JB_B,1,JB_W,"Command Ships",JB_S,"",JB_27U,"&lt;&gt;")+SUMIFS(JB_27S,JB_B,1,JB_W,"Command Ships",JB_S,"",JB_27U,"")+SUMIFS(JB_27U,JB_B,1,JB_W,"Command Ships",JB_S,"[PARENT]",JB_27U,"&lt;&gt;")+SUMIFS(JB_27S,JB_B,1,JB_W,"Command Ships",JB_S,"[PARENT]",JB_27U,"")</f>
        <v/>
      </c>
      <c r="D28" s="31">
        <f>IFERROR(C28/C$42,0)</f>
        <v/>
      </c>
    </row>
    <row r="29" ht="10" customHeight="1">
      <c r="A29" s="24" t="inlineStr">
        <is>
          <t>High Speed Transport</t>
        </is>
      </c>
      <c r="B29" s="24" t="inlineStr">
        <is>
          <t>USN</t>
        </is>
      </c>
      <c r="C29" s="25">
        <f>SUMIFS(JB_27U,JB_B,1,JB_W,"High Speed Transport",JB_S,"",JB_27U,"&lt;&gt;")+SUMIFS(JB_27S,JB_B,1,JB_W,"High Speed Transport",JB_S,"",JB_27U,"")+SUMIFS(JB_27U,JB_B,1,JB_W,"High Speed Transport",JB_S,"[PARENT]",JB_27U,"&lt;&gt;")+SUMIFS(JB_27S,JB_B,1,JB_W,"High Speed Transport",JB_S,"[PARENT]",JB_27U,"")</f>
        <v/>
      </c>
      <c r="D29" s="31">
        <f>IFERROR(C29/C$42,0)</f>
        <v/>
      </c>
    </row>
    <row r="30" ht="10" customHeight="1">
      <c r="A30" s="24" t="inlineStr">
        <is>
          <t>Salvage Ships &amp; Fleet Ocean Tugs</t>
        </is>
      </c>
      <c r="B30" s="24" t="inlineStr">
        <is>
          <t>MSC</t>
        </is>
      </c>
      <c r="C30" s="2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0" s="31">
        <f>IFERROR(C30/C$42,0)</f>
        <v/>
      </c>
    </row>
    <row r="31" ht="10" customHeight="1">
      <c r="A31" s="24" t="inlineStr">
        <is>
          <t>Mine Warfare</t>
        </is>
      </c>
      <c r="B31" s="24" t="inlineStr">
        <is>
          <t>USN</t>
        </is>
      </c>
      <c r="C31" s="25">
        <f>SUMIFS(JB_27U,JB_B,1,JB_W,"Mine Warfare",JB_S,"",JB_27U,"&lt;&gt;")+SUMIFS(JB_27S,JB_B,1,JB_W,"Mine Warfare",JB_S,"",JB_27U,"")+SUMIFS(JB_27U,JB_B,1,JB_W,"Mine Warfare",JB_S,"[PARENT]",JB_27U,"&lt;&gt;")+SUMIFS(JB_27S,JB_B,1,JB_W,"Mine Warfare",JB_S,"[PARENT]",JB_27U,"")</f>
        <v/>
      </c>
      <c r="D31" s="31">
        <f>IFERROR(C31/C$42,0)</f>
        <v/>
      </c>
    </row>
    <row r="32" ht="10" customHeight="1">
      <c r="A32" s="24" t="inlineStr">
        <is>
          <t>Submarine Escort Ship</t>
        </is>
      </c>
      <c r="B32" s="24" t="inlineStr">
        <is>
          <t>USN</t>
        </is>
      </c>
      <c r="C32" s="25">
        <f>SUMIFS(JB_27U,JB_B,1,JB_W,"Submarine Escort Ship",JB_S,"",JB_27U,"&lt;&gt;")+SUMIFS(JB_27S,JB_B,1,JB_W,"Submarine Escort Ship",JB_S,"",JB_27U,"")+SUMIFS(JB_27U,JB_B,1,JB_W,"Submarine Escort Ship",JB_S,"[PARENT]",JB_27U,"&lt;&gt;")+SUMIFS(JB_27S,JB_B,1,JB_W,"Submarine Escort Ship",JB_S,"[PARENT]",JB_27U,"")</f>
        <v/>
      </c>
      <c r="D32" s="31">
        <f>IFERROR(C32/C$42,0)</f>
        <v/>
      </c>
    </row>
    <row r="33" ht="10" customHeight="1">
      <c r="A33" s="24" t="inlineStr">
        <is>
          <t>Research, Survey &amp; Instrumentation Ships</t>
        </is>
      </c>
      <c r="B33" s="24" t="inlineStr">
        <is>
          <t>MSC</t>
        </is>
      </c>
      <c r="C33" s="2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33" s="31">
        <f>IFERROR(C33/C$42,0)</f>
        <v/>
      </c>
    </row>
    <row r="34" ht="10" customHeight="1">
      <c r="A34" s="24" t="inlineStr">
        <is>
          <t>General Auxiliary</t>
        </is>
      </c>
      <c r="B34" s="24" t="inlineStr">
        <is>
          <t>USN</t>
        </is>
      </c>
      <c r="C34" s="25">
        <f>SUMIFS(JB_27U,JB_B,1,JB_W,"General Auxiliary",JB_S,"",JB_27U,"&lt;&gt;")+SUMIFS(JB_27S,JB_B,1,JB_W,"General Auxiliary",JB_S,"",JB_27U,"")+SUMIFS(JB_27U,JB_B,1,JB_W,"General Auxiliary",JB_S,"[PARENT]",JB_27U,"&lt;&gt;")+SUMIFS(JB_27S,JB_B,1,JB_W,"General Auxiliary",JB_S,"[PARENT]",JB_27U,"")</f>
        <v/>
      </c>
      <c r="D34" s="31">
        <f>IFERROR(C34/C$42,0)</f>
        <v/>
      </c>
    </row>
    <row r="35" ht="10" customHeight="1">
      <c r="A35" s="24" t="inlineStr">
        <is>
          <t>Offshore Patrol Cutter</t>
        </is>
      </c>
      <c r="B35" s="24" t="inlineStr">
        <is>
          <t>USCG</t>
        </is>
      </c>
      <c r="C35" s="25">
        <f>SUMIFS(JB_27U,JB_B,1,JB_W,"Offshore Patrol Cutter",JB_S,"",JB_27U,"&lt;&gt;")+SUMIFS(JB_27S,JB_B,1,JB_W,"Offshore Patrol Cutter",JB_S,"",JB_27U,"")+SUMIFS(JB_27U,JB_B,1,JB_W,"Offshore Patrol Cutter",JB_S,"[PARENT]",JB_27U,"&lt;&gt;")+SUMIFS(JB_27S,JB_B,1,JB_W,"Offshore Patrol Cutter",JB_S,"[PARENT]",JB_27U,"")</f>
        <v/>
      </c>
      <c r="D35" s="31">
        <f>IFERROR(C35/C$42,0)</f>
        <v/>
      </c>
    </row>
    <row r="36" ht="10" customHeight="1">
      <c r="A36" s="24" t="inlineStr">
        <is>
          <t>Fast Response Cutters</t>
        </is>
      </c>
      <c r="B36" s="24" t="inlineStr">
        <is>
          <t>USCG</t>
        </is>
      </c>
      <c r="C36" s="25">
        <f>SUMIFS(JB_27U,JB_B,1,JB_W,"Fast Response Cutters",JB_S,"",JB_27U,"&lt;&gt;")+SUMIFS(JB_27S,JB_B,1,JB_W,"Fast Response Cutters",JB_S,"",JB_27U,"")+SUMIFS(JB_27U,JB_B,1,JB_W,"Fast Response Cutters",JB_S,"[PARENT]",JB_27U,"&lt;&gt;")+SUMIFS(JB_27S,JB_B,1,JB_W,"Fast Response Cutters",JB_S,"[PARENT]",JB_27U,"")</f>
        <v/>
      </c>
      <c r="D36" s="31">
        <f>IFERROR(C36/C$42,0)</f>
        <v/>
      </c>
    </row>
    <row r="37" ht="10" customHeight="1">
      <c r="A37" s="24" t="inlineStr">
        <is>
          <t>Icebreakers, Oceangoing</t>
        </is>
      </c>
      <c r="B37" s="24" t="inlineStr">
        <is>
          <t>USCG</t>
        </is>
      </c>
      <c r="C37" s="25">
        <f>SUMIFS(JB_27U,JB_B,1,JB_W,"Icebreakers, Oceangoing",JB_S,"",JB_27U,"&lt;&gt;")+SUMIFS(JB_27S,JB_B,1,JB_W,"Icebreakers, Oceangoing",JB_S,"",JB_27U,"")+SUMIFS(JB_27U,JB_B,1,JB_W,"Icebreakers, Oceangoing",JB_S,"[PARENT]",JB_27U,"&lt;&gt;")+SUMIFS(JB_27S,JB_B,1,JB_W,"Icebreakers, Oceangoing",JB_S,"[PARENT]",JB_27U,"")</f>
        <v/>
      </c>
      <c r="D37" s="31">
        <f>IFERROR(C37/C$42,0)</f>
        <v/>
      </c>
    </row>
    <row r="38" ht="10" customHeight="1">
      <c r="A38" s="24" t="inlineStr">
        <is>
          <t>Waterways Commerce Cutters</t>
        </is>
      </c>
      <c r="B38" s="24" t="inlineStr">
        <is>
          <t>USCG</t>
        </is>
      </c>
      <c r="C38" s="25">
        <f>SUMIFS(JB_27U,JB_B,1,JB_W,"Waterways Commerce Cutters",JB_S,"",JB_27U,"&lt;&gt;")+SUMIFS(JB_27S,JB_B,1,JB_W,"Waterways Commerce Cutters",JB_S,"",JB_27U,"")+SUMIFS(JB_27U,JB_B,1,JB_W,"Waterways Commerce Cutters",JB_S,"[PARENT]",JB_27U,"&lt;&gt;")+SUMIFS(JB_27S,JB_B,1,JB_W,"Waterways Commerce Cutters",JB_S,"[PARENT]",JB_27U,"")</f>
        <v/>
      </c>
      <c r="D38" s="31">
        <f>IFERROR(C38/C$42,0)</f>
        <v/>
      </c>
    </row>
    <row r="39" ht="10" customHeight="1">
      <c r="A39" s="24" t="inlineStr">
        <is>
          <t>National Security Cutters</t>
        </is>
      </c>
      <c r="B39" s="24" t="inlineStr">
        <is>
          <t>USCG</t>
        </is>
      </c>
      <c r="C39" s="25">
        <f>SUMIFS(JB_27U,JB_B,1,JB_W,"National Security Cutters",JB_S,"",JB_27U,"&lt;&gt;")+SUMIFS(JB_27S,JB_B,1,JB_W,"National Security Cutters",JB_S,"",JB_27U,"")+SUMIFS(JB_27U,JB_B,1,JB_W,"National Security Cutters",JB_S,"[PARENT]",JB_27U,"&lt;&gt;")+SUMIFS(JB_27S,JB_B,1,JB_W,"National Security Cutters",JB_S,"[PARENT]",JB_27U,"")</f>
        <v/>
      </c>
      <c r="D39" s="31">
        <f>IFERROR(C39/C$42,0)</f>
        <v/>
      </c>
    </row>
    <row r="40" ht="10" customHeight="1">
      <c r="A40" s="24" t="inlineStr">
        <is>
          <t>Icebreakers, Great Lakes</t>
        </is>
      </c>
      <c r="B40" s="24" t="inlineStr">
        <is>
          <t>USCG</t>
        </is>
      </c>
      <c r="C40" s="25">
        <f>SUMIFS(JB_27U,JB_B,1,JB_W,"Icebreakers, Great Lakes",JB_S,"",JB_27U,"&lt;&gt;")+SUMIFS(JB_27S,JB_B,1,JB_W,"Icebreakers, Great Lakes",JB_S,"",JB_27U,"")+SUMIFS(JB_27U,JB_B,1,JB_W,"Icebreakers, Great Lakes",JB_S,"[PARENT]",JB_27U,"&lt;&gt;")+SUMIFS(JB_27S,JB_B,1,JB_W,"Icebreakers, Great Lakes",JB_S,"[PARENT]",JB_27U,"")</f>
        <v/>
      </c>
      <c r="D40" s="31">
        <f>IFERROR(C40/C$42,0)</f>
        <v/>
      </c>
    </row>
    <row r="41" ht="10" customHeight="1">
      <c r="A41" s="24" t="inlineStr">
        <is>
          <t>Coastal Buoy Tenders</t>
        </is>
      </c>
      <c r="B41" s="24" t="inlineStr">
        <is>
          <t>USCG</t>
        </is>
      </c>
      <c r="C41" s="25">
        <f>SUMIFS(JB_27U,JB_B,1,JB_W,"Coastal Buoy Tenders",JB_S,"",JB_27U,"&lt;&gt;")+SUMIFS(JB_27S,JB_B,1,JB_W,"Coastal Buoy Tenders",JB_S,"",JB_27U,"")+SUMIFS(JB_27U,JB_B,1,JB_W,"Coastal Buoy Tenders",JB_S,"[PARENT]",JB_27U,"&lt;&gt;")+SUMIFS(JB_27S,JB_B,1,JB_W,"Coastal Buoy Tenders",JB_S,"[PARENT]",JB_27U,"")</f>
        <v/>
      </c>
      <c r="D41" s="31">
        <f>IFERROR(C41/C$42,0)</f>
        <v/>
      </c>
    </row>
    <row r="42" ht="10" customHeight="1">
      <c r="A42" s="26" t="inlineStr">
        <is>
          <t>Newbuild TAM</t>
        </is>
      </c>
      <c r="B42" s="26" t="inlineStr"/>
      <c r="C42" s="27">
        <f>SUM(C14:C41)</f>
        <v/>
      </c>
      <c r="D42" s="32" t="n">
        <v>1</v>
      </c>
    </row>
    <row r="43" ht="10" customHeight="1"/>
    <row r="44" ht="10" customHeight="1"/>
    <row r="45" ht="10" customHeight="1">
      <c r="A45" s="21" t="inlineStr">
        <is>
          <t>(C) Newbuild TAM — DD&amp;C vs AP/LLTM by Vessel Type (Mekko)</t>
        </is>
      </c>
      <c r="B45" s="22" t="n"/>
      <c r="C45" s="22" t="n"/>
      <c r="D45" s="22" t="n"/>
      <c r="E45" s="22" t="n"/>
      <c r="F45" s="22" t="n"/>
      <c r="G45" s="22" t="n"/>
      <c r="H45" s="22" t="n"/>
      <c r="I45" s="22" t="n"/>
      <c r="J45" s="22" t="n"/>
      <c r="K45" s="22" t="n"/>
      <c r="L45" s="22" t="n"/>
      <c r="M45" s="22" t="n"/>
      <c r="N45" s="22" t="n"/>
    </row>
    <row r="46" ht="10" customHeight="1">
      <c r="A46" s="33" t="n"/>
      <c r="B46" s="34" t="inlineStr">
        <is>
          <t>USN</t>
        </is>
      </c>
      <c r="C46" s="33" t="n"/>
      <c r="D46" s="33" t="n"/>
      <c r="E46" s="33" t="n"/>
      <c r="F46" s="33" t="n"/>
      <c r="G46" s="33" t="n"/>
      <c r="H46" s="33" t="n"/>
      <c r="I46" s="33" t="n"/>
      <c r="J46" s="33" t="n"/>
      <c r="K46" s="33" t="n"/>
      <c r="L46" s="33" t="n"/>
      <c r="M46" s="33" t="n"/>
      <c r="N46" s="35" t="n"/>
    </row>
    <row r="47" ht="10" customHeight="1">
      <c r="A47" s="23" t="inlineStr">
        <is>
          <t>Sub-Category</t>
        </is>
      </c>
      <c r="B47" s="36" t="inlineStr">
        <is>
          <t>Submarines</t>
        </is>
      </c>
      <c r="C47" s="23" t="inlineStr">
        <is>
          <t>Amphibious Warfare Ships</t>
        </is>
      </c>
      <c r="D47" s="23" t="inlineStr">
        <is>
          <t>Surface Combatants</t>
        </is>
      </c>
      <c r="E47" s="23" t="inlineStr">
        <is>
          <t>Material Support Ships</t>
        </is>
      </c>
      <c r="F47" s="23" t="inlineStr">
        <is>
          <t>Aircraft Carriers</t>
        </is>
      </c>
      <c r="G47" s="23" t="inlineStr">
        <is>
          <t>Combat Logistics Ships</t>
        </is>
      </c>
      <c r="H47" s="23" t="inlineStr">
        <is>
          <t>Expeditionary &amp; Seabasing Ships</t>
        </is>
      </c>
      <c r="I47" s="23" t="inlineStr">
        <is>
          <t>Surveillance Ships</t>
        </is>
      </c>
      <c r="J47" s="23" t="inlineStr">
        <is>
          <t>Hospital Ship</t>
        </is>
      </c>
      <c r="K47" s="23" t="inlineStr">
        <is>
          <t>Cargo &amp; Vehicle Cargo Ships</t>
        </is>
      </c>
      <c r="L47" s="23" t="inlineStr">
        <is>
          <t>Unmanned Undersea Vehicles</t>
        </is>
      </c>
      <c r="M47" s="23" t="inlineStr">
        <is>
          <t>Unmanned Surface Vehicles</t>
        </is>
      </c>
      <c r="N47" s="36" t="inlineStr">
        <is>
          <t>Total</t>
        </is>
      </c>
    </row>
    <row r="48" ht="10" customHeight="1">
      <c r="A48" s="24" t="inlineStr">
        <is>
          <t>Full Ship DD&amp;C</t>
        </is>
      </c>
      <c r="B48" s="37">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3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3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3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3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3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3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3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3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3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3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3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37">
        <f>IFERROR(1-N49,0)</f>
        <v/>
      </c>
    </row>
    <row r="49" ht="10" customHeight="1">
      <c r="A49" s="24" t="inlineStr">
        <is>
          <t>Advance Procurement / LLTM</t>
        </is>
      </c>
      <c r="B49" s="37">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3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3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3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3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3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3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3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3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3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3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3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3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24" t="inlineStr">
        <is>
          <t>Other NC Sub-Categories</t>
        </is>
      </c>
      <c r="B50" s="37">
        <f>IFERROR(1-B48-B49,0)</f>
        <v/>
      </c>
      <c r="C50" s="31">
        <f>IFERROR(1-C48-C49,0)</f>
        <v/>
      </c>
      <c r="D50" s="31">
        <f>IFERROR(1-D48-D49,0)</f>
        <v/>
      </c>
      <c r="E50" s="31">
        <f>IFERROR(1-E48-E49,0)</f>
        <v/>
      </c>
      <c r="F50" s="31">
        <f>IFERROR(1-F48-F49,0)</f>
        <v/>
      </c>
      <c r="G50" s="31">
        <f>IFERROR(1-G48-G49,0)</f>
        <v/>
      </c>
      <c r="H50" s="31">
        <f>IFERROR(1-H48-H49,0)</f>
        <v/>
      </c>
      <c r="I50" s="31">
        <f>IFERROR(1-I48-I49,0)</f>
        <v/>
      </c>
      <c r="J50" s="31">
        <f>IFERROR(1-J48-J49,0)</f>
        <v/>
      </c>
      <c r="K50" s="31">
        <f>IFERROR(1-K48-K49,0)</f>
        <v/>
      </c>
      <c r="L50" s="31">
        <f>IFERROR(1-L48-L49,0)</f>
        <v/>
      </c>
      <c r="M50" s="31">
        <f>IFERROR(1-M48-M49,0)</f>
        <v/>
      </c>
      <c r="N50" s="37">
        <f>IFERROR(1-N48-N49,0)</f>
        <v/>
      </c>
    </row>
    <row r="51" ht="10" customHeight="1">
      <c r="A51" s="26" t="inlineStr">
        <is>
          <t>Total ($K)</t>
        </is>
      </c>
      <c r="B51" s="38">
        <f>SUMIFS(JB_27U,JB_B,1,JB_W,"Submarines",JB_S,"",JB_27U,"&lt;&gt;")+SUMIFS(JB_27S,JB_B,1,JB_W,"Submarines",JB_S,"",JB_27U,"")+SUMIFS(JB_27U,JB_B,1,JB_W,"Submarines",JB_S,"[PARENT]",JB_27U,"&lt;&gt;")+SUMIFS(JB_27S,JB_B,1,JB_W,"Submarines",JB_S,"[PARENT]",JB_27U,"")</f>
        <v/>
      </c>
      <c r="C51" s="27">
        <f>SUMIFS(JB_27U,JB_B,1,JB_W,"Amphibious Warfare Ships",JB_S,"",JB_27U,"&lt;&gt;")+SUMIFS(JB_27S,JB_B,1,JB_W,"Amphibious Warfare Ships",JB_S,"",JB_27U,"")+SUMIFS(JB_27U,JB_B,1,JB_W,"Amphibious Warfare Ships",JB_S,"[PARENT]",JB_27U,"&lt;&gt;")+SUMIFS(JB_27S,JB_B,1,JB_W,"Amphibious Warfare Ships",JB_S,"[PARENT]",JB_27U,"")</f>
        <v/>
      </c>
      <c r="D51" s="27">
        <f>SUMIFS(JB_27U,JB_B,1,JB_W,"Surface Combatants",JB_S,"",JB_27U,"&lt;&gt;")+SUMIFS(JB_27S,JB_B,1,JB_W,"Surface Combatants",JB_S,"",JB_27U,"")+SUMIFS(JB_27U,JB_B,1,JB_W,"Surface Combatants",JB_S,"[PARENT]",JB_27U,"&lt;&gt;")+SUMIFS(JB_27S,JB_B,1,JB_W,"Surface Combatants",JB_S,"[PARENT]",JB_27U,"")</f>
        <v/>
      </c>
      <c r="E51" s="27">
        <f>SUMIFS(JB_27U,JB_B,1,JB_W,"Material Support Ships",JB_S,"",JB_27U,"&lt;&gt;")+SUMIFS(JB_27S,JB_B,1,JB_W,"Material Support Ships",JB_S,"",JB_27U,"")+SUMIFS(JB_27U,JB_B,1,JB_W,"Material Support Ships",JB_S,"[PARENT]",JB_27U,"&lt;&gt;")+SUMIFS(JB_27S,JB_B,1,JB_W,"Material Support Ships",JB_S,"[PARENT]",JB_27U,"")</f>
        <v/>
      </c>
      <c r="F51" s="27">
        <f>SUMIFS(JB_27U,JB_B,1,JB_W,"Aircraft Carriers",JB_S,"",JB_27U,"&lt;&gt;")+SUMIFS(JB_27S,JB_B,1,JB_W,"Aircraft Carriers",JB_S,"",JB_27U,"")+SUMIFS(JB_27U,JB_B,1,JB_W,"Aircraft Carriers",JB_S,"[PARENT]",JB_27U,"&lt;&gt;")+SUMIFS(JB_27S,JB_B,1,JB_W,"Aircraft Carriers",JB_S,"[PARENT]",JB_27U,"")</f>
        <v/>
      </c>
      <c r="G51" s="27">
        <f>SUMIFS(JB_27U,JB_B,1,JB_W,"Combat Logistics Ships",JB_S,"",JB_27U,"&lt;&gt;")+SUMIFS(JB_27S,JB_B,1,JB_W,"Combat Logistics Ships",JB_S,"",JB_27U,"")+SUMIFS(JB_27U,JB_B,1,JB_W,"Combat Logistics Ships",JB_S,"[PARENT]",JB_27U,"&lt;&gt;")+SUMIFS(JB_27S,JB_B,1,JB_W,"Combat Logistics Ships",JB_S,"[PARENT]",JB_27U,"")</f>
        <v/>
      </c>
      <c r="H51" s="2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27">
        <f>SUMIFS(JB_27U,JB_B,1,JB_W,"Surveillance Ships",JB_S,"",JB_27U,"&lt;&gt;")+SUMIFS(JB_27S,JB_B,1,JB_W,"Surveillance Ships",JB_S,"",JB_27U,"")+SUMIFS(JB_27U,JB_B,1,JB_W,"Surveillance Ships",JB_S,"[PARENT]",JB_27U,"&lt;&gt;")+SUMIFS(JB_27S,JB_B,1,JB_W,"Surveillance Ships",JB_S,"[PARENT]",JB_27U,"")</f>
        <v/>
      </c>
      <c r="J51" s="27">
        <f>SUMIFS(JB_27U,JB_B,1,JB_W,"Hospital Ship",JB_S,"",JB_27U,"&lt;&gt;")+SUMIFS(JB_27S,JB_B,1,JB_W,"Hospital Ship",JB_S,"",JB_27U,"")+SUMIFS(JB_27U,JB_B,1,JB_W,"Hospital Ship",JB_S,"[PARENT]",JB_27U,"&lt;&gt;")+SUMIFS(JB_27S,JB_B,1,JB_W,"Hospital Ship",JB_S,"[PARENT]",JB_27U,"")</f>
        <v/>
      </c>
      <c r="K51" s="27">
        <f>SUMIFS(JB_27U,JB_B,1,JB_W,"Cargo &amp; Vehicle Cargo Ships",JB_S,"",JB_27U,"&lt;&gt;")+SUMIFS(JB_27S,JB_B,1,JB_W,"Cargo &amp; Vehicle Cargo Ships",JB_S,"",JB_27U,"")+SUMIFS(JB_27U,JB_B,1,JB_W,"Cargo &amp; Vehicle Cargo Ships",JB_S,"[PARENT]",JB_27U,"&lt;&gt;")+SUMIFS(JB_27S,JB_B,1,JB_W,"Cargo &amp; Vehicle Cargo Ships",JB_S,"[PARENT]",JB_27U,"")</f>
        <v/>
      </c>
      <c r="L51" s="27">
        <f>SUMIFS(JB_27U,JB_B,1,JB_W,"Unmanned Undersea Vehicles",JB_S,"",JB_27U,"&lt;&gt;")+SUMIFS(JB_27S,JB_B,1,JB_W,"Unmanned Undersea Vehicles",JB_S,"",JB_27U,"")+SUMIFS(JB_27U,JB_B,1,JB_W,"Unmanned Undersea Vehicles",JB_S,"[PARENT]",JB_27U,"&lt;&gt;")+SUMIFS(JB_27S,JB_B,1,JB_W,"Unmanned Undersea Vehicles",JB_S,"[PARENT]",JB_27U,"")</f>
        <v/>
      </c>
      <c r="M51" s="27">
        <f>SUMIFS(JB_27U,JB_B,1,JB_W,"Unmanned Surface Vehicles",JB_S,"",JB_27U,"&lt;&gt;")+SUMIFS(JB_27S,JB_B,1,JB_W,"Unmanned Surface Vehicles",JB_S,"",JB_27U,"")+SUMIFS(JB_27U,JB_B,1,JB_W,"Unmanned Surface Vehicles",JB_S,"[PARENT]",JB_27U,"&lt;&gt;")+SUMIFS(JB_27S,JB_B,1,JB_W,"Unmanned Surface Vehicles",JB_S,"[PARENT]",JB_27U,"")</f>
        <v/>
      </c>
      <c r="N51" s="38">
        <f>SUM(B51:M51)</f>
        <v/>
      </c>
    </row>
    <row r="52" ht="10" customHeight="1"/>
    <row r="53" ht="10" customHeight="1"/>
    <row r="54" ht="10" customHeight="1">
      <c r="A54" s="21" t="inlineStr">
        <is>
          <t>(D) Newbuild TAM by Hull Program — FY2027 ($K)</t>
        </is>
      </c>
      <c r="B54" s="22" t="n"/>
      <c r="C54" s="22" t="n"/>
      <c r="D54" s="22" t="n"/>
    </row>
    <row r="55" ht="10" customHeight="1">
      <c r="A55" s="20" t="inlineStr">
        <is>
          <t>Same funding as (B) broken down to individual hull programs.</t>
        </is>
      </c>
    </row>
    <row r="56" ht="10" customHeight="1">
      <c r="A56" s="23" t="inlineStr">
        <is>
          <t>Hull Program</t>
        </is>
      </c>
      <c r="B56" s="23" t="inlineStr">
        <is>
          <t>Service</t>
        </is>
      </c>
      <c r="C56" s="23" t="inlineStr">
        <is>
          <t>FY2027 ($K)</t>
        </is>
      </c>
      <c r="D56" s="23" t="inlineStr">
        <is>
          <t>% of TAM</t>
        </is>
      </c>
    </row>
    <row r="57" ht="10" customHeight="1">
      <c r="A57" s="24" t="inlineStr">
        <is>
          <t>SSBN (Submarines)</t>
        </is>
      </c>
      <c r="B57" s="24" t="inlineStr">
        <is>
          <t>USN</t>
        </is>
      </c>
      <c r="C57" s="25">
        <f>SUMIFS(JB_27U,JB_B,1,JB_H,"SSBN",JB_S,"",JB_27U,"&lt;&gt;")+SUMIFS(JB_27S,JB_B,1,JB_H,"SSBN",JB_S,"",JB_27U,"")+SUMIFS(JB_27U,JB_B,1,JB_H,"SSBN",JB_S,"[PARENT]",JB_27U,"&lt;&gt;")+SUMIFS(JB_27S,JB_B,1,JB_H,"SSBN",JB_S,"[PARENT]",JB_27U,"")</f>
        <v/>
      </c>
      <c r="D57" s="31">
        <f>IFERROR(C57/C$72,0)</f>
        <v/>
      </c>
    </row>
    <row r="58" ht="10" customHeight="1">
      <c r="A58" s="24" t="inlineStr">
        <is>
          <t>SSN (Submarines)</t>
        </is>
      </c>
      <c r="B58" s="24" t="inlineStr">
        <is>
          <t>USN</t>
        </is>
      </c>
      <c r="C58" s="25">
        <f>SUMIFS(JB_27U,JB_B,1,JB_H,"SSN",JB_S,"",JB_27U,"&lt;&gt;")+SUMIFS(JB_27S,JB_B,1,JB_H,"SSN",JB_S,"",JB_27U,"")+SUMIFS(JB_27U,JB_B,1,JB_H,"SSN",JB_S,"[PARENT]",JB_27U,"&lt;&gt;")+SUMIFS(JB_27S,JB_B,1,JB_H,"SSN",JB_S,"[PARENT]",JB_27U,"")</f>
        <v/>
      </c>
      <c r="D58" s="31">
        <f>IFERROR(C58/C$72,0)</f>
        <v/>
      </c>
    </row>
    <row r="59" ht="10" customHeight="1">
      <c r="A59" s="24" t="inlineStr">
        <is>
          <t>AS (Material Support Ships)</t>
        </is>
      </c>
      <c r="B59" s="24" t="inlineStr">
        <is>
          <t>USN</t>
        </is>
      </c>
      <c r="C59" s="25">
        <f>SUMIFS(JB_27U,JB_B,1,JB_H,"AS",JB_S,"",JB_27U,"&lt;&gt;")+SUMIFS(JB_27S,JB_B,1,JB_H,"AS",JB_S,"",JB_27U,"")+SUMIFS(JB_27U,JB_B,1,JB_H,"AS",JB_S,"[PARENT]",JB_27U,"&lt;&gt;")+SUMIFS(JB_27S,JB_B,1,JB_H,"AS",JB_S,"[PARENT]",JB_27U,"")</f>
        <v/>
      </c>
      <c r="D59" s="31">
        <f>IFERROR(C59/C$72,0)</f>
        <v/>
      </c>
    </row>
    <row r="60" ht="10" customHeight="1">
      <c r="A60" s="24" t="inlineStr">
        <is>
          <t>CVN (Aircraft Carriers)</t>
        </is>
      </c>
      <c r="B60" s="24" t="inlineStr">
        <is>
          <t>USN</t>
        </is>
      </c>
      <c r="C60" s="25">
        <f>SUMIFS(JB_27U,JB_B,1,JB_H,"CVN",JB_S,"",JB_27U,"&lt;&gt;")+SUMIFS(JB_27S,JB_B,1,JB_H,"CVN",JB_S,"",JB_27U,"")+SUMIFS(JB_27U,JB_B,1,JB_H,"CVN",JB_S,"[PARENT]",JB_27U,"&lt;&gt;")+SUMIFS(JB_27S,JB_B,1,JB_H,"CVN",JB_S,"[PARENT]",JB_27U,"")</f>
        <v/>
      </c>
      <c r="D60" s="31">
        <f>IFERROR(C60/C$72,0)</f>
        <v/>
      </c>
    </row>
    <row r="61" ht="10" customHeight="1">
      <c r="A61" s="24" t="inlineStr">
        <is>
          <t>LHA (Amphibious Warfare Ships)</t>
        </is>
      </c>
      <c r="B61" s="24" t="inlineStr">
        <is>
          <t>USN</t>
        </is>
      </c>
      <c r="C61" s="25">
        <f>SUMIFS(JB_27U,JB_B,1,JB_H,"LHA",JB_S,"",JB_27U,"&lt;&gt;")+SUMIFS(JB_27S,JB_B,1,JB_H,"LHA",JB_S,"",JB_27U,"")+SUMIFS(JB_27U,JB_B,1,JB_H,"LHA",JB_S,"[PARENT]",JB_27U,"&lt;&gt;")+SUMIFS(JB_27S,JB_B,1,JB_H,"LHA",JB_S,"[PARENT]",JB_27U,"")</f>
        <v/>
      </c>
      <c r="D61" s="31">
        <f>IFERROR(C61/C$72,0)</f>
        <v/>
      </c>
    </row>
    <row r="62" ht="10" customHeight="1">
      <c r="A62" s="24" t="inlineStr">
        <is>
          <t>DDG (Surface Combatants)</t>
        </is>
      </c>
      <c r="B62" s="24" t="inlineStr">
        <is>
          <t>USN</t>
        </is>
      </c>
      <c r="C62" s="25">
        <f>SUMIFS(JB_27U,JB_B,1,JB_H,"DDG",JB_S,"",JB_27U,"&lt;&gt;")+SUMIFS(JB_27S,JB_B,1,JB_H,"DDG",JB_S,"",JB_27U,"")+SUMIFS(JB_27U,JB_B,1,JB_H,"DDG",JB_S,"[PARENT]",JB_27U,"&lt;&gt;")+SUMIFS(JB_27S,JB_B,1,JB_H,"DDG",JB_S,"[PARENT]",JB_27U,"")</f>
        <v/>
      </c>
      <c r="D62" s="31">
        <f>IFERROR(C62/C$72,0)</f>
        <v/>
      </c>
    </row>
    <row r="63" ht="10" customHeight="1">
      <c r="A63" s="24" t="inlineStr">
        <is>
          <t>LPD (Amphibious Warfare Ships)</t>
        </is>
      </c>
      <c r="B63" s="24" t="inlineStr">
        <is>
          <t>USN</t>
        </is>
      </c>
      <c r="C63" s="25">
        <f>SUMIFS(JB_27U,JB_B,1,JB_H,"LPD",JB_S,"",JB_27U,"&lt;&gt;")+SUMIFS(JB_27S,JB_B,1,JB_H,"LPD",JB_S,"",JB_27U,"")+SUMIFS(JB_27U,JB_B,1,JB_H,"LPD",JB_S,"[PARENT]",JB_27U,"&lt;&gt;")+SUMIFS(JB_27S,JB_B,1,JB_H,"LPD",JB_S,"[PARENT]",JB_27U,"")</f>
        <v/>
      </c>
      <c r="D63" s="31">
        <f>IFERROR(C63/C$72,0)</f>
        <v/>
      </c>
    </row>
    <row r="64" ht="10" customHeight="1">
      <c r="A64" s="24" t="inlineStr">
        <is>
          <t>T-AO (Combat Logistics Ships)</t>
        </is>
      </c>
      <c r="B64" s="24" t="inlineStr">
        <is>
          <t>MSC</t>
        </is>
      </c>
      <c r="C64" s="25">
        <f>SUMIFS(JB_27U,JB_B,1,JB_H,"T-AO",JB_S,"",JB_27U,"&lt;&gt;")+SUMIFS(JB_27S,JB_B,1,JB_H,"T-AO",JB_S,"",JB_27U,"")+SUMIFS(JB_27U,JB_B,1,JB_H,"T-AO",JB_S,"[PARENT]",JB_27U,"&lt;&gt;")+SUMIFS(JB_27S,JB_B,1,JB_H,"T-AO",JB_S,"[PARENT]",JB_27U,"")</f>
        <v/>
      </c>
      <c r="D64" s="31">
        <f>IFERROR(C64/C$72,0)</f>
        <v/>
      </c>
    </row>
    <row r="65" ht="10" customHeight="1">
      <c r="A65" s="24" t="inlineStr">
        <is>
          <t>LSM (Expeditionary &amp; Seabasing Ships)</t>
        </is>
      </c>
      <c r="B65" s="24" t="inlineStr">
        <is>
          <t>USN</t>
        </is>
      </c>
      <c r="C65" s="25">
        <f>SUMIFS(JB_27U,JB_B,1,JB_H,"LSM",JB_S,"",JB_27U,"&lt;&gt;")+SUMIFS(JB_27S,JB_B,1,JB_H,"LSM",JB_S,"",JB_27U,"")+SUMIFS(JB_27U,JB_B,1,JB_H,"LSM",JB_S,"[PARENT]",JB_27U,"&lt;&gt;")+SUMIFS(JB_27S,JB_B,1,JB_H,"LSM",JB_S,"[PARENT]",JB_27U,"")</f>
        <v/>
      </c>
      <c r="D65" s="31">
        <f>IFERROR(C65/C$72,0)</f>
        <v/>
      </c>
    </row>
    <row r="66" ht="10" customHeight="1">
      <c r="A66" s="24" t="inlineStr">
        <is>
          <t>FFG (Surface Combatants)</t>
        </is>
      </c>
      <c r="B66" s="24" t="inlineStr">
        <is>
          <t>USN</t>
        </is>
      </c>
      <c r="C66" s="25">
        <f>SUMIFS(JB_27U,JB_B,1,JB_H,"FFG",JB_S,"",JB_27U,"&lt;&gt;")+SUMIFS(JB_27S,JB_B,1,JB_H,"FFG",JB_S,"",JB_27U,"")+SUMIFS(JB_27U,JB_B,1,JB_H,"FFG",JB_S,"[PARENT]",JB_27U,"&lt;&gt;")+SUMIFS(JB_27S,JB_B,1,JB_H,"FFG",JB_S,"[PARENT]",JB_27U,"")</f>
        <v/>
      </c>
      <c r="D66" s="31">
        <f>IFERROR(C66/C$72,0)</f>
        <v/>
      </c>
    </row>
    <row r="67" ht="10" customHeight="1">
      <c r="A67" s="24" t="inlineStr">
        <is>
          <t>T-AGOS (Surveillance Ships)</t>
        </is>
      </c>
      <c r="B67" s="24" t="inlineStr">
        <is>
          <t>MSC</t>
        </is>
      </c>
      <c r="C67" s="25">
        <f>SUMIFS(JB_27U,JB_B,1,JB_H,"T-AGOS",JB_S,"",JB_27U,"&lt;&gt;")+SUMIFS(JB_27S,JB_B,1,JB_H,"T-AGOS",JB_S,"",JB_27U,"")+SUMIFS(JB_27U,JB_B,1,JB_H,"T-AGOS",JB_S,"[PARENT]",JB_27U,"&lt;&gt;")+SUMIFS(JB_27S,JB_B,1,JB_H,"T-AGOS",JB_S,"[PARENT]",JB_27U,"")</f>
        <v/>
      </c>
      <c r="D67" s="31">
        <f>IFERROR(C67/C$72,0)</f>
        <v/>
      </c>
    </row>
    <row r="68" ht="10" customHeight="1">
      <c r="A68" s="24" t="inlineStr">
        <is>
          <t>T-AH (Hospital Ship)</t>
        </is>
      </c>
      <c r="B68" s="24" t="inlineStr">
        <is>
          <t>MSC</t>
        </is>
      </c>
      <c r="C68" s="25">
        <f>SUMIFS(JB_27U,JB_B,1,JB_H,"T-AH",JB_S,"",JB_27U,"&lt;&gt;")+SUMIFS(JB_27S,JB_B,1,JB_H,"T-AH",JB_S,"",JB_27U,"")+SUMIFS(JB_27U,JB_B,1,JB_H,"T-AH",JB_S,"[PARENT]",JB_27U,"&lt;&gt;")+SUMIFS(JB_27S,JB_B,1,JB_H,"T-AH",JB_S,"[PARENT]",JB_27U,"")</f>
        <v/>
      </c>
      <c r="D68" s="31">
        <f>IFERROR(C68/C$72,0)</f>
        <v/>
      </c>
    </row>
    <row r="69" ht="10" customHeight="1">
      <c r="A69" s="24" t="inlineStr">
        <is>
          <t>T-AK / T-AKR (Cargo &amp; Vehicle Cargo Ships)</t>
        </is>
      </c>
      <c r="B69" s="24" t="inlineStr">
        <is>
          <t>MSC</t>
        </is>
      </c>
      <c r="C69" s="25">
        <f>SUMIFS(JB_27U,JB_B,1,JB_H,"T-AK / T-AKR",JB_S,"",JB_27U,"&lt;&gt;")+SUMIFS(JB_27S,JB_B,1,JB_H,"T-AK / T-AKR",JB_S,"",JB_27U,"")+SUMIFS(JB_27U,JB_B,1,JB_H,"T-AK / T-AKR",JB_S,"[PARENT]",JB_27U,"&lt;&gt;")+SUMIFS(JB_27S,JB_B,1,JB_H,"T-AK / T-AKR",JB_S,"[PARENT]",JB_27U,"")</f>
        <v/>
      </c>
      <c r="D69" s="31">
        <f>IFERROR(C69/C$72,0)</f>
        <v/>
      </c>
    </row>
    <row r="70" ht="10" customHeight="1">
      <c r="A70" s="24" t="inlineStr">
        <is>
          <t>UUV (Unmanned Undersea Vehicles)</t>
        </is>
      </c>
      <c r="B70" s="24" t="inlineStr">
        <is>
          <t>USN</t>
        </is>
      </c>
      <c r="C70" s="25">
        <f>SUMIFS(JB_27U,JB_B,1,JB_H,"UUV",JB_S,"",JB_27U,"&lt;&gt;")+SUMIFS(JB_27S,JB_B,1,JB_H,"UUV",JB_S,"",JB_27U,"")+SUMIFS(JB_27U,JB_B,1,JB_H,"UUV",JB_S,"[PARENT]",JB_27U,"&lt;&gt;")+SUMIFS(JB_27S,JB_B,1,JB_H,"UUV",JB_S,"[PARENT]",JB_27U,"")</f>
        <v/>
      </c>
      <c r="D70" s="31">
        <f>IFERROR(C70/C$72,0)</f>
        <v/>
      </c>
    </row>
    <row r="71" ht="10" customHeight="1">
      <c r="A71" s="24" t="inlineStr">
        <is>
          <t>MUSV (Unmanned Surface Vehicles)</t>
        </is>
      </c>
      <c r="B71" s="24" t="inlineStr">
        <is>
          <t>USN</t>
        </is>
      </c>
      <c r="C71" s="25">
        <f>SUMIFS(JB_27U,JB_B,1,JB_H,"MUSV",JB_S,"",JB_27U,"&lt;&gt;")+SUMIFS(JB_27S,JB_B,1,JB_H,"MUSV",JB_S,"",JB_27U,"")+SUMIFS(JB_27U,JB_B,1,JB_H,"MUSV",JB_S,"[PARENT]",JB_27U,"&lt;&gt;")+SUMIFS(JB_27S,JB_B,1,JB_H,"MUSV",JB_S,"[PARENT]",JB_27U,"")</f>
        <v/>
      </c>
      <c r="D71" s="31">
        <f>IFERROR(C71/C$72,0)</f>
        <v/>
      </c>
    </row>
    <row r="72" ht="10" customHeight="1">
      <c r="A72" s="26" t="inlineStr">
        <is>
          <t>Newbuild TAM</t>
        </is>
      </c>
      <c r="B72" s="26" t="inlineStr"/>
      <c r="C72" s="27">
        <f>SUM(C57:C71)</f>
        <v/>
      </c>
      <c r="D72" s="32" t="n">
        <v>1</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18" t="inlineStr">
        <is>
          <t>Newbuild SAM — FY2027 ($K)</t>
        </is>
      </c>
      <c r="B1" s="19" t="n"/>
      <c r="C1" s="19" t="n"/>
      <c r="D1" s="19" t="n"/>
      <c r="E1" s="19" t="n"/>
      <c r="F1" s="19" t="n"/>
      <c r="G1" s="19" t="n"/>
      <c r="H1" s="19" t="n"/>
      <c r="I1" s="19" t="n"/>
      <c r="J1" s="19" t="n"/>
      <c r="K1" s="19" t="n"/>
      <c r="L1" s="19" t="n"/>
    </row>
    <row r="2" ht="10" customHeight="1">
      <c r="A2" s="20" t="inlineStr">
        <is>
          <t>Newbuild TAM excluding vessel types not addressable by PA</t>
        </is>
      </c>
    </row>
    <row r="3" ht="10" customHeight="1"/>
    <row r="4" ht="10" customHeight="1">
      <c r="A4" s="21" t="inlineStr">
        <is>
          <t>(A) Bridge: Newbuild TAM → Newbuild SAM</t>
        </is>
      </c>
      <c r="B4" s="22" t="n"/>
    </row>
    <row r="5" ht="10" customHeight="1">
      <c r="A5" s="24" t="inlineStr">
        <is>
          <t>Newbuild TAM</t>
        </is>
      </c>
      <c r="B5" s="2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24" t="inlineStr">
        <is>
          <t xml:space="preserve">  Less: Submarines</t>
        </is>
      </c>
      <c r="B6" s="25">
        <f>-(SUMIFS(JB_27U,JB_B,1,JB_W,"Submarines",JB_S,"",JB_27U,"&lt;&gt;")+SUMIFS(JB_27S,JB_B,1,JB_W,"Submarines",JB_S,"",JB_27U,"")+SUMIFS(JB_27U,JB_B,1,JB_W,"Submarines",JB_S,"[PARENT]",JB_27U,"&lt;&gt;")+SUMIFS(JB_27S,JB_B,1,JB_W,"Submarines",JB_S,"[PARENT]",JB_27U,""))</f>
        <v/>
      </c>
    </row>
    <row r="7" ht="10" customHeight="1">
      <c r="A7" s="24" t="inlineStr">
        <is>
          <t xml:space="preserve">  Less: Aircraft Carriers</t>
        </is>
      </c>
      <c r="B7" s="25">
        <f>-(SUMIFS(JB_27U,JB_B,1,JB_W,"Aircraft Carriers",JB_S,"",JB_27U,"&lt;&gt;")+SUMIFS(JB_27S,JB_B,1,JB_W,"Aircraft Carriers",JB_S,"",JB_27U,"")+SUMIFS(JB_27U,JB_B,1,JB_W,"Aircraft Carriers",JB_S,"[PARENT]",JB_27U,"&lt;&gt;")+SUMIFS(JB_27S,JB_B,1,JB_W,"Aircraft Carriers",JB_S,"[PARENT]",JB_27U,""))</f>
        <v/>
      </c>
    </row>
    <row r="8" ht="10" customHeight="1">
      <c r="A8" s="24" t="inlineStr">
        <is>
          <t xml:space="preserve">  Less: Unmanned Undersea Vehicles</t>
        </is>
      </c>
      <c r="B8" s="2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26" t="inlineStr">
        <is>
          <t>Newbuild SAM</t>
        </is>
      </c>
      <c r="B9" s="27">
        <f>SUM(B5:B8)</f>
        <v/>
      </c>
    </row>
    <row r="10" ht="10" customHeight="1"/>
    <row r="11" ht="10" customHeight="1"/>
    <row r="12" ht="10" customHeight="1">
      <c r="A12" s="21" t="inlineStr">
        <is>
          <t>(B) Newbuild SAM by Vessel Type</t>
        </is>
      </c>
      <c r="B12" s="22" t="n"/>
      <c r="C12" s="22" t="n"/>
      <c r="D12" s="22" t="n"/>
    </row>
    <row r="13" ht="10" customHeight="1">
      <c r="A13" s="23" t="inlineStr">
        <is>
          <t>Vessel Type</t>
        </is>
      </c>
      <c r="B13" s="23" t="inlineStr">
        <is>
          <t>Service</t>
        </is>
      </c>
      <c r="C13" s="23" t="inlineStr">
        <is>
          <t>FY2027 ($K)</t>
        </is>
      </c>
      <c r="D13" s="23" t="inlineStr">
        <is>
          <t>% of SAM</t>
        </is>
      </c>
    </row>
    <row r="14" ht="10" customHeight="1">
      <c r="A14" s="24" t="inlineStr">
        <is>
          <t>Amphibious Warfare Ships</t>
        </is>
      </c>
      <c r="B14" s="24" t="inlineStr">
        <is>
          <t>USN</t>
        </is>
      </c>
      <c r="C14" s="25">
        <f>SUMIFS(JB_27U,JB_B,1,JB_W,"Amphibious Warfare Ships",JB_S,"",JB_27U,"&lt;&gt;")+SUMIFS(JB_27S,JB_B,1,JB_W,"Amphibious Warfare Ships",JB_S,"",JB_27U,"")+SUMIFS(JB_27U,JB_B,1,JB_W,"Amphibious Warfare Ships",JB_S,"[PARENT]",JB_27U,"&lt;&gt;")+SUMIFS(JB_27S,JB_B,1,JB_W,"Amphibious Warfare Ships",JB_S,"[PARENT]",JB_27U,"")</f>
        <v/>
      </c>
      <c r="D14" s="31">
        <f>IFERROR(C14/C$39,0)</f>
        <v/>
      </c>
    </row>
    <row r="15" ht="10" customHeight="1">
      <c r="A15" s="24" t="inlineStr">
        <is>
          <t>Surface Combatants</t>
        </is>
      </c>
      <c r="B15" s="24" t="inlineStr">
        <is>
          <t>USN</t>
        </is>
      </c>
      <c r="C15" s="25">
        <f>SUMIFS(JB_27U,JB_B,1,JB_W,"Surface Combatants",JB_S,"",JB_27U,"&lt;&gt;")+SUMIFS(JB_27S,JB_B,1,JB_W,"Surface Combatants",JB_S,"",JB_27U,"")+SUMIFS(JB_27U,JB_B,1,JB_W,"Surface Combatants",JB_S,"[PARENT]",JB_27U,"&lt;&gt;")+SUMIFS(JB_27S,JB_B,1,JB_W,"Surface Combatants",JB_S,"[PARENT]",JB_27U,"")</f>
        <v/>
      </c>
      <c r="D15" s="31">
        <f>IFERROR(C15/C$39,0)</f>
        <v/>
      </c>
    </row>
    <row r="16" ht="10" customHeight="1">
      <c r="A16" s="24" t="inlineStr">
        <is>
          <t>Material Support Ships</t>
        </is>
      </c>
      <c r="B16" s="24" t="inlineStr">
        <is>
          <t>USN</t>
        </is>
      </c>
      <c r="C16" s="25">
        <f>SUMIFS(JB_27U,JB_B,1,JB_W,"Material Support Ships",JB_S,"",JB_27U,"&lt;&gt;")+SUMIFS(JB_27S,JB_B,1,JB_W,"Material Support Ships",JB_S,"",JB_27U,"")+SUMIFS(JB_27U,JB_B,1,JB_W,"Material Support Ships",JB_S,"[PARENT]",JB_27U,"&lt;&gt;")+SUMIFS(JB_27S,JB_B,1,JB_W,"Material Support Ships",JB_S,"[PARENT]",JB_27U,"")</f>
        <v/>
      </c>
      <c r="D16" s="31">
        <f>IFERROR(C16/C$39,0)</f>
        <v/>
      </c>
    </row>
    <row r="17" ht="10" customHeight="1">
      <c r="A17" s="24" t="inlineStr">
        <is>
          <t>Combat Logistics Ships</t>
        </is>
      </c>
      <c r="B17" s="24" t="inlineStr">
        <is>
          <t>MSC</t>
        </is>
      </c>
      <c r="C17" s="25">
        <f>SUMIFS(JB_27U,JB_B,1,JB_W,"Combat Logistics Ships",JB_S,"",JB_27U,"&lt;&gt;")+SUMIFS(JB_27S,JB_B,1,JB_W,"Combat Logistics Ships",JB_S,"",JB_27U,"")+SUMIFS(JB_27U,JB_B,1,JB_W,"Combat Logistics Ships",JB_S,"[PARENT]",JB_27U,"&lt;&gt;")+SUMIFS(JB_27S,JB_B,1,JB_W,"Combat Logistics Ships",JB_S,"[PARENT]",JB_27U,"")</f>
        <v/>
      </c>
      <c r="D17" s="31">
        <f>IFERROR(C17/C$39,0)</f>
        <v/>
      </c>
    </row>
    <row r="18" ht="10" customHeight="1">
      <c r="A18" s="24" t="inlineStr">
        <is>
          <t>Expeditionary &amp; Seabasing Ships</t>
        </is>
      </c>
      <c r="B18" s="24" t="inlineStr">
        <is>
          <t>USN</t>
        </is>
      </c>
      <c r="C18" s="2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31">
        <f>IFERROR(C18/C$39,0)</f>
        <v/>
      </c>
    </row>
    <row r="19" ht="10" customHeight="1">
      <c r="A19" s="24" t="inlineStr">
        <is>
          <t>Surveillance Ships</t>
        </is>
      </c>
      <c r="B19" s="24" t="inlineStr">
        <is>
          <t>USN</t>
        </is>
      </c>
      <c r="C19" s="25">
        <f>SUMIFS(JB_27U,JB_B,1,JB_W,"Surveillance Ships",JB_S,"",JB_27U,"&lt;&gt;")+SUMIFS(JB_27S,JB_B,1,JB_W,"Surveillance Ships",JB_S,"",JB_27U,"")+SUMIFS(JB_27U,JB_B,1,JB_W,"Surveillance Ships",JB_S,"[PARENT]",JB_27U,"&lt;&gt;")+SUMIFS(JB_27S,JB_B,1,JB_W,"Surveillance Ships",JB_S,"[PARENT]",JB_27U,"")</f>
        <v/>
      </c>
      <c r="D19" s="31">
        <f>IFERROR(C19/C$39,0)</f>
        <v/>
      </c>
    </row>
    <row r="20" ht="10" customHeight="1">
      <c r="A20" s="24" t="inlineStr">
        <is>
          <t>Hospital Ship</t>
        </is>
      </c>
      <c r="B20" s="24" t="inlineStr">
        <is>
          <t>MSC</t>
        </is>
      </c>
      <c r="C20" s="25">
        <f>SUMIFS(JB_27U,JB_B,1,JB_W,"Hospital Ship",JB_S,"",JB_27U,"&lt;&gt;")+SUMIFS(JB_27S,JB_B,1,JB_W,"Hospital Ship",JB_S,"",JB_27U,"")+SUMIFS(JB_27U,JB_B,1,JB_W,"Hospital Ship",JB_S,"[PARENT]",JB_27U,"&lt;&gt;")+SUMIFS(JB_27S,JB_B,1,JB_W,"Hospital Ship",JB_S,"[PARENT]",JB_27U,"")</f>
        <v/>
      </c>
      <c r="D20" s="31">
        <f>IFERROR(C20/C$39,0)</f>
        <v/>
      </c>
    </row>
    <row r="21" ht="10" customHeight="1">
      <c r="A21" s="24" t="inlineStr">
        <is>
          <t>Cargo &amp; Vehicle Cargo Ships</t>
        </is>
      </c>
      <c r="B21" s="24" t="inlineStr">
        <is>
          <t>USN</t>
        </is>
      </c>
      <c r="C21" s="25">
        <f>SUMIFS(JB_27U,JB_B,1,JB_W,"Cargo &amp; Vehicle Cargo Ships",JB_S,"",JB_27U,"&lt;&gt;")+SUMIFS(JB_27S,JB_B,1,JB_W,"Cargo &amp; Vehicle Cargo Ships",JB_S,"",JB_27U,"")+SUMIFS(JB_27U,JB_B,1,JB_W,"Cargo &amp; Vehicle Cargo Ships",JB_S,"[PARENT]",JB_27U,"&lt;&gt;")+SUMIFS(JB_27S,JB_B,1,JB_W,"Cargo &amp; Vehicle Cargo Ships",JB_S,"[PARENT]",JB_27U,"")</f>
        <v/>
      </c>
      <c r="D21" s="31">
        <f>IFERROR(C21/C$39,0)</f>
        <v/>
      </c>
    </row>
    <row r="22" ht="10" customHeight="1">
      <c r="A22" s="24" t="inlineStr">
        <is>
          <t>Unmanned Surface Vehicles</t>
        </is>
      </c>
      <c r="B22" s="24" t="inlineStr">
        <is>
          <t>USN</t>
        </is>
      </c>
      <c r="C22" s="25">
        <f>SUMIFS(JB_27U,JB_B,1,JB_W,"Unmanned Surface Vehicles",JB_S,"",JB_27U,"&lt;&gt;")+SUMIFS(JB_27S,JB_B,1,JB_W,"Unmanned Surface Vehicles",JB_S,"",JB_27U,"")+SUMIFS(JB_27U,JB_B,1,JB_W,"Unmanned Surface Vehicles",JB_S,"[PARENT]",JB_27U,"&lt;&gt;")+SUMIFS(JB_27S,JB_B,1,JB_W,"Unmanned Surface Vehicles",JB_S,"[PARENT]",JB_27U,"")</f>
        <v/>
      </c>
      <c r="D22" s="31">
        <f>IFERROR(C22/C$39,0)</f>
        <v/>
      </c>
    </row>
    <row r="23" ht="10" customHeight="1">
      <c r="A23" s="24" t="inlineStr">
        <is>
          <t>Crane Ship</t>
        </is>
      </c>
      <c r="B23" s="24" t="inlineStr">
        <is>
          <t>USN</t>
        </is>
      </c>
      <c r="C23" s="25">
        <f>SUMIFS(JB_27U,JB_B,1,JB_W,"Crane Ship",JB_S,"",JB_27U,"&lt;&gt;")+SUMIFS(JB_27S,JB_B,1,JB_W,"Crane Ship",JB_S,"",JB_27U,"")+SUMIFS(JB_27U,JB_B,1,JB_W,"Crane Ship",JB_S,"[PARENT]",JB_27U,"&lt;&gt;")+SUMIFS(JB_27S,JB_B,1,JB_W,"Crane Ship",JB_S,"[PARENT]",JB_27U,"")</f>
        <v/>
      </c>
      <c r="D23" s="31">
        <f>IFERROR(C23/C$39,0)</f>
        <v/>
      </c>
    </row>
    <row r="24" ht="10" customHeight="1">
      <c r="A24" s="24" t="inlineStr">
        <is>
          <t>Mine Warfare</t>
        </is>
      </c>
      <c r="B24" s="24" t="inlineStr">
        <is>
          <t>USN</t>
        </is>
      </c>
      <c r="C24" s="25">
        <f>SUMIFS(JB_27U,JB_B,1,JB_W,"Mine Warfare",JB_S,"",JB_27U,"&lt;&gt;")+SUMIFS(JB_27S,JB_B,1,JB_W,"Mine Warfare",JB_S,"",JB_27U,"")+SUMIFS(JB_27U,JB_B,1,JB_W,"Mine Warfare",JB_S,"[PARENT]",JB_27U,"&lt;&gt;")+SUMIFS(JB_27S,JB_B,1,JB_W,"Mine Warfare",JB_S,"[PARENT]",JB_27U,"")</f>
        <v/>
      </c>
      <c r="D24" s="31">
        <f>IFERROR(C24/C$39,0)</f>
        <v/>
      </c>
    </row>
    <row r="25" ht="10" customHeight="1">
      <c r="A25" s="24" t="inlineStr">
        <is>
          <t>Aviation Logistics Support Ship</t>
        </is>
      </c>
      <c r="B25" s="24" t="inlineStr">
        <is>
          <t>USN</t>
        </is>
      </c>
      <c r="C25" s="2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5" s="31">
        <f>IFERROR(C25/C$39,0)</f>
        <v/>
      </c>
    </row>
    <row r="26" ht="10" customHeight="1">
      <c r="A26" s="24" t="inlineStr">
        <is>
          <t>Command Ships</t>
        </is>
      </c>
      <c r="B26" s="24" t="inlineStr">
        <is>
          <t>USN</t>
        </is>
      </c>
      <c r="C26" s="25">
        <f>SUMIFS(JB_27U,JB_B,1,JB_W,"Command Ships",JB_S,"",JB_27U,"&lt;&gt;")+SUMIFS(JB_27S,JB_B,1,JB_W,"Command Ships",JB_S,"",JB_27U,"")+SUMIFS(JB_27U,JB_B,1,JB_W,"Command Ships",JB_S,"[PARENT]",JB_27U,"&lt;&gt;")+SUMIFS(JB_27S,JB_B,1,JB_W,"Command Ships",JB_S,"[PARENT]",JB_27U,"")</f>
        <v/>
      </c>
      <c r="D26" s="31">
        <f>IFERROR(C26/C$39,0)</f>
        <v/>
      </c>
    </row>
    <row r="27" ht="10" customHeight="1">
      <c r="A27" s="24" t="inlineStr">
        <is>
          <t>High Speed Transport</t>
        </is>
      </c>
      <c r="B27" s="24" t="inlineStr">
        <is>
          <t>USN</t>
        </is>
      </c>
      <c r="C27" s="25">
        <f>SUMIFS(JB_27U,JB_B,1,JB_W,"High Speed Transport",JB_S,"",JB_27U,"&lt;&gt;")+SUMIFS(JB_27S,JB_B,1,JB_W,"High Speed Transport",JB_S,"",JB_27U,"")+SUMIFS(JB_27U,JB_B,1,JB_W,"High Speed Transport",JB_S,"[PARENT]",JB_27U,"&lt;&gt;")+SUMIFS(JB_27S,JB_B,1,JB_W,"High Speed Transport",JB_S,"[PARENT]",JB_27U,"")</f>
        <v/>
      </c>
      <c r="D27" s="31">
        <f>IFERROR(C27/C$39,0)</f>
        <v/>
      </c>
    </row>
    <row r="28" ht="10" customHeight="1">
      <c r="A28" s="24" t="inlineStr">
        <is>
          <t>Submarine Escort Ship</t>
        </is>
      </c>
      <c r="B28" s="24" t="inlineStr">
        <is>
          <t>USN</t>
        </is>
      </c>
      <c r="C28" s="25">
        <f>SUMIFS(JB_27U,JB_B,1,JB_W,"Submarine Escort Ship",JB_S,"",JB_27U,"&lt;&gt;")+SUMIFS(JB_27S,JB_B,1,JB_W,"Submarine Escort Ship",JB_S,"",JB_27U,"")+SUMIFS(JB_27U,JB_B,1,JB_W,"Submarine Escort Ship",JB_S,"[PARENT]",JB_27U,"&lt;&gt;")+SUMIFS(JB_27S,JB_B,1,JB_W,"Submarine Escort Ship",JB_S,"[PARENT]",JB_27U,"")</f>
        <v/>
      </c>
      <c r="D28" s="31">
        <f>IFERROR(C28/C$39,0)</f>
        <v/>
      </c>
    </row>
    <row r="29" ht="10" customHeight="1">
      <c r="A29" s="24" t="inlineStr">
        <is>
          <t>Research, Survey &amp; Instrumentation Ships</t>
        </is>
      </c>
      <c r="B29" s="24" t="inlineStr">
        <is>
          <t>MSC</t>
        </is>
      </c>
      <c r="C29" s="2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9" s="31">
        <f>IFERROR(C29/C$39,0)</f>
        <v/>
      </c>
    </row>
    <row r="30" ht="10" customHeight="1">
      <c r="A30" s="24" t="inlineStr">
        <is>
          <t>Salvage Ships &amp; Fleet Ocean Tugs</t>
        </is>
      </c>
      <c r="B30" s="24" t="inlineStr">
        <is>
          <t>MSC</t>
        </is>
      </c>
      <c r="C30" s="2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0" s="31">
        <f>IFERROR(C30/C$39,0)</f>
        <v/>
      </c>
    </row>
    <row r="31" ht="10" customHeight="1">
      <c r="A31" s="24" t="inlineStr">
        <is>
          <t>General Auxiliary</t>
        </is>
      </c>
      <c r="B31" s="24" t="inlineStr">
        <is>
          <t>USN</t>
        </is>
      </c>
      <c r="C31" s="25">
        <f>SUMIFS(JB_27U,JB_B,1,JB_W,"General Auxiliary",JB_S,"",JB_27U,"&lt;&gt;")+SUMIFS(JB_27S,JB_B,1,JB_W,"General Auxiliary",JB_S,"",JB_27U,"")+SUMIFS(JB_27U,JB_B,1,JB_W,"General Auxiliary",JB_S,"[PARENT]",JB_27U,"&lt;&gt;")+SUMIFS(JB_27S,JB_B,1,JB_W,"General Auxiliary",JB_S,"[PARENT]",JB_27U,"")</f>
        <v/>
      </c>
      <c r="D31" s="31">
        <f>IFERROR(C31/C$39,0)</f>
        <v/>
      </c>
    </row>
    <row r="32" ht="10" customHeight="1">
      <c r="A32" s="24" t="inlineStr">
        <is>
          <t>Icebreakers, Oceangoing</t>
        </is>
      </c>
      <c r="B32" s="24" t="inlineStr">
        <is>
          <t>USCG</t>
        </is>
      </c>
      <c r="C32" s="25">
        <f>SUMIFS(JB_27U,JB_B,1,JB_W,"Icebreakers, Oceangoing",JB_S,"",JB_27U,"&lt;&gt;")+SUMIFS(JB_27S,JB_B,1,JB_W,"Icebreakers, Oceangoing",JB_S,"",JB_27U,"")+SUMIFS(JB_27U,JB_B,1,JB_W,"Icebreakers, Oceangoing",JB_S,"[PARENT]",JB_27U,"&lt;&gt;")+SUMIFS(JB_27S,JB_B,1,JB_W,"Icebreakers, Oceangoing",JB_S,"[PARENT]",JB_27U,"")</f>
        <v/>
      </c>
      <c r="D32" s="31">
        <f>IFERROR(C32/C$39,0)</f>
        <v/>
      </c>
    </row>
    <row r="33" ht="10" customHeight="1">
      <c r="A33" s="24" t="inlineStr">
        <is>
          <t>Waterways Commerce Cutters</t>
        </is>
      </c>
      <c r="B33" s="24" t="inlineStr">
        <is>
          <t>USCG</t>
        </is>
      </c>
      <c r="C33" s="25">
        <f>SUMIFS(JB_27U,JB_B,1,JB_W,"Waterways Commerce Cutters",JB_S,"",JB_27U,"&lt;&gt;")+SUMIFS(JB_27S,JB_B,1,JB_W,"Waterways Commerce Cutters",JB_S,"",JB_27U,"")+SUMIFS(JB_27U,JB_B,1,JB_W,"Waterways Commerce Cutters",JB_S,"[PARENT]",JB_27U,"&lt;&gt;")+SUMIFS(JB_27S,JB_B,1,JB_W,"Waterways Commerce Cutters",JB_S,"[PARENT]",JB_27U,"")</f>
        <v/>
      </c>
      <c r="D33" s="31">
        <f>IFERROR(C33/C$39,0)</f>
        <v/>
      </c>
    </row>
    <row r="34" ht="10" customHeight="1">
      <c r="A34" s="24" t="inlineStr">
        <is>
          <t>Offshore Patrol Cutter</t>
        </is>
      </c>
      <c r="B34" s="24" t="inlineStr">
        <is>
          <t>USCG</t>
        </is>
      </c>
      <c r="C34" s="25">
        <f>SUMIFS(JB_27U,JB_B,1,JB_W,"Offshore Patrol Cutter",JB_S,"",JB_27U,"&lt;&gt;")+SUMIFS(JB_27S,JB_B,1,JB_W,"Offshore Patrol Cutter",JB_S,"",JB_27U,"")+SUMIFS(JB_27U,JB_B,1,JB_W,"Offshore Patrol Cutter",JB_S,"[PARENT]",JB_27U,"&lt;&gt;")+SUMIFS(JB_27S,JB_B,1,JB_W,"Offshore Patrol Cutter",JB_S,"[PARENT]",JB_27U,"")</f>
        <v/>
      </c>
      <c r="D34" s="31">
        <f>IFERROR(C34/C$39,0)</f>
        <v/>
      </c>
    </row>
    <row r="35" ht="10" customHeight="1">
      <c r="A35" s="24" t="inlineStr">
        <is>
          <t>National Security Cutters</t>
        </is>
      </c>
      <c r="B35" s="24" t="inlineStr">
        <is>
          <t>USCG</t>
        </is>
      </c>
      <c r="C35" s="25">
        <f>SUMIFS(JB_27U,JB_B,1,JB_W,"National Security Cutters",JB_S,"",JB_27U,"&lt;&gt;")+SUMIFS(JB_27S,JB_B,1,JB_W,"National Security Cutters",JB_S,"",JB_27U,"")+SUMIFS(JB_27U,JB_B,1,JB_W,"National Security Cutters",JB_S,"[PARENT]",JB_27U,"&lt;&gt;")+SUMIFS(JB_27S,JB_B,1,JB_W,"National Security Cutters",JB_S,"[PARENT]",JB_27U,"")</f>
        <v/>
      </c>
      <c r="D35" s="31">
        <f>IFERROR(C35/C$39,0)</f>
        <v/>
      </c>
    </row>
    <row r="36" ht="10" customHeight="1">
      <c r="A36" s="24" t="inlineStr">
        <is>
          <t>Fast Response Cutters</t>
        </is>
      </c>
      <c r="B36" s="24" t="inlineStr">
        <is>
          <t>USCG</t>
        </is>
      </c>
      <c r="C36" s="25">
        <f>SUMIFS(JB_27U,JB_B,1,JB_W,"Fast Response Cutters",JB_S,"",JB_27U,"&lt;&gt;")+SUMIFS(JB_27S,JB_B,1,JB_W,"Fast Response Cutters",JB_S,"",JB_27U,"")+SUMIFS(JB_27U,JB_B,1,JB_W,"Fast Response Cutters",JB_S,"[PARENT]",JB_27U,"&lt;&gt;")+SUMIFS(JB_27S,JB_B,1,JB_W,"Fast Response Cutters",JB_S,"[PARENT]",JB_27U,"")</f>
        <v/>
      </c>
      <c r="D36" s="31">
        <f>IFERROR(C36/C$39,0)</f>
        <v/>
      </c>
    </row>
    <row r="37" ht="10" customHeight="1">
      <c r="A37" s="24" t="inlineStr">
        <is>
          <t>Icebreakers, Great Lakes</t>
        </is>
      </c>
      <c r="B37" s="24" t="inlineStr">
        <is>
          <t>USCG</t>
        </is>
      </c>
      <c r="C37" s="25">
        <f>SUMIFS(JB_27U,JB_B,1,JB_W,"Icebreakers, Great Lakes",JB_S,"",JB_27U,"&lt;&gt;")+SUMIFS(JB_27S,JB_B,1,JB_W,"Icebreakers, Great Lakes",JB_S,"",JB_27U,"")+SUMIFS(JB_27U,JB_B,1,JB_W,"Icebreakers, Great Lakes",JB_S,"[PARENT]",JB_27U,"&lt;&gt;")+SUMIFS(JB_27S,JB_B,1,JB_W,"Icebreakers, Great Lakes",JB_S,"[PARENT]",JB_27U,"")</f>
        <v/>
      </c>
      <c r="D37" s="31">
        <f>IFERROR(C37/C$39,0)</f>
        <v/>
      </c>
    </row>
    <row r="38" ht="10" customHeight="1">
      <c r="A38" s="24" t="inlineStr">
        <is>
          <t>Coastal Buoy Tenders</t>
        </is>
      </c>
      <c r="B38" s="24" t="inlineStr">
        <is>
          <t>USCG</t>
        </is>
      </c>
      <c r="C38" s="25">
        <f>SUMIFS(JB_27U,JB_B,1,JB_W,"Coastal Buoy Tenders",JB_S,"",JB_27U,"&lt;&gt;")+SUMIFS(JB_27S,JB_B,1,JB_W,"Coastal Buoy Tenders",JB_S,"",JB_27U,"")+SUMIFS(JB_27U,JB_B,1,JB_W,"Coastal Buoy Tenders",JB_S,"[PARENT]",JB_27U,"&lt;&gt;")+SUMIFS(JB_27S,JB_B,1,JB_W,"Coastal Buoy Tenders",JB_S,"[PARENT]",JB_27U,"")</f>
        <v/>
      </c>
      <c r="D38" s="31">
        <f>IFERROR(C38/C$39,0)</f>
        <v/>
      </c>
    </row>
    <row r="39" ht="10" customHeight="1">
      <c r="A39" s="26" t="inlineStr">
        <is>
          <t>Newbuild SAM</t>
        </is>
      </c>
      <c r="B39" s="26" t="inlineStr"/>
      <c r="C39" s="27">
        <f>SUM(C14:C38)</f>
        <v/>
      </c>
      <c r="D39" s="32" t="n">
        <v>1</v>
      </c>
    </row>
    <row r="40" ht="10" customHeight="1"/>
    <row r="41" ht="10" customHeight="1"/>
    <row r="42" ht="10" customHeight="1">
      <c r="A42" s="21" t="inlineStr">
        <is>
          <t>(C) Newbuild SAM — DD&amp;C vs AP/LLTM by Vessel Type (Mekko)</t>
        </is>
      </c>
      <c r="B42" s="22" t="n"/>
      <c r="C42" s="22" t="n"/>
      <c r="D42" s="22" t="n"/>
      <c r="E42" s="22" t="n"/>
      <c r="F42" s="22" t="n"/>
      <c r="G42" s="22" t="n"/>
      <c r="H42" s="22" t="n"/>
      <c r="I42" s="22" t="n"/>
      <c r="J42" s="22" t="n"/>
      <c r="K42" s="22" t="n"/>
    </row>
    <row r="43" ht="10" customHeight="1">
      <c r="A43" s="33" t="n"/>
      <c r="B43" s="34" t="inlineStr">
        <is>
          <t>USN</t>
        </is>
      </c>
      <c r="C43" s="33" t="n"/>
      <c r="D43" s="33" t="n"/>
      <c r="E43" s="33" t="n"/>
      <c r="F43" s="33" t="n"/>
      <c r="G43" s="33" t="n"/>
      <c r="H43" s="33" t="n"/>
      <c r="I43" s="33" t="n"/>
      <c r="J43" s="33" t="n"/>
      <c r="K43" s="35" t="n"/>
    </row>
    <row r="44" ht="10" customHeight="1">
      <c r="A44" s="23" t="inlineStr">
        <is>
          <t>Sub-Category</t>
        </is>
      </c>
      <c r="B44" s="36" t="inlineStr">
        <is>
          <t>Amphibious Warfare Ships</t>
        </is>
      </c>
      <c r="C44" s="23" t="inlineStr">
        <is>
          <t>Surface Combatants</t>
        </is>
      </c>
      <c r="D44" s="23" t="inlineStr">
        <is>
          <t>Material Support Ships</t>
        </is>
      </c>
      <c r="E44" s="23" t="inlineStr">
        <is>
          <t>Combat Logistics Ships</t>
        </is>
      </c>
      <c r="F44" s="23" t="inlineStr">
        <is>
          <t>Expeditionary &amp; Seabasing Ships</t>
        </is>
      </c>
      <c r="G44" s="23" t="inlineStr">
        <is>
          <t>Surveillance Ships</t>
        </is>
      </c>
      <c r="H44" s="23" t="inlineStr">
        <is>
          <t>Hospital Ship</t>
        </is>
      </c>
      <c r="I44" s="23" t="inlineStr">
        <is>
          <t>Cargo &amp; Vehicle Cargo Ships</t>
        </is>
      </c>
      <c r="J44" s="23" t="inlineStr">
        <is>
          <t>Unmanned Surface Vehicles</t>
        </is>
      </c>
      <c r="K44" s="36" t="inlineStr">
        <is>
          <t>Total</t>
        </is>
      </c>
    </row>
    <row r="45" ht="10" customHeight="1">
      <c r="A45" s="24" t="inlineStr">
        <is>
          <t>Full Ship DD&amp;C</t>
        </is>
      </c>
      <c r="B45" s="3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3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3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3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3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3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3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3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3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37">
        <f>IFERROR(1-K46,0)</f>
        <v/>
      </c>
    </row>
    <row r="46" ht="10" customHeight="1">
      <c r="A46" s="24" t="inlineStr">
        <is>
          <t>Advance Procurement / LLTM</t>
        </is>
      </c>
      <c r="B46" s="3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3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3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3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3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3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3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3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3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3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26" t="inlineStr">
        <is>
          <t>Total ($K)</t>
        </is>
      </c>
      <c r="B47" s="38">
        <f>SUMIFS(JB_27U,JB_B,1,JB_W,"Amphibious Warfare Ships",JB_S,"",JB_27U,"&lt;&gt;")+SUMIFS(JB_27S,JB_B,1,JB_W,"Amphibious Warfare Ships",JB_S,"",JB_27U,"")+SUMIFS(JB_27U,JB_B,1,JB_W,"Amphibious Warfare Ships",JB_S,"[PARENT]",JB_27U,"&lt;&gt;")+SUMIFS(JB_27S,JB_B,1,JB_W,"Amphibious Warfare Ships",JB_S,"[PARENT]",JB_27U,"")</f>
        <v/>
      </c>
      <c r="C47" s="27">
        <f>SUMIFS(JB_27U,JB_B,1,JB_W,"Surface Combatants",JB_S,"",JB_27U,"&lt;&gt;")+SUMIFS(JB_27S,JB_B,1,JB_W,"Surface Combatants",JB_S,"",JB_27U,"")+SUMIFS(JB_27U,JB_B,1,JB_W,"Surface Combatants",JB_S,"[PARENT]",JB_27U,"&lt;&gt;")+SUMIFS(JB_27S,JB_B,1,JB_W,"Surface Combatants",JB_S,"[PARENT]",JB_27U,"")</f>
        <v/>
      </c>
      <c r="D47" s="27">
        <f>SUMIFS(JB_27U,JB_B,1,JB_W,"Material Support Ships",JB_S,"",JB_27U,"&lt;&gt;")+SUMIFS(JB_27S,JB_B,1,JB_W,"Material Support Ships",JB_S,"",JB_27U,"")+SUMIFS(JB_27U,JB_B,1,JB_W,"Material Support Ships",JB_S,"[PARENT]",JB_27U,"&lt;&gt;")+SUMIFS(JB_27S,JB_B,1,JB_W,"Material Support Ships",JB_S,"[PARENT]",JB_27U,"")</f>
        <v/>
      </c>
      <c r="E47" s="27">
        <f>SUMIFS(JB_27U,JB_B,1,JB_W,"Combat Logistics Ships",JB_S,"",JB_27U,"&lt;&gt;")+SUMIFS(JB_27S,JB_B,1,JB_W,"Combat Logistics Ships",JB_S,"",JB_27U,"")+SUMIFS(JB_27U,JB_B,1,JB_W,"Combat Logistics Ships",JB_S,"[PARENT]",JB_27U,"&lt;&gt;")+SUMIFS(JB_27S,JB_B,1,JB_W,"Combat Logistics Ships",JB_S,"[PARENT]",JB_27U,"")</f>
        <v/>
      </c>
      <c r="F47" s="2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27">
        <f>SUMIFS(JB_27U,JB_B,1,JB_W,"Surveillance Ships",JB_S,"",JB_27U,"&lt;&gt;")+SUMIFS(JB_27S,JB_B,1,JB_W,"Surveillance Ships",JB_S,"",JB_27U,"")+SUMIFS(JB_27U,JB_B,1,JB_W,"Surveillance Ships",JB_S,"[PARENT]",JB_27U,"&lt;&gt;")+SUMIFS(JB_27S,JB_B,1,JB_W,"Surveillance Ships",JB_S,"[PARENT]",JB_27U,"")</f>
        <v/>
      </c>
      <c r="H47" s="27">
        <f>SUMIFS(JB_27U,JB_B,1,JB_W,"Hospital Ship",JB_S,"",JB_27U,"&lt;&gt;")+SUMIFS(JB_27S,JB_B,1,JB_W,"Hospital Ship",JB_S,"",JB_27U,"")+SUMIFS(JB_27U,JB_B,1,JB_W,"Hospital Ship",JB_S,"[PARENT]",JB_27U,"&lt;&gt;")+SUMIFS(JB_27S,JB_B,1,JB_W,"Hospital Ship",JB_S,"[PARENT]",JB_27U,"")</f>
        <v/>
      </c>
      <c r="I47" s="27">
        <f>SUMIFS(JB_27U,JB_B,1,JB_W,"Cargo &amp; Vehicle Cargo Ships",JB_S,"",JB_27U,"&lt;&gt;")+SUMIFS(JB_27S,JB_B,1,JB_W,"Cargo &amp; Vehicle Cargo Ships",JB_S,"",JB_27U,"")+SUMIFS(JB_27U,JB_B,1,JB_W,"Cargo &amp; Vehicle Cargo Ships",JB_S,"[PARENT]",JB_27U,"&lt;&gt;")+SUMIFS(JB_27S,JB_B,1,JB_W,"Cargo &amp; Vehicle Cargo Ships",JB_S,"[PARENT]",JB_27U,"")</f>
        <v/>
      </c>
      <c r="J47" s="27">
        <f>SUMIFS(JB_27U,JB_B,1,JB_W,"Unmanned Surface Vehicles",JB_S,"",JB_27U,"&lt;&gt;")+SUMIFS(JB_27S,JB_B,1,JB_W,"Unmanned Surface Vehicles",JB_S,"",JB_27U,"")+SUMIFS(JB_27U,JB_B,1,JB_W,"Unmanned Surface Vehicles",JB_S,"[PARENT]",JB_27U,"&lt;&gt;")+SUMIFS(JB_27S,JB_B,1,JB_W,"Unmanned Surface Vehicles",JB_S,"[PARENT]",JB_27U,"")</f>
        <v/>
      </c>
      <c r="K47" s="38">
        <f>SUM(B47:J47)</f>
        <v/>
      </c>
    </row>
    <row r="48" ht="10" customHeight="1"/>
    <row r="49" ht="10" customHeight="1"/>
    <row r="50" ht="10" customHeight="1">
      <c r="A50" s="21" t="inlineStr">
        <is>
          <t>(D) Newbuild SAM by Hull Program — FY2027 ($K)</t>
        </is>
      </c>
      <c r="B50" s="22" t="n"/>
      <c r="C50" s="22" t="n"/>
      <c r="D50" s="22" t="n"/>
    </row>
    <row r="51" ht="10" customHeight="1">
      <c r="A51" s="20" t="inlineStr">
        <is>
          <t>Same funding as (B) broken down to individual hull programs — the level at which budget line items are traceable.</t>
        </is>
      </c>
    </row>
    <row r="52" ht="10" customHeight="1">
      <c r="A52" s="23" t="inlineStr">
        <is>
          <t>Hull Program</t>
        </is>
      </c>
      <c r="B52" s="23" t="inlineStr">
        <is>
          <t>Service</t>
        </is>
      </c>
      <c r="C52" s="23" t="inlineStr">
        <is>
          <t>FY2027 ($K)</t>
        </is>
      </c>
      <c r="D52" s="23" t="inlineStr">
        <is>
          <t>% of SAM</t>
        </is>
      </c>
    </row>
    <row r="53" ht="10" customHeight="1">
      <c r="A53" s="24" t="inlineStr">
        <is>
          <t>AS (Material Support Ships)</t>
        </is>
      </c>
      <c r="B53" s="24" t="inlineStr">
        <is>
          <t>USN</t>
        </is>
      </c>
      <c r="C53" s="25">
        <f>SUMIFS(JB_27U,JB_B,1,JB_H,"AS",JB_S,"",JB_27U,"&lt;&gt;")+SUMIFS(JB_27S,JB_B,1,JB_H,"AS",JB_S,"",JB_27U,"")+SUMIFS(JB_27U,JB_B,1,JB_H,"AS",JB_S,"[PARENT]",JB_27U,"&lt;&gt;")+SUMIFS(JB_27S,JB_B,1,JB_H,"AS",JB_S,"[PARENT]",JB_27U,"")</f>
        <v/>
      </c>
      <c r="D53" s="31">
        <f>IFERROR(C53/C$64,0)</f>
        <v/>
      </c>
    </row>
    <row r="54" ht="10" customHeight="1">
      <c r="A54" s="24" t="inlineStr">
        <is>
          <t>LHA (Amphibious Warfare Ships)</t>
        </is>
      </c>
      <c r="B54" s="24" t="inlineStr">
        <is>
          <t>USN</t>
        </is>
      </c>
      <c r="C54" s="25">
        <f>SUMIFS(JB_27U,JB_B,1,JB_H,"LHA",JB_S,"",JB_27U,"&lt;&gt;")+SUMIFS(JB_27S,JB_B,1,JB_H,"LHA",JB_S,"",JB_27U,"")+SUMIFS(JB_27U,JB_B,1,JB_H,"LHA",JB_S,"[PARENT]",JB_27U,"&lt;&gt;")+SUMIFS(JB_27S,JB_B,1,JB_H,"LHA",JB_S,"[PARENT]",JB_27U,"")</f>
        <v/>
      </c>
      <c r="D54" s="31">
        <f>IFERROR(C54/C$64,0)</f>
        <v/>
      </c>
    </row>
    <row r="55" ht="10" customHeight="1">
      <c r="A55" s="24" t="inlineStr">
        <is>
          <t>DDG (Surface Combatants)</t>
        </is>
      </c>
      <c r="B55" s="24" t="inlineStr">
        <is>
          <t>USN</t>
        </is>
      </c>
      <c r="C55" s="25">
        <f>SUMIFS(JB_27U,JB_B,1,JB_H,"DDG",JB_S,"",JB_27U,"&lt;&gt;")+SUMIFS(JB_27S,JB_B,1,JB_H,"DDG",JB_S,"",JB_27U,"")+SUMIFS(JB_27U,JB_B,1,JB_H,"DDG",JB_S,"[PARENT]",JB_27U,"&lt;&gt;")+SUMIFS(JB_27S,JB_B,1,JB_H,"DDG",JB_S,"[PARENT]",JB_27U,"")</f>
        <v/>
      </c>
      <c r="D55" s="31">
        <f>IFERROR(C55/C$64,0)</f>
        <v/>
      </c>
    </row>
    <row r="56" ht="10" customHeight="1">
      <c r="A56" s="24" t="inlineStr">
        <is>
          <t>LPD (Amphibious Warfare Ships)</t>
        </is>
      </c>
      <c r="B56" s="24" t="inlineStr">
        <is>
          <t>USN</t>
        </is>
      </c>
      <c r="C56" s="25">
        <f>SUMIFS(JB_27U,JB_B,1,JB_H,"LPD",JB_S,"",JB_27U,"&lt;&gt;")+SUMIFS(JB_27S,JB_B,1,JB_H,"LPD",JB_S,"",JB_27U,"")+SUMIFS(JB_27U,JB_B,1,JB_H,"LPD",JB_S,"[PARENT]",JB_27U,"&lt;&gt;")+SUMIFS(JB_27S,JB_B,1,JB_H,"LPD",JB_S,"[PARENT]",JB_27U,"")</f>
        <v/>
      </c>
      <c r="D56" s="31">
        <f>IFERROR(C56/C$64,0)</f>
        <v/>
      </c>
    </row>
    <row r="57" ht="10" customHeight="1">
      <c r="A57" s="24" t="inlineStr">
        <is>
          <t>T-AO (Combat Logistics Ships)</t>
        </is>
      </c>
      <c r="B57" s="24" t="inlineStr">
        <is>
          <t>MSC</t>
        </is>
      </c>
      <c r="C57" s="25">
        <f>SUMIFS(JB_27U,JB_B,1,JB_H,"T-AO",JB_S,"",JB_27U,"&lt;&gt;")+SUMIFS(JB_27S,JB_B,1,JB_H,"T-AO",JB_S,"",JB_27U,"")+SUMIFS(JB_27U,JB_B,1,JB_H,"T-AO",JB_S,"[PARENT]",JB_27U,"&lt;&gt;")+SUMIFS(JB_27S,JB_B,1,JB_H,"T-AO",JB_S,"[PARENT]",JB_27U,"")</f>
        <v/>
      </c>
      <c r="D57" s="31">
        <f>IFERROR(C57/C$64,0)</f>
        <v/>
      </c>
    </row>
    <row r="58" ht="10" customHeight="1">
      <c r="A58" s="24" t="inlineStr">
        <is>
          <t>LSM (Expeditionary &amp; Seabasing Ships)</t>
        </is>
      </c>
      <c r="B58" s="24" t="inlineStr">
        <is>
          <t>USN</t>
        </is>
      </c>
      <c r="C58" s="25">
        <f>SUMIFS(JB_27U,JB_B,1,JB_H,"LSM",JB_S,"",JB_27U,"&lt;&gt;")+SUMIFS(JB_27S,JB_B,1,JB_H,"LSM",JB_S,"",JB_27U,"")+SUMIFS(JB_27U,JB_B,1,JB_H,"LSM",JB_S,"[PARENT]",JB_27U,"&lt;&gt;")+SUMIFS(JB_27S,JB_B,1,JB_H,"LSM",JB_S,"[PARENT]",JB_27U,"")</f>
        <v/>
      </c>
      <c r="D58" s="31">
        <f>IFERROR(C58/C$64,0)</f>
        <v/>
      </c>
    </row>
    <row r="59" ht="10" customHeight="1">
      <c r="A59" s="24" t="inlineStr">
        <is>
          <t>FFG (Surface Combatants)</t>
        </is>
      </c>
      <c r="B59" s="24" t="inlineStr">
        <is>
          <t>USN</t>
        </is>
      </c>
      <c r="C59" s="25">
        <f>SUMIFS(JB_27U,JB_B,1,JB_H,"FFG",JB_S,"",JB_27U,"&lt;&gt;")+SUMIFS(JB_27S,JB_B,1,JB_H,"FFG",JB_S,"",JB_27U,"")+SUMIFS(JB_27U,JB_B,1,JB_H,"FFG",JB_S,"[PARENT]",JB_27U,"&lt;&gt;")+SUMIFS(JB_27S,JB_B,1,JB_H,"FFG",JB_S,"[PARENT]",JB_27U,"")</f>
        <v/>
      </c>
      <c r="D59" s="31">
        <f>IFERROR(C59/C$64,0)</f>
        <v/>
      </c>
    </row>
    <row r="60" ht="10" customHeight="1">
      <c r="A60" s="24" t="inlineStr">
        <is>
          <t>T-AGOS (Surveillance Ships)</t>
        </is>
      </c>
      <c r="B60" s="24" t="inlineStr">
        <is>
          <t>MSC</t>
        </is>
      </c>
      <c r="C60" s="25">
        <f>SUMIFS(JB_27U,JB_B,1,JB_H,"T-AGOS",JB_S,"",JB_27U,"&lt;&gt;")+SUMIFS(JB_27S,JB_B,1,JB_H,"T-AGOS",JB_S,"",JB_27U,"")+SUMIFS(JB_27U,JB_B,1,JB_H,"T-AGOS",JB_S,"[PARENT]",JB_27U,"&lt;&gt;")+SUMIFS(JB_27S,JB_B,1,JB_H,"T-AGOS",JB_S,"[PARENT]",JB_27U,"")</f>
        <v/>
      </c>
      <c r="D60" s="31">
        <f>IFERROR(C60/C$64,0)</f>
        <v/>
      </c>
    </row>
    <row r="61" ht="10" customHeight="1">
      <c r="A61" s="24" t="inlineStr">
        <is>
          <t>T-AH (Hospital Ship)</t>
        </is>
      </c>
      <c r="B61" s="24" t="inlineStr">
        <is>
          <t>MSC</t>
        </is>
      </c>
      <c r="C61" s="25">
        <f>SUMIFS(JB_27U,JB_B,1,JB_H,"T-AH",JB_S,"",JB_27U,"&lt;&gt;")+SUMIFS(JB_27S,JB_B,1,JB_H,"T-AH",JB_S,"",JB_27U,"")+SUMIFS(JB_27U,JB_B,1,JB_H,"T-AH",JB_S,"[PARENT]",JB_27U,"&lt;&gt;")+SUMIFS(JB_27S,JB_B,1,JB_H,"T-AH",JB_S,"[PARENT]",JB_27U,"")</f>
        <v/>
      </c>
      <c r="D61" s="31">
        <f>IFERROR(C61/C$64,0)</f>
        <v/>
      </c>
    </row>
    <row r="62" ht="10" customHeight="1">
      <c r="A62" s="24" t="inlineStr">
        <is>
          <t>T-AK / T-AKR (Cargo &amp; Vehicle Cargo Ships)</t>
        </is>
      </c>
      <c r="B62" s="24" t="inlineStr">
        <is>
          <t>MSC</t>
        </is>
      </c>
      <c r="C62" s="25">
        <f>SUMIFS(JB_27U,JB_B,1,JB_H,"T-AK / T-AKR",JB_S,"",JB_27U,"&lt;&gt;")+SUMIFS(JB_27S,JB_B,1,JB_H,"T-AK / T-AKR",JB_S,"",JB_27U,"")+SUMIFS(JB_27U,JB_B,1,JB_H,"T-AK / T-AKR",JB_S,"[PARENT]",JB_27U,"&lt;&gt;")+SUMIFS(JB_27S,JB_B,1,JB_H,"T-AK / T-AKR",JB_S,"[PARENT]",JB_27U,"")</f>
        <v/>
      </c>
      <c r="D62" s="31">
        <f>IFERROR(C62/C$64,0)</f>
        <v/>
      </c>
    </row>
    <row r="63" ht="10" customHeight="1">
      <c r="A63" s="24" t="inlineStr">
        <is>
          <t>MUSV (Unmanned Surface Vehicles)</t>
        </is>
      </c>
      <c r="B63" s="24" t="inlineStr">
        <is>
          <t>USN</t>
        </is>
      </c>
      <c r="C63" s="25">
        <f>SUMIFS(JB_27U,JB_B,1,JB_H,"MUSV",JB_S,"",JB_27U,"&lt;&gt;")+SUMIFS(JB_27S,JB_B,1,JB_H,"MUSV",JB_S,"",JB_27U,"")+SUMIFS(JB_27U,JB_B,1,JB_H,"MUSV",JB_S,"[PARENT]",JB_27U,"&lt;&gt;")+SUMIFS(JB_27S,JB_B,1,JB_H,"MUSV",JB_S,"[PARENT]",JB_27U,"")</f>
        <v/>
      </c>
      <c r="D63" s="31">
        <f>IFERROR(C63/C$64,0)</f>
        <v/>
      </c>
    </row>
    <row r="64" ht="10" customHeight="1">
      <c r="A64" s="26" t="inlineStr">
        <is>
          <t>Newbuild SAM</t>
        </is>
      </c>
      <c r="B64" s="26" t="inlineStr"/>
      <c r="C64" s="27">
        <f>SUM(C53:C63)</f>
        <v/>
      </c>
      <c r="D64" s="32"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18" t="inlineStr">
        <is>
          <t>MRO TAM — FY2027 ($K)</t>
        </is>
      </c>
      <c r="B1" s="19" t="n"/>
      <c r="C1" s="19" t="n"/>
      <c r="D1" s="19" t="n"/>
      <c r="E1" s="19" t="n"/>
      <c r="F1" s="19" t="n"/>
      <c r="G1" s="19" t="n"/>
      <c r="H1" s="19" t="n"/>
      <c r="I1" s="19" t="n"/>
      <c r="J1" s="19" t="n"/>
    </row>
    <row r="2" ht="10" customHeight="1">
      <c r="A2" s="20" t="inlineStr">
        <is>
          <t>MRO &amp; sustainment scoped to Combatant Ships, Auxiliary Ships, USCG Cutters &amp; Unmanned Platforms</t>
        </is>
      </c>
    </row>
    <row r="3" ht="10" customHeight="1"/>
    <row r="4" ht="10" customHeight="1">
      <c r="A4" s="21" t="inlineStr">
        <is>
          <t>(A) Bridge: Total MRO Funding → MRO TAM</t>
        </is>
      </c>
      <c r="B4" s="22" t="n"/>
    </row>
    <row r="5" ht="10" customHeight="1">
      <c r="A5" s="24" t="inlineStr">
        <is>
          <t>Total MRO Funding (Buckets 2–7)</t>
        </is>
      </c>
      <c r="B5" s="2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24" t="inlineStr">
        <is>
          <t xml:space="preserve">  Less: Unattributed (fleet-wide MRO items)</t>
        </is>
      </c>
      <c r="B6" s="2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24" t="inlineStr">
        <is>
          <t xml:space="preserve">  Less: Combatant Crafts</t>
        </is>
      </c>
      <c r="B7" s="2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24" t="inlineStr">
        <is>
          <t xml:space="preserve">  Less: Support Crafts</t>
        </is>
      </c>
      <c r="B8" s="2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26" t="inlineStr">
        <is>
          <t>MRO TAM</t>
        </is>
      </c>
      <c r="B9" s="27">
        <f>B18</f>
        <v/>
      </c>
    </row>
    <row r="10" ht="10" customHeight="1"/>
    <row r="11" ht="10" customHeight="1"/>
    <row r="12" ht="10" customHeight="1">
      <c r="A12" s="21" t="inlineStr">
        <is>
          <t>(B) MRO TAM by Work Type</t>
        </is>
      </c>
      <c r="B12" s="22" t="n"/>
      <c r="C12" s="22" t="n"/>
    </row>
    <row r="13" ht="10" customHeight="1">
      <c r="A13" s="23" t="inlineStr">
        <is>
          <t>Work Type</t>
        </is>
      </c>
      <c r="B13" s="23" t="inlineStr">
        <is>
          <t>FY2027 ($K)</t>
        </is>
      </c>
      <c r="C13" s="23" t="inlineStr">
        <is>
          <t>% of TAM</t>
        </is>
      </c>
    </row>
    <row r="14" ht="10" customHeight="1">
      <c r="A14" s="24" t="inlineStr">
        <is>
          <t>Modernization</t>
        </is>
      </c>
      <c r="B14" s="2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31">
        <f>IFERROR(B14/B$18,0)</f>
        <v/>
      </c>
    </row>
    <row r="15" ht="10" customHeight="1">
      <c r="A15" s="24" t="inlineStr">
        <is>
          <t>Major Life-Cycle Events / RCOH</t>
        </is>
      </c>
      <c r="B15" s="2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31">
        <f>IFERROR(B15/B$18,0)</f>
        <v/>
      </c>
    </row>
    <row r="16" ht="10" customHeight="1">
      <c r="A16" s="24" t="inlineStr">
        <is>
          <t>Sustainment Engineering</t>
        </is>
      </c>
      <c r="B16" s="2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31">
        <f>IFERROR(B16/B$18,0)</f>
        <v/>
      </c>
    </row>
    <row r="17" ht="10" customHeight="1">
      <c r="A17" s="24" t="inlineStr">
        <is>
          <t>Availability Support</t>
        </is>
      </c>
      <c r="B17" s="2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31">
        <f>IFERROR(B17/B$18,0)</f>
        <v/>
      </c>
    </row>
    <row r="18" ht="10" customHeight="1">
      <c r="A18" s="26" t="inlineStr">
        <is>
          <t>MRO TAM</t>
        </is>
      </c>
      <c r="B18" s="27">
        <f>SUM(B14:B17)</f>
        <v/>
      </c>
      <c r="C18" s="32" t="n">
        <v>1</v>
      </c>
    </row>
    <row r="19" ht="10" customHeight="1"/>
    <row r="20" ht="10" customHeight="1"/>
    <row r="21" ht="10" customHeight="1">
      <c r="A21" s="21" t="inlineStr">
        <is>
          <t>(C) MRO TAM by Vessel Type</t>
        </is>
      </c>
      <c r="B21" s="22" t="n"/>
      <c r="C21" s="22" t="n"/>
      <c r="D21" s="22" t="n"/>
    </row>
    <row r="22" ht="10" customHeight="1">
      <c r="A22" s="23" t="inlineStr">
        <is>
          <t>Vessel Type</t>
        </is>
      </c>
      <c r="B22" s="23" t="inlineStr">
        <is>
          <t>Service</t>
        </is>
      </c>
      <c r="C22" s="23" t="inlineStr">
        <is>
          <t>FY2027 ($K)</t>
        </is>
      </c>
      <c r="D22" s="23" t="inlineStr">
        <is>
          <t>% of TAM</t>
        </is>
      </c>
    </row>
    <row r="23" ht="10" customHeight="1">
      <c r="A23" s="24" t="inlineStr">
        <is>
          <t>Submarines</t>
        </is>
      </c>
      <c r="B23" s="24" t="inlineStr">
        <is>
          <t>USN</t>
        </is>
      </c>
      <c r="C23" s="2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31">
        <f>IFERROR(C23/C$51,0)</f>
        <v/>
      </c>
    </row>
    <row r="24" ht="10" customHeight="1">
      <c r="A24" s="24" t="inlineStr">
        <is>
          <t>Surface Combatants</t>
        </is>
      </c>
      <c r="B24" s="24" t="inlineStr">
        <is>
          <t>USN</t>
        </is>
      </c>
      <c r="C24" s="2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31">
        <f>IFERROR(C24/C$51,0)</f>
        <v/>
      </c>
    </row>
    <row r="25" ht="10" customHeight="1">
      <c r="A25" s="24" t="inlineStr">
        <is>
          <t>Aircraft Carriers</t>
        </is>
      </c>
      <c r="B25" s="24" t="inlineStr">
        <is>
          <t>USN</t>
        </is>
      </c>
      <c r="C25" s="2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31">
        <f>IFERROR(C25/C$51,0)</f>
        <v/>
      </c>
    </row>
    <row r="26" ht="10" customHeight="1">
      <c r="A26" s="24" t="inlineStr">
        <is>
          <t>Amphibious Warfare Ships</t>
        </is>
      </c>
      <c r="B26" s="24" t="inlineStr">
        <is>
          <t>USN</t>
        </is>
      </c>
      <c r="C26" s="2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31">
        <f>IFERROR(C26/C$51,0)</f>
        <v/>
      </c>
    </row>
    <row r="27" ht="10" customHeight="1">
      <c r="A27" s="24" t="inlineStr">
        <is>
          <t>Surveillance Ships</t>
        </is>
      </c>
      <c r="B27" s="24" t="inlineStr">
        <is>
          <t>USN</t>
        </is>
      </c>
      <c r="C27" s="2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31">
        <f>IFERROR(C27/C$51,0)</f>
        <v/>
      </c>
    </row>
    <row r="28" ht="10" customHeight="1">
      <c r="A28" s="24" t="inlineStr">
        <is>
          <t>Expeditionary &amp; Seabasing Ships</t>
        </is>
      </c>
      <c r="B28" s="24" t="inlineStr">
        <is>
          <t>USN</t>
        </is>
      </c>
      <c r="C28" s="2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31">
        <f>IFERROR(C28/C$51,0)</f>
        <v/>
      </c>
    </row>
    <row r="29" ht="10" customHeight="1">
      <c r="A29" s="24" t="inlineStr">
        <is>
          <t>Command Ships</t>
        </is>
      </c>
      <c r="B29" s="24" t="inlineStr">
        <is>
          <t>USN</t>
        </is>
      </c>
      <c r="C29" s="2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31">
        <f>IFERROR(C29/C$51,0)</f>
        <v/>
      </c>
    </row>
    <row r="30" ht="10" customHeight="1">
      <c r="A30" s="24" t="inlineStr">
        <is>
          <t>Crane Ship</t>
        </is>
      </c>
      <c r="B30" s="24" t="inlineStr">
        <is>
          <t>USN</t>
        </is>
      </c>
      <c r="C30" s="2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0" s="31">
        <f>IFERROR(C30/C$51,0)</f>
        <v/>
      </c>
    </row>
    <row r="31" ht="10" customHeight="1">
      <c r="A31" s="24" t="inlineStr">
        <is>
          <t>Material Support Ships</t>
        </is>
      </c>
      <c r="B31" s="24" t="inlineStr">
        <is>
          <t>USN</t>
        </is>
      </c>
      <c r="C31" s="2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1" s="31">
        <f>IFERROR(C31/C$51,0)</f>
        <v/>
      </c>
    </row>
    <row r="32" ht="10" customHeight="1">
      <c r="A32" s="24" t="inlineStr">
        <is>
          <t>Aviation Logistics Support Ship</t>
        </is>
      </c>
      <c r="B32" s="24" t="inlineStr">
        <is>
          <t>USN</t>
        </is>
      </c>
      <c r="C32" s="2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2" s="31">
        <f>IFERROR(C32/C$51,0)</f>
        <v/>
      </c>
    </row>
    <row r="33" ht="10" customHeight="1">
      <c r="A33" s="24" t="inlineStr">
        <is>
          <t>Unmanned Undersea Vehicles</t>
        </is>
      </c>
      <c r="B33" s="24" t="inlineStr">
        <is>
          <t>USN</t>
        </is>
      </c>
      <c r="C33" s="2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3" s="31">
        <f>IFERROR(C33/C$51,0)</f>
        <v/>
      </c>
    </row>
    <row r="34" ht="10" customHeight="1">
      <c r="A34" s="24" t="inlineStr">
        <is>
          <t>High Speed Transport</t>
        </is>
      </c>
      <c r="B34" s="24" t="inlineStr">
        <is>
          <t>USN</t>
        </is>
      </c>
      <c r="C34" s="2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4" s="31">
        <f>IFERROR(C34/C$51,0)</f>
        <v/>
      </c>
    </row>
    <row r="35" ht="10" customHeight="1">
      <c r="A35" s="24" t="inlineStr">
        <is>
          <t>Combat Logistics Ships</t>
        </is>
      </c>
      <c r="B35" s="24" t="inlineStr">
        <is>
          <t>MSC</t>
        </is>
      </c>
      <c r="C35" s="2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5" s="31">
        <f>IFERROR(C35/C$51,0)</f>
        <v/>
      </c>
    </row>
    <row r="36" ht="10" customHeight="1">
      <c r="A36" s="24" t="inlineStr">
        <is>
          <t>Salvage Ships &amp; Fleet Ocean Tugs</t>
        </is>
      </c>
      <c r="B36" s="24" t="inlineStr">
        <is>
          <t>MSC</t>
        </is>
      </c>
      <c r="C36" s="2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6" s="31">
        <f>IFERROR(C36/C$51,0)</f>
        <v/>
      </c>
    </row>
    <row r="37" ht="10" customHeight="1">
      <c r="A37" s="24" t="inlineStr">
        <is>
          <t>Mine Warfare</t>
        </is>
      </c>
      <c r="B37" s="24" t="inlineStr">
        <is>
          <t>USN</t>
        </is>
      </c>
      <c r="C37" s="2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7" s="31">
        <f>IFERROR(C37/C$51,0)</f>
        <v/>
      </c>
    </row>
    <row r="38" ht="10" customHeight="1">
      <c r="A38" s="24" t="inlineStr">
        <is>
          <t>Cargo &amp; Vehicle Cargo Ships</t>
        </is>
      </c>
      <c r="B38" s="24" t="inlineStr">
        <is>
          <t>USN</t>
        </is>
      </c>
      <c r="C38" s="2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8" s="31">
        <f>IFERROR(C38/C$51,0)</f>
        <v/>
      </c>
    </row>
    <row r="39" ht="10" customHeight="1">
      <c r="A39" s="24" t="inlineStr">
        <is>
          <t>Hospital Ship</t>
        </is>
      </c>
      <c r="B39" s="24" t="inlineStr">
        <is>
          <t>MSC</t>
        </is>
      </c>
      <c r="C39" s="2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9" s="31">
        <f>IFERROR(C39/C$51,0)</f>
        <v/>
      </c>
    </row>
    <row r="40" ht="10" customHeight="1">
      <c r="A40" s="24" t="inlineStr">
        <is>
          <t>Submarine Escort Ship</t>
        </is>
      </c>
      <c r="B40" s="24" t="inlineStr">
        <is>
          <t>USN</t>
        </is>
      </c>
      <c r="C40" s="2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40" s="31">
        <f>IFERROR(C40/C$51,0)</f>
        <v/>
      </c>
    </row>
    <row r="41" ht="10" customHeight="1">
      <c r="A41" s="24" t="inlineStr">
        <is>
          <t>Unmanned Surface Vehicles</t>
        </is>
      </c>
      <c r="B41" s="24" t="inlineStr">
        <is>
          <t>USN</t>
        </is>
      </c>
      <c r="C41" s="2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41" s="31">
        <f>IFERROR(C41/C$51,0)</f>
        <v/>
      </c>
    </row>
    <row r="42" ht="10" customHeight="1">
      <c r="A42" s="24" t="inlineStr">
        <is>
          <t>Research, Survey &amp; Instrumentation Ships</t>
        </is>
      </c>
      <c r="B42" s="24" t="inlineStr">
        <is>
          <t>MSC</t>
        </is>
      </c>
      <c r="C42" s="2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42" s="31">
        <f>IFERROR(C42/C$51,0)</f>
        <v/>
      </c>
    </row>
    <row r="43" ht="10" customHeight="1">
      <c r="A43" s="24" t="inlineStr">
        <is>
          <t>General Auxiliary</t>
        </is>
      </c>
      <c r="B43" s="24" t="inlineStr">
        <is>
          <t>USN</t>
        </is>
      </c>
      <c r="C43" s="2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43" s="31">
        <f>IFERROR(C43/C$51,0)</f>
        <v/>
      </c>
    </row>
    <row r="44" ht="10" customHeight="1">
      <c r="A44" s="24" t="inlineStr">
        <is>
          <t>Offshore Patrol Cutter</t>
        </is>
      </c>
      <c r="B44" s="24" t="inlineStr">
        <is>
          <t>USCG</t>
        </is>
      </c>
      <c r="C44" s="2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4" s="31">
        <f>IFERROR(C44/C$51,0)</f>
        <v/>
      </c>
    </row>
    <row r="45" ht="10" customHeight="1">
      <c r="A45" s="24" t="inlineStr">
        <is>
          <t>Fast Response Cutters</t>
        </is>
      </c>
      <c r="B45" s="24" t="inlineStr">
        <is>
          <t>USCG</t>
        </is>
      </c>
      <c r="C45" s="2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5" s="31">
        <f>IFERROR(C45/C$51,0)</f>
        <v/>
      </c>
    </row>
    <row r="46" ht="10" customHeight="1">
      <c r="A46" s="24" t="inlineStr">
        <is>
          <t>Icebreakers, Oceangoing</t>
        </is>
      </c>
      <c r="B46" s="24" t="inlineStr">
        <is>
          <t>USCG</t>
        </is>
      </c>
      <c r="C46" s="2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6" s="31">
        <f>IFERROR(C46/C$51,0)</f>
        <v/>
      </c>
    </row>
    <row r="47" ht="10" customHeight="1">
      <c r="A47" s="24" t="inlineStr">
        <is>
          <t>Waterways Commerce Cutters</t>
        </is>
      </c>
      <c r="B47" s="24" t="inlineStr">
        <is>
          <t>USCG</t>
        </is>
      </c>
      <c r="C47" s="2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7" s="31">
        <f>IFERROR(C47/C$51,0)</f>
        <v/>
      </c>
    </row>
    <row r="48" ht="10" customHeight="1">
      <c r="A48" s="24" t="inlineStr">
        <is>
          <t>National Security Cutters</t>
        </is>
      </c>
      <c r="B48" s="24" t="inlineStr">
        <is>
          <t>USCG</t>
        </is>
      </c>
      <c r="C48" s="2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8" s="31">
        <f>IFERROR(C48/C$51,0)</f>
        <v/>
      </c>
    </row>
    <row r="49" ht="10" customHeight="1">
      <c r="A49" s="24" t="inlineStr">
        <is>
          <t>Icebreakers, Great Lakes</t>
        </is>
      </c>
      <c r="B49" s="24" t="inlineStr">
        <is>
          <t>USCG</t>
        </is>
      </c>
      <c r="C49" s="2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9" s="31">
        <f>IFERROR(C49/C$51,0)</f>
        <v/>
      </c>
    </row>
    <row r="50" ht="10" customHeight="1">
      <c r="A50" s="24" t="inlineStr">
        <is>
          <t>Coastal Buoy Tenders</t>
        </is>
      </c>
      <c r="B50" s="24" t="inlineStr">
        <is>
          <t>USCG</t>
        </is>
      </c>
      <c r="C50" s="2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50" s="31">
        <f>IFERROR(C50/C$51,0)</f>
        <v/>
      </c>
    </row>
    <row r="51" ht="10" customHeight="1">
      <c r="A51" s="26" t="inlineStr">
        <is>
          <t>MRO TAM</t>
        </is>
      </c>
      <c r="B51" s="26" t="inlineStr"/>
      <c r="C51" s="27">
        <f>SUM(C23:C50)</f>
        <v/>
      </c>
      <c r="D51" s="32" t="n">
        <v>1</v>
      </c>
    </row>
    <row r="52" ht="10" customHeight="1"/>
    <row r="53" ht="10" customHeight="1"/>
    <row r="54" ht="10" customHeight="1">
      <c r="A54" s="21" t="inlineStr">
        <is>
          <t>(D) MRO TAM — Work Type by Vessel Type (Mekko)</t>
        </is>
      </c>
      <c r="B54" s="22" t="n"/>
      <c r="C54" s="22" t="n"/>
      <c r="D54" s="22" t="n"/>
      <c r="E54" s="22" t="n"/>
      <c r="F54" s="22" t="n"/>
      <c r="G54" s="22" t="n"/>
      <c r="H54" s="22" t="n"/>
      <c r="I54" s="22" t="n"/>
    </row>
    <row r="55" ht="10" customHeight="1">
      <c r="A55" s="33" t="n"/>
      <c r="B55" s="34" t="inlineStr">
        <is>
          <t>USN</t>
        </is>
      </c>
      <c r="C55" s="33" t="n"/>
      <c r="D55" s="33" t="n"/>
      <c r="E55" s="33" t="n"/>
      <c r="F55" s="33" t="n"/>
      <c r="G55" s="33" t="n"/>
      <c r="H55" s="33" t="n"/>
      <c r="I55" s="35" t="n"/>
    </row>
    <row r="56" ht="10" customHeight="1">
      <c r="A56" s="23" t="inlineStr">
        <is>
          <t>Work Type</t>
        </is>
      </c>
      <c r="B56" s="36" t="inlineStr">
        <is>
          <t>Submarines</t>
        </is>
      </c>
      <c r="C56" s="23" t="inlineStr">
        <is>
          <t>Surface Combatants</t>
        </is>
      </c>
      <c r="D56" s="23" t="inlineStr">
        <is>
          <t>Aircraft Carriers</t>
        </is>
      </c>
      <c r="E56" s="23" t="inlineStr">
        <is>
          <t>Amphibious Warfare Ships</t>
        </is>
      </c>
      <c r="F56" s="23" t="inlineStr">
        <is>
          <t>Surveillance Ships</t>
        </is>
      </c>
      <c r="G56" s="23" t="inlineStr">
        <is>
          <t>Expeditionary &amp; Seabasing Ships</t>
        </is>
      </c>
      <c r="H56" s="23" t="inlineStr">
        <is>
          <t>Command Ships</t>
        </is>
      </c>
      <c r="I56" s="36" t="inlineStr">
        <is>
          <t>Total</t>
        </is>
      </c>
    </row>
    <row r="57" ht="10" customHeight="1">
      <c r="A57" s="24" t="inlineStr">
        <is>
          <t>Modernization</t>
        </is>
      </c>
      <c r="B57" s="37">
        <f>IFERROR((SUMIFS(JB_27U,JB_B,4,JB_W,"Submarines",JB_S,"",JB_27U,"&lt;&gt;")+SUMIFS(JB_27S,JB_B,4,JB_W,"Submarines",JB_S,"",JB_27U,"")+SUMIFS(JB_27U,JB_B,4,JB_W,"Submarines",JB_S,"[PARENT]",JB_27U,"&lt;&gt;")+SUMIFS(JB_27S,JB_B,4,JB_W,"Submarines",JB_S,"[PARENT]",JB_27U,""))/B$61,0)</f>
        <v/>
      </c>
      <c r="C57" s="31">
        <f>IFERROR((SUMIFS(JB_27U,JB_B,4,JB_W,"Surface Combatants",JB_S,"",JB_27U,"&lt;&gt;")+SUMIFS(JB_27S,JB_B,4,JB_W,"Surface Combatants",JB_S,"",JB_27U,"")+SUMIFS(JB_27U,JB_B,4,JB_W,"Surface Combatants",JB_S,"[PARENT]",JB_27U,"&lt;&gt;")+SUMIFS(JB_27S,JB_B,4,JB_W,"Surface Combatants",JB_S,"[PARENT]",JB_27U,""))/C$61,0)</f>
        <v/>
      </c>
      <c r="D57" s="31">
        <f>IFERROR((SUMIFS(JB_27U,JB_B,4,JB_W,"Aircraft Carriers",JB_S,"",JB_27U,"&lt;&gt;")+SUMIFS(JB_27S,JB_B,4,JB_W,"Aircraft Carriers",JB_S,"",JB_27U,"")+SUMIFS(JB_27U,JB_B,4,JB_W,"Aircraft Carriers",JB_S,"[PARENT]",JB_27U,"&lt;&gt;")+SUMIFS(JB_27S,JB_B,4,JB_W,"Aircraft Carriers",JB_S,"[PARENT]",JB_27U,""))/D$61,0)</f>
        <v/>
      </c>
      <c r="E57" s="31">
        <f>IFERROR((SUMIFS(JB_27U,JB_B,4,JB_W,"Amphibious Warfare Ships",JB_S,"",JB_27U,"&lt;&gt;")+SUMIFS(JB_27S,JB_B,4,JB_W,"Amphibious Warfare Ships",JB_S,"",JB_27U,"")+SUMIFS(JB_27U,JB_B,4,JB_W,"Amphibious Warfare Ships",JB_S,"[PARENT]",JB_27U,"&lt;&gt;")+SUMIFS(JB_27S,JB_B,4,JB_W,"Amphibious Warfare Ships",JB_S,"[PARENT]",JB_27U,""))/E$61,0)</f>
        <v/>
      </c>
      <c r="F57" s="31">
        <f>IFERROR((SUMIFS(JB_27U,JB_B,4,JB_W,"Surveillance Ships",JB_S,"",JB_27U,"&lt;&gt;")+SUMIFS(JB_27S,JB_B,4,JB_W,"Surveillance Ships",JB_S,"",JB_27U,"")+SUMIFS(JB_27U,JB_B,4,JB_W,"Surveillance Ships",JB_S,"[PARENT]",JB_27U,"&lt;&gt;")+SUMIFS(JB_27S,JB_B,4,JB_W,"Surveillance Ships",JB_S,"[PARENT]",JB_27U,""))/F$61,0)</f>
        <v/>
      </c>
      <c r="G57" s="3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31">
        <f>IFERROR((SUMIFS(JB_27U,JB_B,4,JB_W,"Command Ships",JB_S,"",JB_27U,"&lt;&gt;")+SUMIFS(JB_27S,JB_B,4,JB_W,"Command Ships",JB_S,"",JB_27U,"")+SUMIFS(JB_27U,JB_B,4,JB_W,"Command Ships",JB_S,"[PARENT]",JB_27U,"&lt;&gt;")+SUMIFS(JB_27S,JB_B,4,JB_W,"Command Ships",JB_S,"[PARENT]",JB_27U,""))/H$61,0)</f>
        <v/>
      </c>
      <c r="I57" s="37">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24" t="inlineStr">
        <is>
          <t>Major Life-Cycle Events / RCOH</t>
        </is>
      </c>
      <c r="B58" s="37">
        <f>IFERROR((SUMIFS(JB_27U,JB_B,5,JB_W,"Submarines",JB_S,"",JB_27U,"&lt;&gt;")+SUMIFS(JB_27S,JB_B,5,JB_W,"Submarines",JB_S,"",JB_27U,"")+SUMIFS(JB_27U,JB_B,5,JB_W,"Submarines",JB_S,"[PARENT]",JB_27U,"&lt;&gt;")+SUMIFS(JB_27S,JB_B,5,JB_W,"Submarines",JB_S,"[PARENT]",JB_27U,""))/B$61,0)</f>
        <v/>
      </c>
      <c r="C58" s="31">
        <f>IFERROR((SUMIFS(JB_27U,JB_B,5,JB_W,"Surface Combatants",JB_S,"",JB_27U,"&lt;&gt;")+SUMIFS(JB_27S,JB_B,5,JB_W,"Surface Combatants",JB_S,"",JB_27U,"")+SUMIFS(JB_27U,JB_B,5,JB_W,"Surface Combatants",JB_S,"[PARENT]",JB_27U,"&lt;&gt;")+SUMIFS(JB_27S,JB_B,5,JB_W,"Surface Combatants",JB_S,"[PARENT]",JB_27U,""))/C$61,0)</f>
        <v/>
      </c>
      <c r="D58" s="31">
        <f>IFERROR((SUMIFS(JB_27U,JB_B,5,JB_W,"Aircraft Carriers",JB_S,"",JB_27U,"&lt;&gt;")+SUMIFS(JB_27S,JB_B,5,JB_W,"Aircraft Carriers",JB_S,"",JB_27U,"")+SUMIFS(JB_27U,JB_B,5,JB_W,"Aircraft Carriers",JB_S,"[PARENT]",JB_27U,"&lt;&gt;")+SUMIFS(JB_27S,JB_B,5,JB_W,"Aircraft Carriers",JB_S,"[PARENT]",JB_27U,""))/D$61,0)</f>
        <v/>
      </c>
      <c r="E58" s="31">
        <f>IFERROR((SUMIFS(JB_27U,JB_B,5,JB_W,"Amphibious Warfare Ships",JB_S,"",JB_27U,"&lt;&gt;")+SUMIFS(JB_27S,JB_B,5,JB_W,"Amphibious Warfare Ships",JB_S,"",JB_27U,"")+SUMIFS(JB_27U,JB_B,5,JB_W,"Amphibious Warfare Ships",JB_S,"[PARENT]",JB_27U,"&lt;&gt;")+SUMIFS(JB_27S,JB_B,5,JB_W,"Amphibious Warfare Ships",JB_S,"[PARENT]",JB_27U,""))/E$61,0)</f>
        <v/>
      </c>
      <c r="F58" s="31">
        <f>IFERROR((SUMIFS(JB_27U,JB_B,5,JB_W,"Surveillance Ships",JB_S,"",JB_27U,"&lt;&gt;")+SUMIFS(JB_27S,JB_B,5,JB_W,"Surveillance Ships",JB_S,"",JB_27U,"")+SUMIFS(JB_27U,JB_B,5,JB_W,"Surveillance Ships",JB_S,"[PARENT]",JB_27U,"&lt;&gt;")+SUMIFS(JB_27S,JB_B,5,JB_W,"Surveillance Ships",JB_S,"[PARENT]",JB_27U,""))/F$61,0)</f>
        <v/>
      </c>
      <c r="G58" s="3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31">
        <f>IFERROR((SUMIFS(JB_27U,JB_B,5,JB_W,"Command Ships",JB_S,"",JB_27U,"&lt;&gt;")+SUMIFS(JB_27S,JB_B,5,JB_W,"Command Ships",JB_S,"",JB_27U,"")+SUMIFS(JB_27U,JB_B,5,JB_W,"Command Ships",JB_S,"[PARENT]",JB_27U,"&lt;&gt;")+SUMIFS(JB_27S,JB_B,5,JB_W,"Command Ships",JB_S,"[PARENT]",JB_27U,""))/H$61,0)</f>
        <v/>
      </c>
      <c r="I58" s="37">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24" t="inlineStr">
        <is>
          <t>Sustainment Engineering</t>
        </is>
      </c>
      <c r="B59" s="37">
        <f>IFERROR((SUMIFS(JB_27U,JB_B,6,JB_W,"Submarines",JB_S,"",JB_27U,"&lt;&gt;")+SUMIFS(JB_27S,JB_B,6,JB_W,"Submarines",JB_S,"",JB_27U,"")+SUMIFS(JB_27U,JB_B,6,JB_W,"Submarines",JB_S,"[PARENT]",JB_27U,"&lt;&gt;")+SUMIFS(JB_27S,JB_B,6,JB_W,"Submarines",JB_S,"[PARENT]",JB_27U,""))/B$61,0)</f>
        <v/>
      </c>
      <c r="C59" s="31">
        <f>IFERROR((SUMIFS(JB_27U,JB_B,6,JB_W,"Surface Combatants",JB_S,"",JB_27U,"&lt;&gt;")+SUMIFS(JB_27S,JB_B,6,JB_W,"Surface Combatants",JB_S,"",JB_27U,"")+SUMIFS(JB_27U,JB_B,6,JB_W,"Surface Combatants",JB_S,"[PARENT]",JB_27U,"&lt;&gt;")+SUMIFS(JB_27S,JB_B,6,JB_W,"Surface Combatants",JB_S,"[PARENT]",JB_27U,""))/C$61,0)</f>
        <v/>
      </c>
      <c r="D59" s="31">
        <f>IFERROR((SUMIFS(JB_27U,JB_B,6,JB_W,"Aircraft Carriers",JB_S,"",JB_27U,"&lt;&gt;")+SUMIFS(JB_27S,JB_B,6,JB_W,"Aircraft Carriers",JB_S,"",JB_27U,"")+SUMIFS(JB_27U,JB_B,6,JB_W,"Aircraft Carriers",JB_S,"[PARENT]",JB_27U,"&lt;&gt;")+SUMIFS(JB_27S,JB_B,6,JB_W,"Aircraft Carriers",JB_S,"[PARENT]",JB_27U,""))/D$61,0)</f>
        <v/>
      </c>
      <c r="E59" s="31">
        <f>IFERROR((SUMIFS(JB_27U,JB_B,6,JB_W,"Amphibious Warfare Ships",JB_S,"",JB_27U,"&lt;&gt;")+SUMIFS(JB_27S,JB_B,6,JB_W,"Amphibious Warfare Ships",JB_S,"",JB_27U,"")+SUMIFS(JB_27U,JB_B,6,JB_W,"Amphibious Warfare Ships",JB_S,"[PARENT]",JB_27U,"&lt;&gt;")+SUMIFS(JB_27S,JB_B,6,JB_W,"Amphibious Warfare Ships",JB_S,"[PARENT]",JB_27U,""))/E$61,0)</f>
        <v/>
      </c>
      <c r="F59" s="31">
        <f>IFERROR((SUMIFS(JB_27U,JB_B,6,JB_W,"Surveillance Ships",JB_S,"",JB_27U,"&lt;&gt;")+SUMIFS(JB_27S,JB_B,6,JB_W,"Surveillance Ships",JB_S,"",JB_27U,"")+SUMIFS(JB_27U,JB_B,6,JB_W,"Surveillance Ships",JB_S,"[PARENT]",JB_27U,"&lt;&gt;")+SUMIFS(JB_27S,JB_B,6,JB_W,"Surveillance Ships",JB_S,"[PARENT]",JB_27U,""))/F$61,0)</f>
        <v/>
      </c>
      <c r="G59" s="3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31">
        <f>IFERROR((SUMIFS(JB_27U,JB_B,6,JB_W,"Command Ships",JB_S,"",JB_27U,"&lt;&gt;")+SUMIFS(JB_27S,JB_B,6,JB_W,"Command Ships",JB_S,"",JB_27U,"")+SUMIFS(JB_27U,JB_B,6,JB_W,"Command Ships",JB_S,"[PARENT]",JB_27U,"&lt;&gt;")+SUMIFS(JB_27S,JB_B,6,JB_W,"Command Ships",JB_S,"[PARENT]",JB_27U,""))/H$61,0)</f>
        <v/>
      </c>
      <c r="I59" s="37">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24" t="inlineStr">
        <is>
          <t>Availability Support</t>
        </is>
      </c>
      <c r="B60" s="37">
        <f>IFERROR((SUMIFS(JB_27U,JB_B,7,JB_W,"Submarines",JB_S,"",JB_27U,"&lt;&gt;")+SUMIFS(JB_27S,JB_B,7,JB_W,"Submarines",JB_S,"",JB_27U,"")+SUMIFS(JB_27U,JB_B,7,JB_W,"Submarines",JB_S,"[PARENT]",JB_27U,"&lt;&gt;")+SUMIFS(JB_27S,JB_B,7,JB_W,"Submarines",JB_S,"[PARENT]",JB_27U,""))/B$61,0)</f>
        <v/>
      </c>
      <c r="C60" s="31">
        <f>IFERROR((SUMIFS(JB_27U,JB_B,7,JB_W,"Surface Combatants",JB_S,"",JB_27U,"&lt;&gt;")+SUMIFS(JB_27S,JB_B,7,JB_W,"Surface Combatants",JB_S,"",JB_27U,"")+SUMIFS(JB_27U,JB_B,7,JB_W,"Surface Combatants",JB_S,"[PARENT]",JB_27U,"&lt;&gt;")+SUMIFS(JB_27S,JB_B,7,JB_W,"Surface Combatants",JB_S,"[PARENT]",JB_27U,""))/C$61,0)</f>
        <v/>
      </c>
      <c r="D60" s="31">
        <f>IFERROR((SUMIFS(JB_27U,JB_B,7,JB_W,"Aircraft Carriers",JB_S,"",JB_27U,"&lt;&gt;")+SUMIFS(JB_27S,JB_B,7,JB_W,"Aircraft Carriers",JB_S,"",JB_27U,"")+SUMIFS(JB_27U,JB_B,7,JB_W,"Aircraft Carriers",JB_S,"[PARENT]",JB_27U,"&lt;&gt;")+SUMIFS(JB_27S,JB_B,7,JB_W,"Aircraft Carriers",JB_S,"[PARENT]",JB_27U,""))/D$61,0)</f>
        <v/>
      </c>
      <c r="E60" s="31">
        <f>IFERROR((SUMIFS(JB_27U,JB_B,7,JB_W,"Amphibious Warfare Ships",JB_S,"",JB_27U,"&lt;&gt;")+SUMIFS(JB_27S,JB_B,7,JB_W,"Amphibious Warfare Ships",JB_S,"",JB_27U,"")+SUMIFS(JB_27U,JB_B,7,JB_W,"Amphibious Warfare Ships",JB_S,"[PARENT]",JB_27U,"&lt;&gt;")+SUMIFS(JB_27S,JB_B,7,JB_W,"Amphibious Warfare Ships",JB_S,"[PARENT]",JB_27U,""))/E$61,0)</f>
        <v/>
      </c>
      <c r="F60" s="31">
        <f>IFERROR((SUMIFS(JB_27U,JB_B,7,JB_W,"Surveillance Ships",JB_S,"",JB_27U,"&lt;&gt;")+SUMIFS(JB_27S,JB_B,7,JB_W,"Surveillance Ships",JB_S,"",JB_27U,"")+SUMIFS(JB_27U,JB_B,7,JB_W,"Surveillance Ships",JB_S,"[PARENT]",JB_27U,"&lt;&gt;")+SUMIFS(JB_27S,JB_B,7,JB_W,"Surveillance Ships",JB_S,"[PARENT]",JB_27U,""))/F$61,0)</f>
        <v/>
      </c>
      <c r="G60" s="3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31">
        <f>IFERROR((SUMIFS(JB_27U,JB_B,7,JB_W,"Command Ships",JB_S,"",JB_27U,"&lt;&gt;")+SUMIFS(JB_27S,JB_B,7,JB_W,"Command Ships",JB_S,"",JB_27U,"")+SUMIFS(JB_27U,JB_B,7,JB_W,"Command Ships",JB_S,"[PARENT]",JB_27U,"&lt;&gt;")+SUMIFS(JB_27S,JB_B,7,JB_W,"Command Ships",JB_S,"[PARENT]",JB_27U,""))/H$61,0)</f>
        <v/>
      </c>
      <c r="I60" s="37">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26" t="inlineStr">
        <is>
          <t>Total ($K)</t>
        </is>
      </c>
      <c r="B61" s="3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2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2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2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2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2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2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38">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18" t="inlineStr">
        <is>
          <t>MRO SAM — FY2027 ($K)</t>
        </is>
      </c>
      <c r="B1" s="19" t="n"/>
      <c r="C1" s="19" t="n"/>
      <c r="D1" s="19" t="n"/>
      <c r="E1" s="19" t="n"/>
      <c r="F1" s="19" t="n"/>
    </row>
    <row r="2" ht="10" customHeight="1">
      <c r="A2" s="20" t="inlineStr">
        <is>
          <t>Outsourceable MRO: SDM + Modernization, excluding non-addressable vessel types</t>
        </is>
      </c>
    </row>
    <row r="3" ht="10" customHeight="1"/>
    <row r="4" ht="10" customHeight="1">
      <c r="A4" s="21" t="inlineStr">
        <is>
          <t>(A) Bridge: MRO TAM → MRO SAM</t>
        </is>
      </c>
      <c r="B4" s="22" t="n"/>
    </row>
    <row r="5" ht="10" customHeight="1">
      <c r="A5" s="24" t="inlineStr">
        <is>
          <t>MRO TAM</t>
        </is>
      </c>
      <c r="B5" s="43">
        <f>'FY27 MRO TAM'!B18</f>
        <v/>
      </c>
    </row>
    <row r="6" ht="10" customHeight="1">
      <c r="A6" s="24" t="inlineStr">
        <is>
          <t xml:space="preserve">  Less: Submarines</t>
        </is>
      </c>
      <c r="B6" s="2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24" t="inlineStr">
        <is>
          <t xml:space="preserve">  Less: Aircraft Carriers</t>
        </is>
      </c>
      <c r="B7" s="2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24" t="inlineStr">
        <is>
          <t xml:space="preserve">  Less: Unmanned Undersea Vehicles</t>
        </is>
      </c>
      <c r="B8" s="2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24" t="inlineStr">
        <is>
          <t xml:space="preserve">  Less: Non-outsourceable work types</t>
        </is>
      </c>
      <c r="B9" s="25">
        <f>-(B5+B6+B7+B8-B10)</f>
        <v/>
      </c>
    </row>
    <row r="10" ht="10" customHeight="1">
      <c r="A10" s="26" t="inlineStr">
        <is>
          <t>MRO SAM</t>
        </is>
      </c>
      <c r="B10" s="2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21" t="inlineStr">
        <is>
          <t>(B) MRO SAM by Vessel Type</t>
        </is>
      </c>
      <c r="B13" s="22" t="n"/>
      <c r="C13" s="22" t="n"/>
      <c r="D13" s="22" t="n"/>
      <c r="E13" s="22" t="n"/>
      <c r="F13" s="22" t="n"/>
    </row>
    <row r="14" ht="10" customHeight="1">
      <c r="A14" s="23" t="inlineStr">
        <is>
          <t>Vessel Type</t>
        </is>
      </c>
      <c r="B14" s="23" t="inlineStr">
        <is>
          <t>Service</t>
        </is>
      </c>
      <c r="C14" s="23" t="inlineStr">
        <is>
          <t>SDM ($K)</t>
        </is>
      </c>
      <c r="D14" s="23" t="inlineStr">
        <is>
          <t>Mod ($K)</t>
        </is>
      </c>
      <c r="E14" s="23" t="inlineStr">
        <is>
          <t>Total ($K)</t>
        </is>
      </c>
      <c r="F14" s="23" t="inlineStr">
        <is>
          <t>% of SAM</t>
        </is>
      </c>
    </row>
    <row r="15" ht="10" customHeight="1">
      <c r="A15" s="24" t="inlineStr">
        <is>
          <t>Surface Combatants</t>
        </is>
      </c>
      <c r="B15" s="24" t="inlineStr">
        <is>
          <t>USN</t>
        </is>
      </c>
      <c r="C15" s="25">
        <f>SUMIFS(JB_27U,JB_B,2,JB_W,"Surface Combatants",JB_S,"",JB_27U,"&lt;&gt;")+SUMIFS(JB_27S,JB_B,2,JB_W,"Surface Combatants",JB_S,"",JB_27U,"")+SUMIFS(JB_27U,JB_B,2,JB_W,"Surface Combatants",JB_S,"[PARENT]",JB_27U,"&lt;&gt;")+SUMIFS(JB_27S,JB_B,2,JB_W,"Surface Combatants",JB_S,"[PARENT]",JB_27U,"")</f>
        <v/>
      </c>
      <c r="D15" s="25">
        <f>SUMIFS(JB_27U,JB_B,4,JB_W,"Surface Combatants",JB_S,"",JB_27U,"&lt;&gt;")+SUMIFS(JB_27S,JB_B,4,JB_W,"Surface Combatants",JB_S,"",JB_27U,"")+SUMIFS(JB_27U,JB_B,4,JB_W,"Surface Combatants",JB_S,"[PARENT]",JB_27U,"&lt;&gt;")+SUMIFS(JB_27S,JB_B,4,JB_W,"Surface Combatants",JB_S,"[PARENT]",JB_27U,"")</f>
        <v/>
      </c>
      <c r="E15" s="25">
        <f>C15+D15</f>
        <v/>
      </c>
      <c r="F15" s="31">
        <f>IFERROR(E15/E$40,0)</f>
        <v/>
      </c>
    </row>
    <row r="16" ht="10" customHeight="1">
      <c r="A16" s="24" t="inlineStr">
        <is>
          <t>Amphibious Warfare Ships</t>
        </is>
      </c>
      <c r="B16" s="24" t="inlineStr">
        <is>
          <t>USN</t>
        </is>
      </c>
      <c r="C16" s="25">
        <f>SUMIFS(JB_27U,JB_B,2,JB_W,"Amphibious Warfare Ships",JB_S,"",JB_27U,"&lt;&gt;")+SUMIFS(JB_27S,JB_B,2,JB_W,"Amphibious Warfare Ships",JB_S,"",JB_27U,"")+SUMIFS(JB_27U,JB_B,2,JB_W,"Amphibious Warfare Ships",JB_S,"[PARENT]",JB_27U,"&lt;&gt;")+SUMIFS(JB_27S,JB_B,2,JB_W,"Amphibious Warfare Ships",JB_S,"[PARENT]",JB_27U,"")</f>
        <v/>
      </c>
      <c r="D16" s="25">
        <f>SUMIFS(JB_27U,JB_B,4,JB_W,"Amphibious Warfare Ships",JB_S,"",JB_27U,"&lt;&gt;")+SUMIFS(JB_27S,JB_B,4,JB_W,"Amphibious Warfare Ships",JB_S,"",JB_27U,"")+SUMIFS(JB_27U,JB_B,4,JB_W,"Amphibious Warfare Ships",JB_S,"[PARENT]",JB_27U,"&lt;&gt;")+SUMIFS(JB_27S,JB_B,4,JB_W,"Amphibious Warfare Ships",JB_S,"[PARENT]",JB_27U,"")</f>
        <v/>
      </c>
      <c r="E16" s="25">
        <f>C16+D16</f>
        <v/>
      </c>
      <c r="F16" s="31">
        <f>IFERROR(E16/E$40,0)</f>
        <v/>
      </c>
    </row>
    <row r="17" ht="10" customHeight="1">
      <c r="A17" s="24" t="inlineStr">
        <is>
          <t>Surveillance Ships</t>
        </is>
      </c>
      <c r="B17" s="24" t="inlineStr">
        <is>
          <t>USN</t>
        </is>
      </c>
      <c r="C17" s="25">
        <f>SUMIFS(JB_27U,JB_B,2,JB_W,"Surveillance Ships",JB_S,"",JB_27U,"&lt;&gt;")+SUMIFS(JB_27S,JB_B,2,JB_W,"Surveillance Ships",JB_S,"",JB_27U,"")+SUMIFS(JB_27U,JB_B,2,JB_W,"Surveillance Ships",JB_S,"[PARENT]",JB_27U,"&lt;&gt;")+SUMIFS(JB_27S,JB_B,2,JB_W,"Surveillance Ships",JB_S,"[PARENT]",JB_27U,"")</f>
        <v/>
      </c>
      <c r="D17" s="25">
        <f>SUMIFS(JB_27U,JB_B,4,JB_W,"Surveillance Ships",JB_S,"",JB_27U,"&lt;&gt;")+SUMIFS(JB_27S,JB_B,4,JB_W,"Surveillance Ships",JB_S,"",JB_27U,"")+SUMIFS(JB_27U,JB_B,4,JB_W,"Surveillance Ships",JB_S,"[PARENT]",JB_27U,"&lt;&gt;")+SUMIFS(JB_27S,JB_B,4,JB_W,"Surveillance Ships",JB_S,"[PARENT]",JB_27U,"")</f>
        <v/>
      </c>
      <c r="E17" s="25">
        <f>C17+D17</f>
        <v/>
      </c>
      <c r="F17" s="31">
        <f>IFERROR(E17/E$40,0)</f>
        <v/>
      </c>
    </row>
    <row r="18" ht="10" customHeight="1">
      <c r="A18" s="24" t="inlineStr">
        <is>
          <t>Crane Ship</t>
        </is>
      </c>
      <c r="B18" s="24" t="inlineStr">
        <is>
          <t>USN</t>
        </is>
      </c>
      <c r="C18" s="25">
        <f>SUMIFS(JB_27U,JB_B,2,JB_W,"Crane Ship",JB_S,"",JB_27U,"&lt;&gt;")+SUMIFS(JB_27S,JB_B,2,JB_W,"Crane Ship",JB_S,"",JB_27U,"")+SUMIFS(JB_27U,JB_B,2,JB_W,"Crane Ship",JB_S,"[PARENT]",JB_27U,"&lt;&gt;")+SUMIFS(JB_27S,JB_B,2,JB_W,"Crane Ship",JB_S,"[PARENT]",JB_27U,"")</f>
        <v/>
      </c>
      <c r="D18" s="25">
        <f>SUMIFS(JB_27U,JB_B,4,JB_W,"Crane Ship",JB_S,"",JB_27U,"&lt;&gt;")+SUMIFS(JB_27S,JB_B,4,JB_W,"Crane Ship",JB_S,"",JB_27U,"")+SUMIFS(JB_27U,JB_B,4,JB_W,"Crane Ship",JB_S,"[PARENT]",JB_27U,"&lt;&gt;")+SUMIFS(JB_27S,JB_B,4,JB_W,"Crane Ship",JB_S,"[PARENT]",JB_27U,"")</f>
        <v/>
      </c>
      <c r="E18" s="25">
        <f>C18+D18</f>
        <v/>
      </c>
      <c r="F18" s="31">
        <f>IFERROR(E18/E$40,0)</f>
        <v/>
      </c>
    </row>
    <row r="19" ht="10" customHeight="1">
      <c r="A19" s="24" t="inlineStr">
        <is>
          <t>Material Support Ships</t>
        </is>
      </c>
      <c r="B19" s="24" t="inlineStr">
        <is>
          <t>USN</t>
        </is>
      </c>
      <c r="C19" s="25">
        <f>SUMIFS(JB_27U,JB_B,2,JB_W,"Material Support Ships",JB_S,"",JB_27U,"&lt;&gt;")+SUMIFS(JB_27S,JB_B,2,JB_W,"Material Support Ships",JB_S,"",JB_27U,"")+SUMIFS(JB_27U,JB_B,2,JB_W,"Material Support Ships",JB_S,"[PARENT]",JB_27U,"&lt;&gt;")+SUMIFS(JB_27S,JB_B,2,JB_W,"Material Support Ships",JB_S,"[PARENT]",JB_27U,"")</f>
        <v/>
      </c>
      <c r="D19" s="25">
        <f>SUMIFS(JB_27U,JB_B,4,JB_W,"Material Support Ships",JB_S,"",JB_27U,"&lt;&gt;")+SUMIFS(JB_27S,JB_B,4,JB_W,"Material Support Ships",JB_S,"",JB_27U,"")+SUMIFS(JB_27U,JB_B,4,JB_W,"Material Support Ships",JB_S,"[PARENT]",JB_27U,"&lt;&gt;")+SUMIFS(JB_27S,JB_B,4,JB_W,"Material Support Ships",JB_S,"[PARENT]",JB_27U,"")</f>
        <v/>
      </c>
      <c r="E19" s="25">
        <f>C19+D19</f>
        <v/>
      </c>
      <c r="F19" s="31">
        <f>IFERROR(E19/E$40,0)</f>
        <v/>
      </c>
    </row>
    <row r="20" ht="10" customHeight="1">
      <c r="A20" s="24" t="inlineStr">
        <is>
          <t>Mine Warfare</t>
        </is>
      </c>
      <c r="B20" s="24" t="inlineStr">
        <is>
          <t>USN</t>
        </is>
      </c>
      <c r="C20" s="25">
        <f>SUMIFS(JB_27U,JB_B,2,JB_W,"Mine Warfare",JB_S,"",JB_27U,"&lt;&gt;")+SUMIFS(JB_27S,JB_B,2,JB_W,"Mine Warfare",JB_S,"",JB_27U,"")+SUMIFS(JB_27U,JB_B,2,JB_W,"Mine Warfare",JB_S,"[PARENT]",JB_27U,"&lt;&gt;")+SUMIFS(JB_27S,JB_B,2,JB_W,"Mine Warfare",JB_S,"[PARENT]",JB_27U,"")</f>
        <v/>
      </c>
      <c r="D20" s="25">
        <f>SUMIFS(JB_27U,JB_B,4,JB_W,"Mine Warfare",JB_S,"",JB_27U,"&lt;&gt;")+SUMIFS(JB_27S,JB_B,4,JB_W,"Mine Warfare",JB_S,"",JB_27U,"")+SUMIFS(JB_27U,JB_B,4,JB_W,"Mine Warfare",JB_S,"[PARENT]",JB_27U,"&lt;&gt;")+SUMIFS(JB_27S,JB_B,4,JB_W,"Mine Warfare",JB_S,"[PARENT]",JB_27U,"")</f>
        <v/>
      </c>
      <c r="E20" s="25">
        <f>C20+D20</f>
        <v/>
      </c>
      <c r="F20" s="31">
        <f>IFERROR(E20/E$40,0)</f>
        <v/>
      </c>
    </row>
    <row r="21" ht="10" customHeight="1">
      <c r="A21" s="24" t="inlineStr">
        <is>
          <t>Aviation Logistics Support Ship</t>
        </is>
      </c>
      <c r="B21" s="24" t="inlineStr">
        <is>
          <t>USN</t>
        </is>
      </c>
      <c r="C21" s="2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1" s="2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1" s="25">
        <f>C21+D21</f>
        <v/>
      </c>
      <c r="F21" s="31">
        <f>IFERROR(E21/E$40,0)</f>
        <v/>
      </c>
    </row>
    <row r="22" ht="10" customHeight="1">
      <c r="A22" s="24" t="inlineStr">
        <is>
          <t>Cargo &amp; Vehicle Cargo Ships</t>
        </is>
      </c>
      <c r="B22" s="24" t="inlineStr">
        <is>
          <t>USN</t>
        </is>
      </c>
      <c r="C22" s="25">
        <f>SUMIFS(JB_27U,JB_B,2,JB_W,"Cargo &amp; Vehicle Cargo Ships",JB_S,"",JB_27U,"&lt;&gt;")+SUMIFS(JB_27S,JB_B,2,JB_W,"Cargo &amp; Vehicle Cargo Ships",JB_S,"",JB_27U,"")+SUMIFS(JB_27U,JB_B,2,JB_W,"Cargo &amp; Vehicle Cargo Ships",JB_S,"[PARENT]",JB_27U,"&lt;&gt;")+SUMIFS(JB_27S,JB_B,2,JB_W,"Cargo &amp; Vehicle Cargo Ships",JB_S,"[PARENT]",JB_27U,"")</f>
        <v/>
      </c>
      <c r="D22" s="25">
        <f>SUMIFS(JB_27U,JB_B,4,JB_W,"Cargo &amp; Vehicle Cargo Ships",JB_S,"",JB_27U,"&lt;&gt;")+SUMIFS(JB_27S,JB_B,4,JB_W,"Cargo &amp; Vehicle Cargo Ships",JB_S,"",JB_27U,"")+SUMIFS(JB_27U,JB_B,4,JB_W,"Cargo &amp; Vehicle Cargo Ships",JB_S,"[PARENT]",JB_27U,"&lt;&gt;")+SUMIFS(JB_27S,JB_B,4,JB_W,"Cargo &amp; Vehicle Cargo Ships",JB_S,"[PARENT]",JB_27U,"")</f>
        <v/>
      </c>
      <c r="E22" s="25">
        <f>C22+D22</f>
        <v/>
      </c>
      <c r="F22" s="31">
        <f>IFERROR(E22/E$40,0)</f>
        <v/>
      </c>
    </row>
    <row r="23" ht="10" customHeight="1">
      <c r="A23" s="24" t="inlineStr">
        <is>
          <t>Command Ships</t>
        </is>
      </c>
      <c r="B23" s="24" t="inlineStr">
        <is>
          <t>USN</t>
        </is>
      </c>
      <c r="C23" s="25">
        <f>SUMIFS(JB_27U,JB_B,2,JB_W,"Command Ships",JB_S,"",JB_27U,"&lt;&gt;")+SUMIFS(JB_27S,JB_B,2,JB_W,"Command Ships",JB_S,"",JB_27U,"")+SUMIFS(JB_27U,JB_B,2,JB_W,"Command Ships",JB_S,"[PARENT]",JB_27U,"&lt;&gt;")+SUMIFS(JB_27S,JB_B,2,JB_W,"Command Ships",JB_S,"[PARENT]",JB_27U,"")</f>
        <v/>
      </c>
      <c r="D23" s="25">
        <f>SUMIFS(JB_27U,JB_B,4,JB_W,"Command Ships",JB_S,"",JB_27U,"&lt;&gt;")+SUMIFS(JB_27S,JB_B,4,JB_W,"Command Ships",JB_S,"",JB_27U,"")+SUMIFS(JB_27U,JB_B,4,JB_W,"Command Ships",JB_S,"[PARENT]",JB_27U,"&lt;&gt;")+SUMIFS(JB_27S,JB_B,4,JB_W,"Command Ships",JB_S,"[PARENT]",JB_27U,"")</f>
        <v/>
      </c>
      <c r="E23" s="25">
        <f>C23+D23</f>
        <v/>
      </c>
      <c r="F23" s="31">
        <f>IFERROR(E23/E$40,0)</f>
        <v/>
      </c>
    </row>
    <row r="24" ht="10" customHeight="1">
      <c r="A24" s="24" t="inlineStr">
        <is>
          <t>High Speed Transport</t>
        </is>
      </c>
      <c r="B24" s="24" t="inlineStr">
        <is>
          <t>USN</t>
        </is>
      </c>
      <c r="C24" s="25">
        <f>SUMIFS(JB_27U,JB_B,2,JB_W,"High Speed Transport",JB_S,"",JB_27U,"&lt;&gt;")+SUMIFS(JB_27S,JB_B,2,JB_W,"High Speed Transport",JB_S,"",JB_27U,"")+SUMIFS(JB_27U,JB_B,2,JB_W,"High Speed Transport",JB_S,"[PARENT]",JB_27U,"&lt;&gt;")+SUMIFS(JB_27S,JB_B,2,JB_W,"High Speed Transport",JB_S,"[PARENT]",JB_27U,"")</f>
        <v/>
      </c>
      <c r="D24" s="25">
        <f>SUMIFS(JB_27U,JB_B,4,JB_W,"High Speed Transport",JB_S,"",JB_27U,"&lt;&gt;")+SUMIFS(JB_27S,JB_B,4,JB_W,"High Speed Transport",JB_S,"",JB_27U,"")+SUMIFS(JB_27U,JB_B,4,JB_W,"High Speed Transport",JB_S,"[PARENT]",JB_27U,"&lt;&gt;")+SUMIFS(JB_27S,JB_B,4,JB_W,"High Speed Transport",JB_S,"[PARENT]",JB_27U,"")</f>
        <v/>
      </c>
      <c r="E24" s="25">
        <f>C24+D24</f>
        <v/>
      </c>
      <c r="F24" s="31">
        <f>IFERROR(E24/E$40,0)</f>
        <v/>
      </c>
    </row>
    <row r="25" ht="10" customHeight="1">
      <c r="A25" s="24" t="inlineStr">
        <is>
          <t>Combat Logistics Ships</t>
        </is>
      </c>
      <c r="B25" s="24" t="inlineStr">
        <is>
          <t>MSC</t>
        </is>
      </c>
      <c r="C25" s="25">
        <f>SUMIFS(JB_27U,JB_B,2,JB_W,"Combat Logistics Ships",JB_S,"",JB_27U,"&lt;&gt;")+SUMIFS(JB_27S,JB_B,2,JB_W,"Combat Logistics Ships",JB_S,"",JB_27U,"")+SUMIFS(JB_27U,JB_B,2,JB_W,"Combat Logistics Ships",JB_S,"[PARENT]",JB_27U,"&lt;&gt;")+SUMIFS(JB_27S,JB_B,2,JB_W,"Combat Logistics Ships",JB_S,"[PARENT]",JB_27U,"")</f>
        <v/>
      </c>
      <c r="D25" s="25">
        <f>SUMIFS(JB_27U,JB_B,4,JB_W,"Combat Logistics Ships",JB_S,"",JB_27U,"&lt;&gt;")+SUMIFS(JB_27S,JB_B,4,JB_W,"Combat Logistics Ships",JB_S,"",JB_27U,"")+SUMIFS(JB_27U,JB_B,4,JB_W,"Combat Logistics Ships",JB_S,"[PARENT]",JB_27U,"&lt;&gt;")+SUMIFS(JB_27S,JB_B,4,JB_W,"Combat Logistics Ships",JB_S,"[PARENT]",JB_27U,"")</f>
        <v/>
      </c>
      <c r="E25" s="25">
        <f>C25+D25</f>
        <v/>
      </c>
      <c r="F25" s="31">
        <f>IFERROR(E25/E$40,0)</f>
        <v/>
      </c>
    </row>
    <row r="26" ht="10" customHeight="1">
      <c r="A26" s="24" t="inlineStr">
        <is>
          <t>Hospital Ship</t>
        </is>
      </c>
      <c r="B26" s="24" t="inlineStr">
        <is>
          <t>MSC</t>
        </is>
      </c>
      <c r="C26" s="25">
        <f>SUMIFS(JB_27U,JB_B,2,JB_W,"Hospital Ship",JB_S,"",JB_27U,"&lt;&gt;")+SUMIFS(JB_27S,JB_B,2,JB_W,"Hospital Ship",JB_S,"",JB_27U,"")+SUMIFS(JB_27U,JB_B,2,JB_W,"Hospital Ship",JB_S,"[PARENT]",JB_27U,"&lt;&gt;")+SUMIFS(JB_27S,JB_B,2,JB_W,"Hospital Ship",JB_S,"[PARENT]",JB_27U,"")</f>
        <v/>
      </c>
      <c r="D26" s="25">
        <f>SUMIFS(JB_27U,JB_B,4,JB_W,"Hospital Ship",JB_S,"",JB_27U,"&lt;&gt;")+SUMIFS(JB_27S,JB_B,4,JB_W,"Hospital Ship",JB_S,"",JB_27U,"")+SUMIFS(JB_27U,JB_B,4,JB_W,"Hospital Ship",JB_S,"[PARENT]",JB_27U,"&lt;&gt;")+SUMIFS(JB_27S,JB_B,4,JB_W,"Hospital Ship",JB_S,"[PARENT]",JB_27U,"")</f>
        <v/>
      </c>
      <c r="E26" s="25">
        <f>C26+D26</f>
        <v/>
      </c>
      <c r="F26" s="31">
        <f>IFERROR(E26/E$40,0)</f>
        <v/>
      </c>
    </row>
    <row r="27" ht="10" customHeight="1">
      <c r="A27" s="24" t="inlineStr">
        <is>
          <t>Submarine Escort Ship</t>
        </is>
      </c>
      <c r="B27" s="24" t="inlineStr">
        <is>
          <t>USN</t>
        </is>
      </c>
      <c r="C27" s="25">
        <f>SUMIFS(JB_27U,JB_B,2,JB_W,"Submarine Escort Ship",JB_S,"",JB_27U,"&lt;&gt;")+SUMIFS(JB_27S,JB_B,2,JB_W,"Submarine Escort Ship",JB_S,"",JB_27U,"")+SUMIFS(JB_27U,JB_B,2,JB_W,"Submarine Escort Ship",JB_S,"[PARENT]",JB_27U,"&lt;&gt;")+SUMIFS(JB_27S,JB_B,2,JB_W,"Submarine Escort Ship",JB_S,"[PARENT]",JB_27U,"")</f>
        <v/>
      </c>
      <c r="D27" s="25">
        <f>SUMIFS(JB_27U,JB_B,4,JB_W,"Submarine Escort Ship",JB_S,"",JB_27U,"&lt;&gt;")+SUMIFS(JB_27S,JB_B,4,JB_W,"Submarine Escort Ship",JB_S,"",JB_27U,"")+SUMIFS(JB_27U,JB_B,4,JB_W,"Submarine Escort Ship",JB_S,"[PARENT]",JB_27U,"&lt;&gt;")+SUMIFS(JB_27S,JB_B,4,JB_W,"Submarine Escort Ship",JB_S,"[PARENT]",JB_27U,"")</f>
        <v/>
      </c>
      <c r="E27" s="25">
        <f>C27+D27</f>
        <v/>
      </c>
      <c r="F27" s="31">
        <f>IFERROR(E27/E$40,0)</f>
        <v/>
      </c>
    </row>
    <row r="28" ht="10" customHeight="1">
      <c r="A28" s="24" t="inlineStr">
        <is>
          <t>Unmanned Surface Vehicles</t>
        </is>
      </c>
      <c r="B28" s="24" t="inlineStr">
        <is>
          <t>USN</t>
        </is>
      </c>
      <c r="C28" s="25">
        <f>SUMIFS(JB_27U,JB_B,2,JB_W,"Unmanned Surface Vehicles",JB_S,"",JB_27U,"&lt;&gt;")+SUMIFS(JB_27S,JB_B,2,JB_W,"Unmanned Surface Vehicles",JB_S,"",JB_27U,"")+SUMIFS(JB_27U,JB_B,2,JB_W,"Unmanned Surface Vehicles",JB_S,"[PARENT]",JB_27U,"&lt;&gt;")+SUMIFS(JB_27S,JB_B,2,JB_W,"Unmanned Surface Vehicles",JB_S,"[PARENT]",JB_27U,"")</f>
        <v/>
      </c>
      <c r="D28" s="25">
        <f>SUMIFS(JB_27U,JB_B,4,JB_W,"Unmanned Surface Vehicles",JB_S,"",JB_27U,"&lt;&gt;")+SUMIFS(JB_27S,JB_B,4,JB_W,"Unmanned Surface Vehicles",JB_S,"",JB_27U,"")+SUMIFS(JB_27U,JB_B,4,JB_W,"Unmanned Surface Vehicles",JB_S,"[PARENT]",JB_27U,"&lt;&gt;")+SUMIFS(JB_27S,JB_B,4,JB_W,"Unmanned Surface Vehicles",JB_S,"[PARENT]",JB_27U,"")</f>
        <v/>
      </c>
      <c r="E28" s="25">
        <f>C28+D28</f>
        <v/>
      </c>
      <c r="F28" s="31">
        <f>IFERROR(E28/E$40,0)</f>
        <v/>
      </c>
    </row>
    <row r="29" ht="10" customHeight="1">
      <c r="A29" s="24" t="inlineStr">
        <is>
          <t>Research, Survey &amp; Instrumentation Ships</t>
        </is>
      </c>
      <c r="B29" s="24" t="inlineStr">
        <is>
          <t>MSC</t>
        </is>
      </c>
      <c r="C29" s="2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9" s="2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9" s="25">
        <f>C29+D29</f>
        <v/>
      </c>
      <c r="F29" s="31">
        <f>IFERROR(E29/E$40,0)</f>
        <v/>
      </c>
    </row>
    <row r="30" ht="10" customHeight="1">
      <c r="A30" s="24" t="inlineStr">
        <is>
          <t>Salvage Ships &amp; Fleet Ocean Tugs</t>
        </is>
      </c>
      <c r="B30" s="24" t="inlineStr">
        <is>
          <t>MSC</t>
        </is>
      </c>
      <c r="C30" s="2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30" s="2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30" s="25">
        <f>C30+D30</f>
        <v/>
      </c>
      <c r="F30" s="31">
        <f>IFERROR(E30/E$40,0)</f>
        <v/>
      </c>
    </row>
    <row r="31" ht="10" customHeight="1">
      <c r="A31" s="24" t="inlineStr">
        <is>
          <t>General Auxiliary</t>
        </is>
      </c>
      <c r="B31" s="24" t="inlineStr">
        <is>
          <t>USN</t>
        </is>
      </c>
      <c r="C31" s="25">
        <f>SUMIFS(JB_27U,JB_B,2,JB_W,"General Auxiliary",JB_S,"",JB_27U,"&lt;&gt;")+SUMIFS(JB_27S,JB_B,2,JB_W,"General Auxiliary",JB_S,"",JB_27U,"")+SUMIFS(JB_27U,JB_B,2,JB_W,"General Auxiliary",JB_S,"[PARENT]",JB_27U,"&lt;&gt;")+SUMIFS(JB_27S,JB_B,2,JB_W,"General Auxiliary",JB_S,"[PARENT]",JB_27U,"")</f>
        <v/>
      </c>
      <c r="D31" s="25">
        <f>SUMIFS(JB_27U,JB_B,4,JB_W,"General Auxiliary",JB_S,"",JB_27U,"&lt;&gt;")+SUMIFS(JB_27S,JB_B,4,JB_W,"General Auxiliary",JB_S,"",JB_27U,"")+SUMIFS(JB_27U,JB_B,4,JB_W,"General Auxiliary",JB_S,"[PARENT]",JB_27U,"&lt;&gt;")+SUMIFS(JB_27S,JB_B,4,JB_W,"General Auxiliary",JB_S,"[PARENT]",JB_27U,"")</f>
        <v/>
      </c>
      <c r="E31" s="25">
        <f>C31+D31</f>
        <v/>
      </c>
      <c r="F31" s="31">
        <f>IFERROR(E31/E$40,0)</f>
        <v/>
      </c>
    </row>
    <row r="32" ht="10" customHeight="1">
      <c r="A32" s="24" t="inlineStr">
        <is>
          <t>Expeditionary &amp; Seabasing Ships</t>
        </is>
      </c>
      <c r="B32" s="24" t="inlineStr">
        <is>
          <t>USN</t>
        </is>
      </c>
      <c r="C32" s="2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32" s="2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32" s="25">
        <f>C32+D32</f>
        <v/>
      </c>
      <c r="F32" s="31">
        <f>IFERROR(E32/E$40,0)</f>
        <v/>
      </c>
    </row>
    <row r="33" ht="10" customHeight="1">
      <c r="A33" s="24" t="inlineStr">
        <is>
          <t>Icebreakers, Oceangoing</t>
        </is>
      </c>
      <c r="B33" s="24" t="inlineStr">
        <is>
          <t>USCG</t>
        </is>
      </c>
      <c r="C33" s="25">
        <f>SUMIFS(JB_27U,JB_B,2,JB_W,"Icebreakers, Oceangoing",JB_S,"",JB_27U,"&lt;&gt;")+SUMIFS(JB_27S,JB_B,2,JB_W,"Icebreakers, Oceangoing",JB_S,"",JB_27U,"")+SUMIFS(JB_27U,JB_B,2,JB_W,"Icebreakers, Oceangoing",JB_S,"[PARENT]",JB_27U,"&lt;&gt;")+SUMIFS(JB_27S,JB_B,2,JB_W,"Icebreakers, Oceangoing",JB_S,"[PARENT]",JB_27U,"")</f>
        <v/>
      </c>
      <c r="D33" s="25">
        <f>SUMIFS(JB_27U,JB_B,4,JB_W,"Icebreakers, Oceangoing",JB_S,"",JB_27U,"&lt;&gt;")+SUMIFS(JB_27S,JB_B,4,JB_W,"Icebreakers, Oceangoing",JB_S,"",JB_27U,"")+SUMIFS(JB_27U,JB_B,4,JB_W,"Icebreakers, Oceangoing",JB_S,"[PARENT]",JB_27U,"&lt;&gt;")+SUMIFS(JB_27S,JB_B,4,JB_W,"Icebreakers, Oceangoing",JB_S,"[PARENT]",JB_27U,"")</f>
        <v/>
      </c>
      <c r="E33" s="25">
        <f>C33+D33</f>
        <v/>
      </c>
      <c r="F33" s="31">
        <f>IFERROR(E33/E$40,0)</f>
        <v/>
      </c>
    </row>
    <row r="34" ht="10" customHeight="1">
      <c r="A34" s="24" t="inlineStr">
        <is>
          <t>Waterways Commerce Cutters</t>
        </is>
      </c>
      <c r="B34" s="24" t="inlineStr">
        <is>
          <t>USCG</t>
        </is>
      </c>
      <c r="C34" s="25">
        <f>SUMIFS(JB_27U,JB_B,2,JB_W,"Waterways Commerce Cutters",JB_S,"",JB_27U,"&lt;&gt;")+SUMIFS(JB_27S,JB_B,2,JB_W,"Waterways Commerce Cutters",JB_S,"",JB_27U,"")+SUMIFS(JB_27U,JB_B,2,JB_W,"Waterways Commerce Cutters",JB_S,"[PARENT]",JB_27U,"&lt;&gt;")+SUMIFS(JB_27S,JB_B,2,JB_W,"Waterways Commerce Cutters",JB_S,"[PARENT]",JB_27U,"")</f>
        <v/>
      </c>
      <c r="D34" s="25">
        <f>SUMIFS(JB_27U,JB_B,4,JB_W,"Waterways Commerce Cutters",JB_S,"",JB_27U,"&lt;&gt;")+SUMIFS(JB_27S,JB_B,4,JB_W,"Waterways Commerce Cutters",JB_S,"",JB_27U,"")+SUMIFS(JB_27U,JB_B,4,JB_W,"Waterways Commerce Cutters",JB_S,"[PARENT]",JB_27U,"&lt;&gt;")+SUMIFS(JB_27S,JB_B,4,JB_W,"Waterways Commerce Cutters",JB_S,"[PARENT]",JB_27U,"")</f>
        <v/>
      </c>
      <c r="E34" s="25">
        <f>C34+D34</f>
        <v/>
      </c>
      <c r="F34" s="31">
        <f>IFERROR(E34/E$40,0)</f>
        <v/>
      </c>
    </row>
    <row r="35" ht="10" customHeight="1">
      <c r="A35" s="24" t="inlineStr">
        <is>
          <t>Offshore Patrol Cutter</t>
        </is>
      </c>
      <c r="B35" s="24" t="inlineStr">
        <is>
          <t>USCG</t>
        </is>
      </c>
      <c r="C35" s="25">
        <f>SUMIFS(JB_27U,JB_B,2,JB_W,"Offshore Patrol Cutter",JB_S,"",JB_27U,"&lt;&gt;")+SUMIFS(JB_27S,JB_B,2,JB_W,"Offshore Patrol Cutter",JB_S,"",JB_27U,"")+SUMIFS(JB_27U,JB_B,2,JB_W,"Offshore Patrol Cutter",JB_S,"[PARENT]",JB_27U,"&lt;&gt;")+SUMIFS(JB_27S,JB_B,2,JB_W,"Offshore Patrol Cutter",JB_S,"[PARENT]",JB_27U,"")</f>
        <v/>
      </c>
      <c r="D35" s="25">
        <f>SUMIFS(JB_27U,JB_B,4,JB_W,"Offshore Patrol Cutter",JB_S,"",JB_27U,"&lt;&gt;")+SUMIFS(JB_27S,JB_B,4,JB_W,"Offshore Patrol Cutter",JB_S,"",JB_27U,"")+SUMIFS(JB_27U,JB_B,4,JB_W,"Offshore Patrol Cutter",JB_S,"[PARENT]",JB_27U,"&lt;&gt;")+SUMIFS(JB_27S,JB_B,4,JB_W,"Offshore Patrol Cutter",JB_S,"[PARENT]",JB_27U,"")</f>
        <v/>
      </c>
      <c r="E35" s="25">
        <f>C35+D35</f>
        <v/>
      </c>
      <c r="F35" s="31">
        <f>IFERROR(E35/E$40,0)</f>
        <v/>
      </c>
    </row>
    <row r="36" ht="10" customHeight="1">
      <c r="A36" s="24" t="inlineStr">
        <is>
          <t>National Security Cutters</t>
        </is>
      </c>
      <c r="B36" s="24" t="inlineStr">
        <is>
          <t>USCG</t>
        </is>
      </c>
      <c r="C36" s="25">
        <f>SUMIFS(JB_27U,JB_B,2,JB_W,"National Security Cutters",JB_S,"",JB_27U,"&lt;&gt;")+SUMIFS(JB_27S,JB_B,2,JB_W,"National Security Cutters",JB_S,"",JB_27U,"")+SUMIFS(JB_27U,JB_B,2,JB_W,"National Security Cutters",JB_S,"[PARENT]",JB_27U,"&lt;&gt;")+SUMIFS(JB_27S,JB_B,2,JB_W,"National Security Cutters",JB_S,"[PARENT]",JB_27U,"")</f>
        <v/>
      </c>
      <c r="D36" s="25">
        <f>SUMIFS(JB_27U,JB_B,4,JB_W,"National Security Cutters",JB_S,"",JB_27U,"&lt;&gt;")+SUMIFS(JB_27S,JB_B,4,JB_W,"National Security Cutters",JB_S,"",JB_27U,"")+SUMIFS(JB_27U,JB_B,4,JB_W,"National Security Cutters",JB_S,"[PARENT]",JB_27U,"&lt;&gt;")+SUMIFS(JB_27S,JB_B,4,JB_W,"National Security Cutters",JB_S,"[PARENT]",JB_27U,"")</f>
        <v/>
      </c>
      <c r="E36" s="25">
        <f>C36+D36</f>
        <v/>
      </c>
      <c r="F36" s="31">
        <f>IFERROR(E36/E$40,0)</f>
        <v/>
      </c>
    </row>
    <row r="37" ht="10" customHeight="1">
      <c r="A37" s="24" t="inlineStr">
        <is>
          <t>Fast Response Cutters</t>
        </is>
      </c>
      <c r="B37" s="24" t="inlineStr">
        <is>
          <t>USCG</t>
        </is>
      </c>
      <c r="C37" s="25">
        <f>SUMIFS(JB_27U,JB_B,2,JB_W,"Fast Response Cutters",JB_S,"",JB_27U,"&lt;&gt;")+SUMIFS(JB_27S,JB_B,2,JB_W,"Fast Response Cutters",JB_S,"",JB_27U,"")+SUMIFS(JB_27U,JB_B,2,JB_W,"Fast Response Cutters",JB_S,"[PARENT]",JB_27U,"&lt;&gt;")+SUMIFS(JB_27S,JB_B,2,JB_W,"Fast Response Cutters",JB_S,"[PARENT]",JB_27U,"")</f>
        <v/>
      </c>
      <c r="D37" s="25">
        <f>SUMIFS(JB_27U,JB_B,4,JB_W,"Fast Response Cutters",JB_S,"",JB_27U,"&lt;&gt;")+SUMIFS(JB_27S,JB_B,4,JB_W,"Fast Response Cutters",JB_S,"",JB_27U,"")+SUMIFS(JB_27U,JB_B,4,JB_W,"Fast Response Cutters",JB_S,"[PARENT]",JB_27U,"&lt;&gt;")+SUMIFS(JB_27S,JB_B,4,JB_W,"Fast Response Cutters",JB_S,"[PARENT]",JB_27U,"")</f>
        <v/>
      </c>
      <c r="E37" s="25">
        <f>C37+D37</f>
        <v/>
      </c>
      <c r="F37" s="31">
        <f>IFERROR(E37/E$40,0)</f>
        <v/>
      </c>
    </row>
    <row r="38" ht="10" customHeight="1">
      <c r="A38" s="24" t="inlineStr">
        <is>
          <t>Icebreakers, Great Lakes</t>
        </is>
      </c>
      <c r="B38" s="24" t="inlineStr">
        <is>
          <t>USCG</t>
        </is>
      </c>
      <c r="C38" s="25">
        <f>SUMIFS(JB_27U,JB_B,2,JB_W,"Icebreakers, Great Lakes",JB_S,"",JB_27U,"&lt;&gt;")+SUMIFS(JB_27S,JB_B,2,JB_W,"Icebreakers, Great Lakes",JB_S,"",JB_27U,"")+SUMIFS(JB_27U,JB_B,2,JB_W,"Icebreakers, Great Lakes",JB_S,"[PARENT]",JB_27U,"&lt;&gt;")+SUMIFS(JB_27S,JB_B,2,JB_W,"Icebreakers, Great Lakes",JB_S,"[PARENT]",JB_27U,"")</f>
        <v/>
      </c>
      <c r="D38" s="25">
        <f>SUMIFS(JB_27U,JB_B,4,JB_W,"Icebreakers, Great Lakes",JB_S,"",JB_27U,"&lt;&gt;")+SUMIFS(JB_27S,JB_B,4,JB_W,"Icebreakers, Great Lakes",JB_S,"",JB_27U,"")+SUMIFS(JB_27U,JB_B,4,JB_W,"Icebreakers, Great Lakes",JB_S,"[PARENT]",JB_27U,"&lt;&gt;")+SUMIFS(JB_27S,JB_B,4,JB_W,"Icebreakers, Great Lakes",JB_S,"[PARENT]",JB_27U,"")</f>
        <v/>
      </c>
      <c r="E38" s="25">
        <f>C38+D38</f>
        <v/>
      </c>
      <c r="F38" s="31">
        <f>IFERROR(E38/E$40,0)</f>
        <v/>
      </c>
    </row>
    <row r="39" ht="10" customHeight="1">
      <c r="A39" s="24" t="inlineStr">
        <is>
          <t>Coastal Buoy Tenders</t>
        </is>
      </c>
      <c r="B39" s="24" t="inlineStr">
        <is>
          <t>USCG</t>
        </is>
      </c>
      <c r="C39" s="25">
        <f>SUMIFS(JB_27U,JB_B,2,JB_W,"Coastal Buoy Tenders",JB_S,"",JB_27U,"&lt;&gt;")+SUMIFS(JB_27S,JB_B,2,JB_W,"Coastal Buoy Tenders",JB_S,"",JB_27U,"")+SUMIFS(JB_27U,JB_B,2,JB_W,"Coastal Buoy Tenders",JB_S,"[PARENT]",JB_27U,"&lt;&gt;")+SUMIFS(JB_27S,JB_B,2,JB_W,"Coastal Buoy Tenders",JB_S,"[PARENT]",JB_27U,"")</f>
        <v/>
      </c>
      <c r="D39" s="25">
        <f>SUMIFS(JB_27U,JB_B,4,JB_W,"Coastal Buoy Tenders",JB_S,"",JB_27U,"&lt;&gt;")+SUMIFS(JB_27S,JB_B,4,JB_W,"Coastal Buoy Tenders",JB_S,"",JB_27U,"")+SUMIFS(JB_27U,JB_B,4,JB_W,"Coastal Buoy Tenders",JB_S,"[PARENT]",JB_27U,"&lt;&gt;")+SUMIFS(JB_27S,JB_B,4,JB_W,"Coastal Buoy Tenders",JB_S,"[PARENT]",JB_27U,"")</f>
        <v/>
      </c>
      <c r="E39" s="25">
        <f>C39+D39</f>
        <v/>
      </c>
      <c r="F39" s="31">
        <f>IFERROR(E39/E$40,0)</f>
        <v/>
      </c>
    </row>
    <row r="40" ht="10" customHeight="1">
      <c r="A40" s="26" t="inlineStr">
        <is>
          <t>MRO SAM</t>
        </is>
      </c>
      <c r="B40" s="26" t="inlineStr"/>
      <c r="C40" s="27">
        <f>SUM(C15:C39)</f>
        <v/>
      </c>
      <c r="D40" s="27">
        <f>SUM(D15:D39)</f>
        <v/>
      </c>
      <c r="E40" s="27">
        <f>SUM(E15:E39)</f>
        <v/>
      </c>
      <c r="F40" s="32" t="n">
        <v>1</v>
      </c>
    </row>
    <row r="41" ht="10" customHeight="1"/>
    <row r="42" ht="10" customHeight="1"/>
    <row r="43" ht="10" customHeight="1">
      <c r="A43" s="21" t="inlineStr">
        <is>
          <t>(C) MRO SAM — SDM vs Modernization by Vessel Type (Mekko)</t>
        </is>
      </c>
      <c r="B43" s="22" t="n"/>
      <c r="C43" s="22" t="n"/>
      <c r="D43" s="22" t="n"/>
      <c r="E43" s="22" t="n"/>
    </row>
    <row r="44" ht="10" customHeight="1">
      <c r="A44" s="33" t="n"/>
      <c r="B44" s="34" t="inlineStr">
        <is>
          <t>USN</t>
        </is>
      </c>
      <c r="C44" s="33" t="n"/>
      <c r="D44" s="33" t="n"/>
      <c r="E44" s="35" t="n"/>
    </row>
    <row r="45" ht="10" customHeight="1">
      <c r="A45" s="23" t="inlineStr">
        <is>
          <t>Work Type</t>
        </is>
      </c>
      <c r="B45" s="36" t="inlineStr">
        <is>
          <t>Surface Combatants</t>
        </is>
      </c>
      <c r="C45" s="23" t="inlineStr">
        <is>
          <t>Amphibious Warfare Ships</t>
        </is>
      </c>
      <c r="D45" s="23" t="inlineStr">
        <is>
          <t>Surveillance Ships</t>
        </is>
      </c>
      <c r="E45" s="36" t="inlineStr">
        <is>
          <t>Total</t>
        </is>
      </c>
    </row>
    <row r="46" ht="10" customHeight="1">
      <c r="A46" s="24" t="inlineStr">
        <is>
          <t>Scheduled Depot Maintenance</t>
        </is>
      </c>
      <c r="B46" s="37">
        <f>IFERROR((SUMIFS(JB_27U,JB_B,2,JB_W,"Surface Combatants",JB_S,"",JB_27U,"&lt;&gt;")+SUMIFS(JB_27S,JB_B,2,JB_W,"Surface Combatants",JB_S,"",JB_27U,"")+SUMIFS(JB_27U,JB_B,2,JB_W,"Surface Combatants",JB_S,"[PARENT]",JB_27U,"&lt;&gt;")+SUMIFS(JB_27S,JB_B,2,JB_W,"Surface Combatants",JB_S,"[PARENT]",JB_27U,""))/B$48,0)</f>
        <v/>
      </c>
      <c r="C46" s="31">
        <f>IFERROR((SUMIFS(JB_27U,JB_B,2,JB_W,"Amphibious Warfare Ships",JB_S,"",JB_27U,"&lt;&gt;")+SUMIFS(JB_27S,JB_B,2,JB_W,"Amphibious Warfare Ships",JB_S,"",JB_27U,"")+SUMIFS(JB_27U,JB_B,2,JB_W,"Amphibious Warfare Ships",JB_S,"[PARENT]",JB_27U,"&lt;&gt;")+SUMIFS(JB_27S,JB_B,2,JB_W,"Amphibious Warfare Ships",JB_S,"[PARENT]",JB_27U,""))/C$48,0)</f>
        <v/>
      </c>
      <c r="D46" s="31">
        <f>IFERROR((SUMIFS(JB_27U,JB_B,2,JB_W,"Surveillance Ships",JB_S,"",JB_27U,"&lt;&gt;")+SUMIFS(JB_27S,JB_B,2,JB_W,"Surveillance Ships",JB_S,"",JB_27U,"")+SUMIFS(JB_27U,JB_B,2,JB_W,"Surveillance Ships",JB_S,"[PARENT]",JB_27U,"&lt;&gt;")+SUMIFS(JB_27S,JB_B,2,JB_W,"Surveillance Ships",JB_S,"[PARENT]",JB_27U,""))/D$48,0)</f>
        <v/>
      </c>
      <c r="E46" s="37">
        <f>IFERROR(1-E47,0)</f>
        <v/>
      </c>
    </row>
    <row r="47" ht="10" customHeight="1">
      <c r="A47" s="24" t="inlineStr">
        <is>
          <t>Modernization</t>
        </is>
      </c>
      <c r="B47" s="37">
        <f>IFERROR((SUMIFS(JB_27U,JB_B,4,JB_W,"Surface Combatants",JB_S,"",JB_27U,"&lt;&gt;")+SUMIFS(JB_27S,JB_B,4,JB_W,"Surface Combatants",JB_S,"",JB_27U,"")+SUMIFS(JB_27U,JB_B,4,JB_W,"Surface Combatants",JB_S,"[PARENT]",JB_27U,"&lt;&gt;")+SUMIFS(JB_27S,JB_B,4,JB_W,"Surface Combatants",JB_S,"[PARENT]",JB_27U,""))/B$48,0)</f>
        <v/>
      </c>
      <c r="C47" s="31">
        <f>IFERROR((SUMIFS(JB_27U,JB_B,4,JB_W,"Amphibious Warfare Ships",JB_S,"",JB_27U,"&lt;&gt;")+SUMIFS(JB_27S,JB_B,4,JB_W,"Amphibious Warfare Ships",JB_S,"",JB_27U,"")+SUMIFS(JB_27U,JB_B,4,JB_W,"Amphibious Warfare Ships",JB_S,"[PARENT]",JB_27U,"&lt;&gt;")+SUMIFS(JB_27S,JB_B,4,JB_W,"Amphibious Warfare Ships",JB_S,"[PARENT]",JB_27U,""))/C$48,0)</f>
        <v/>
      </c>
      <c r="D47" s="31">
        <f>IFERROR((SUMIFS(JB_27U,JB_B,4,JB_W,"Surveillance Ships",JB_S,"",JB_27U,"&lt;&gt;")+SUMIFS(JB_27S,JB_B,4,JB_W,"Surveillance Ships",JB_S,"",JB_27U,"")+SUMIFS(JB_27U,JB_B,4,JB_W,"Surveillance Ships",JB_S,"[PARENT]",JB_27U,"&lt;&gt;")+SUMIFS(JB_27S,JB_B,4,JB_W,"Surveillance Ships",JB_S,"[PARENT]",JB_27U,""))/D$48,0)</f>
        <v/>
      </c>
      <c r="E47" s="37">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26" t="inlineStr">
        <is>
          <t>Total ($K)</t>
        </is>
      </c>
      <c r="B48" s="38">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2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2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38">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18" t="inlineStr">
        <is>
          <t>Competitive Dynamics</t>
        </is>
      </c>
      <c r="B1" s="19" t="n"/>
      <c r="C1" s="19" t="n"/>
      <c r="D1" s="19" t="n"/>
      <c r="E1" s="19" t="n"/>
    </row>
    <row r="2" ht="10" customHeight="1">
      <c r="A2" s="20" t="inlineStr">
        <is>
          <t>FY20-26 contract obligation analysis — primes, subcontractors, and FY26 vehicle crosswalk ($K)</t>
        </is>
      </c>
    </row>
    <row r="3" ht="10" customHeight="1"/>
    <row r="4" ht="10" customHeight="1">
      <c r="A4" s="21" t="inlineStr">
        <is>
          <t>(A) Top Prime Contractors — FY20-26 Window Obligation</t>
        </is>
      </c>
      <c r="B4" s="22" t="n"/>
      <c r="C4" s="22" t="n"/>
      <c r="D4" s="22" t="n"/>
    </row>
    <row r="5" ht="10" customHeight="1">
      <c r="A5" s="23" t="inlineStr">
        <is>
          <t>Contractor</t>
        </is>
      </c>
      <c r="B5" s="23" t="inlineStr">
        <is>
          <t>Parent</t>
        </is>
      </c>
      <c r="C5" s="23" t="inlineStr">
        <is>
          <t>Window ($K)</t>
        </is>
      </c>
      <c r="D5" s="23" t="inlineStr">
        <is>
          <t>Key Programs</t>
        </is>
      </c>
    </row>
    <row r="6" ht="10" customHeight="1">
      <c r="A6" s="24" t="inlineStr">
        <is>
          <t>Huntington Ingalls Industries</t>
        </is>
      </c>
      <c r="B6" s="20" t="inlineStr">
        <is>
          <t>HII</t>
        </is>
      </c>
      <c r="C6" s="44" t="n">
        <v>22000000</v>
      </c>
      <c r="D6" s="20" t="inlineStr">
        <is>
          <t>DDG-51 $11.4B, LPD $4.7B, LHA $4.5B, DDG-1000 $0.3B, depot</t>
        </is>
      </c>
    </row>
    <row r="7" ht="10" customHeight="1">
      <c r="A7" s="24" t="inlineStr">
        <is>
          <t>Raytheon / RTX</t>
        </is>
      </c>
      <c r="B7" s="20" t="inlineStr">
        <is>
          <t>RTX Corp</t>
        </is>
      </c>
      <c r="C7" s="44" t="n">
        <v>13700000</v>
      </c>
      <c r="D7" s="20" t="inlineStr">
        <is>
          <t>Standard Missile $5.7B, SPY-6 $3.5B, CIWS/RAM $2.0B, DDG-1000 $0.9B, CEC $0.6B</t>
        </is>
      </c>
    </row>
    <row r="8" ht="10" customHeight="1">
      <c r="A8" s="24" t="inlineStr">
        <is>
          <t>Bath Iron Works</t>
        </is>
      </c>
      <c r="B8" s="20" t="inlineStr">
        <is>
          <t>General Dynamics</t>
        </is>
      </c>
      <c r="C8" s="44" t="n">
        <v>8800000</v>
      </c>
      <c r="D8" s="20" t="inlineStr">
        <is>
          <t>DDG-51 FY23-27 $5.0B, FY18-22 $3.3B, FY13-17 $0.5B, DDG-1000 $0.2B</t>
        </is>
      </c>
    </row>
    <row r="9" ht="10" customHeight="1">
      <c r="A9" s="24" t="inlineStr">
        <is>
          <t>BAE Systems</t>
        </is>
      </c>
      <c r="B9" s="20" t="inlineStr">
        <is>
          <t>BAE Systems plc</t>
        </is>
      </c>
      <c r="C9" s="44" t="n">
        <v>5000000</v>
      </c>
      <c r="D9" s="20" t="inlineStr">
        <is>
          <t>DDG/LHD/LPD/LSD/CG depot maintenance — Norfolk, San Diego, Jacksonville, Hawaii</t>
        </is>
      </c>
    </row>
    <row r="10" ht="10" customHeight="1">
      <c r="A10" s="24" t="inlineStr">
        <is>
          <t>Lockheed Martin</t>
        </is>
      </c>
      <c r="B10" s="20" t="inlineStr">
        <is>
          <t>LM</t>
        </is>
      </c>
      <c r="C10" s="44" t="n">
        <v>1500000</v>
      </c>
      <c r="D10" s="20" t="inlineStr">
        <is>
          <t>SLQ-32(V)6 $0.8B, SSDS $0.4B, HELIOS $0.1B, LCS Freedom $0.3B</t>
        </is>
      </c>
    </row>
    <row r="11" ht="10" customHeight="1">
      <c r="A11" s="24" t="inlineStr">
        <is>
          <t>Metro Machine Corp</t>
        </is>
      </c>
      <c r="B11" s="20" t="inlineStr">
        <is>
          <t>--</t>
        </is>
      </c>
      <c r="C11" s="44" t="n">
        <v>700000</v>
      </c>
      <c r="D11" s="20" t="inlineStr">
        <is>
          <t>LHD/DDG/LSD depot maintenance — Norfolk</t>
        </is>
      </c>
    </row>
    <row r="12" ht="10" customHeight="1">
      <c r="A12" s="24" t="inlineStr">
        <is>
          <t>NASSCO</t>
        </is>
      </c>
      <c r="B12" s="20" t="inlineStr">
        <is>
          <t>General Dynamics</t>
        </is>
      </c>
      <c r="C12" s="44" t="n">
        <v>600000</v>
      </c>
      <c r="D12" s="20" t="inlineStr">
        <is>
          <t>LHA/LHD/LSD/DDG/CG depot maintenance — San Diego</t>
        </is>
      </c>
    </row>
    <row r="13" ht="10" customHeight="1">
      <c r="A13" s="24" t="inlineStr">
        <is>
          <t>Vigor Marine LLC</t>
        </is>
      </c>
      <c r="B13" s="20" t="inlineStr">
        <is>
          <t>--</t>
        </is>
      </c>
      <c r="C13" s="44" t="n">
        <v>500000</v>
      </c>
      <c r="D13" s="20" t="inlineStr">
        <is>
          <t>DDG/CG depot maintenance — Portland, OR</t>
        </is>
      </c>
    </row>
    <row r="14" ht="10" customHeight="1">
      <c r="A14" s="24" t="inlineStr">
        <is>
          <t>Northrop Grumman Systems</t>
        </is>
      </c>
      <c r="B14" s="20" t="inlineStr">
        <is>
          <t>NG</t>
        </is>
      </c>
      <c r="C14" s="44" t="n">
        <v>487000</v>
      </c>
      <c r="D14" s="20" t="inlineStr">
        <is>
          <t>Knifefish/LCS $0.35B, SEWIP Block 3 $0.14B, ALMDS $0.07B</t>
        </is>
      </c>
    </row>
    <row r="15" ht="10" customHeight="1">
      <c r="A15" s="24" t="inlineStr">
        <is>
          <t>QED Systems</t>
        </is>
      </c>
      <c r="B15" s="20" t="inlineStr">
        <is>
          <t>--</t>
        </is>
      </c>
      <c r="C15" s="44" t="n">
        <v>300000</v>
      </c>
      <c r="D15" s="20" t="inlineStr">
        <is>
          <t>Third-party planning DDG/CG/LPD/LHD</t>
        </is>
      </c>
    </row>
    <row r="16" ht="10" customHeight="1">
      <c r="A16" s="24" t="inlineStr">
        <is>
          <t>Continental Maritime</t>
        </is>
      </c>
      <c r="B16" s="20" t="inlineStr">
        <is>
          <t>--</t>
        </is>
      </c>
      <c r="C16" s="44" t="n">
        <v>300000</v>
      </c>
      <c r="D16" s="20" t="inlineStr">
        <is>
          <t>DDG depot — San Diego</t>
        </is>
      </c>
    </row>
    <row r="17" ht="10" customHeight="1">
      <c r="A17" s="24" t="inlineStr">
        <is>
          <t>Textron Systems</t>
        </is>
      </c>
      <c r="B17" s="20" t="inlineStr">
        <is>
          <t>Textron</t>
        </is>
      </c>
      <c r="C17" s="44" t="n">
        <v>242000</v>
      </c>
      <c r="D17" s="20" t="inlineStr">
        <is>
          <t>UISS $0.24B</t>
        </is>
      </c>
    </row>
    <row r="18" ht="10" customHeight="1">
      <c r="A18" s="24" t="inlineStr">
        <is>
          <t>Advanced Technology International</t>
        </is>
      </c>
      <c r="B18" s="20" t="inlineStr">
        <is>
          <t>--</t>
        </is>
      </c>
      <c r="C18" s="44" t="n">
        <v>235000</v>
      </c>
      <c r="D18" s="20" t="inlineStr">
        <is>
          <t>OTA consortium: MK-54 MOD 2, SPY-6 prototype, HEL, LHD midlife</t>
        </is>
      </c>
    </row>
    <row r="19" ht="10" customHeight="1">
      <c r="A19" s="24" t="inlineStr">
        <is>
          <t>General Dynamics Mission Systems</t>
        </is>
      </c>
      <c r="B19" s="20" t="inlineStr">
        <is>
          <t>General Dynamics</t>
        </is>
      </c>
      <c r="C19" s="44" t="n">
        <v>210000</v>
      </c>
      <c r="D19" s="20" t="inlineStr">
        <is>
          <t>MK-54 MOD 1 $0.12B, Knifefish Block 1 $0.08B</t>
        </is>
      </c>
    </row>
    <row r="20" ht="10" customHeight="1">
      <c r="A20" s="24" t="inlineStr">
        <is>
          <t>SAIC</t>
        </is>
      </c>
      <c r="B20" s="20" t="inlineStr">
        <is>
          <t>SAIC</t>
        </is>
      </c>
      <c r="C20" s="44" t="n">
        <v>200000</v>
      </c>
      <c r="D20" s="20" t="inlineStr">
        <is>
          <t>DDG-1000 engineering, SSTD Nixie, torpedo defense</t>
        </is>
      </c>
    </row>
    <row r="21" ht="10" customHeight="1">
      <c r="A21" s="24" t="inlineStr">
        <is>
          <t>Marine Hydraulics International</t>
        </is>
      </c>
      <c r="B21" s="20" t="inlineStr">
        <is>
          <t>--</t>
        </is>
      </c>
      <c r="C21" s="44" t="n">
        <v>200000</v>
      </c>
      <c r="D21" s="20" t="inlineStr">
        <is>
          <t>DDG/LSD depot + sub-prime on LHD primes</t>
        </is>
      </c>
    </row>
    <row r="22" ht="10" customHeight="1">
      <c r="A22" s="24" t="inlineStr">
        <is>
          <t>Bollinger Shipyards</t>
        </is>
      </c>
      <c r="B22" s="20" t="inlineStr">
        <is>
          <t>Bollinger</t>
        </is>
      </c>
      <c r="C22" s="44" t="n">
        <v>116000</v>
      </c>
      <c r="D22" s="20" t="inlineStr">
        <is>
          <t>MCM USV production</t>
        </is>
      </c>
    </row>
    <row r="23" ht="10" customHeight="1">
      <c r="A23" s="24" t="inlineStr">
        <is>
          <t>Ultra Electronics Ocean Systems</t>
        </is>
      </c>
      <c r="B23" s="20" t="inlineStr">
        <is>
          <t>Ultra</t>
        </is>
      </c>
      <c r="C23" s="44" t="n">
        <v>68000</v>
      </c>
      <c r="D23" s="20" t="inlineStr">
        <is>
          <t>MK 54 MOD 0 array kits + Nixie production</t>
        </is>
      </c>
    </row>
    <row r="24" ht="10" customHeight="1">
      <c r="A24" s="24" t="inlineStr">
        <is>
          <t>Penn State Applied Research Lab</t>
        </is>
      </c>
      <c r="B24" s="20" t="inlineStr">
        <is>
          <t>Penn State</t>
        </is>
      </c>
      <c r="C24" s="44" t="n">
        <v>60000</v>
      </c>
      <c r="D24" s="20" t="inlineStr">
        <is>
          <t>MK-54 MOD 2 engineering, HEL development</t>
        </is>
      </c>
    </row>
    <row r="25" ht="10" customHeight="1">
      <c r="A25" s="26" t="inlineStr">
        <is>
          <t>Total (top 19)</t>
        </is>
      </c>
      <c r="B25" s="28" t="n"/>
      <c r="C25" s="27">
        <f>SUM(C6:C24)</f>
        <v/>
      </c>
      <c r="D25" s="28" t="n"/>
    </row>
    <row r="26" ht="10" customHeight="1"/>
    <row r="27" ht="10" customHeight="1"/>
    <row r="28" ht="10" customHeight="1">
      <c r="A28" s="21" t="inlineStr">
        <is>
          <t>(B) Top Subcontractors — Hidden Supply Chain</t>
        </is>
      </c>
      <c r="B28" s="22" t="n"/>
      <c r="C28" s="22" t="n"/>
      <c r="D28" s="22" t="n"/>
      <c r="E28" s="22" t="n"/>
    </row>
    <row r="29" ht="10" customHeight="1">
      <c r="A29" s="23" t="inlineStr">
        <is>
          <t>Parent Company</t>
        </is>
      </c>
      <c r="B29" s="23" t="inlineStr">
        <is>
          <t>Sub Total ($K)</t>
        </is>
      </c>
      <c r="C29" s="23" t="inlineStr">
        <is>
          <t># Primes</t>
        </is>
      </c>
      <c r="D29" s="23" t="inlineStr">
        <is>
          <t># PIIDs</t>
        </is>
      </c>
      <c r="E29" s="23" t="inlineStr">
        <is>
          <t>Primary Programs</t>
        </is>
      </c>
    </row>
    <row r="30" ht="10" customHeight="1">
      <c r="A30" s="24" t="inlineStr">
        <is>
          <t>Fincantieri (Marinette Marine)</t>
        </is>
      </c>
      <c r="B30" s="44" t="n">
        <v>2487000</v>
      </c>
      <c r="C30" s="44" t="n">
        <v>2</v>
      </c>
      <c r="D30" s="44" t="n">
        <v>1</v>
      </c>
      <c r="E30" s="20" t="inlineStr">
        <is>
          <t>LCS Freedom hull builder — actual constructor under LM prime</t>
        </is>
      </c>
    </row>
    <row r="31" ht="10" customHeight="1">
      <c r="A31" s="24" t="inlineStr">
        <is>
          <t>Timken Gears &amp; Services</t>
        </is>
      </c>
      <c r="B31" s="44" t="n">
        <v>516000</v>
      </c>
      <c r="C31" s="44" t="n">
        <v>22</v>
      </c>
      <c r="D31" s="44" t="n">
        <v>20</v>
      </c>
      <c r="E31" s="20" t="inlineStr">
        <is>
          <t>DDG/LHD/CG propulsion gearing</t>
        </is>
      </c>
    </row>
    <row r="32" ht="10" customHeight="1">
      <c r="A32" s="24" t="inlineStr">
        <is>
          <t>General Dynamics (rolled up)</t>
        </is>
      </c>
      <c r="B32" s="44" t="n">
        <v>432000</v>
      </c>
      <c r="C32" s="44" t="n">
        <v>23</v>
      </c>
      <c r="D32" s="44" t="n">
        <v>14</v>
      </c>
      <c r="E32" s="20" t="inlineStr">
        <is>
          <t>GD Mission Systems $359M on SPY-6, GD-OTS, GDIT</t>
        </is>
      </c>
    </row>
    <row r="33" ht="10" customHeight="1">
      <c r="A33" s="24" t="inlineStr">
        <is>
          <t>L3Harris (Aerojet Rocketdyne)</t>
        </is>
      </c>
      <c r="B33" s="44" t="n">
        <v>378000</v>
      </c>
      <c r="C33" s="44" t="n">
        <v>4</v>
      </c>
      <c r="D33" s="44" t="n">
        <v>4</v>
      </c>
      <c r="E33" s="20" t="inlineStr">
        <is>
          <t>Solid rocket motors for Standard Missile family</t>
        </is>
      </c>
    </row>
    <row r="34" ht="10" customHeight="1">
      <c r="A34" s="24" t="inlineStr">
        <is>
          <t>Rolls-Royce</t>
        </is>
      </c>
      <c r="B34" s="44" t="n">
        <v>313000</v>
      </c>
      <c r="C34" s="44" t="n">
        <v>25</v>
      </c>
      <c r="D34" s="44" t="n">
        <v>25</v>
      </c>
      <c r="E34" s="20" t="inlineStr">
        <is>
          <t>Gas turbines, waterjets, gearing — DDG/LCS/LPD/LHA + depot</t>
        </is>
      </c>
    </row>
    <row r="35" ht="10" customHeight="1">
      <c r="A35" s="24" t="inlineStr">
        <is>
          <t>CAES (Cobham)</t>
        </is>
      </c>
      <c r="B35" s="44" t="n">
        <v>217000</v>
      </c>
      <c r="C35" s="44" t="n">
        <v>10</v>
      </c>
      <c r="D35" s="44" t="n">
        <v>8</v>
      </c>
      <c r="E35" s="20" t="inlineStr">
        <is>
          <t>RF assemblies on SPY-6 $170M, SEWIP $110M, SLQ-32 $95M</t>
        </is>
      </c>
    </row>
    <row r="36" ht="10" customHeight="1">
      <c r="A36" s="24" t="inlineStr">
        <is>
          <t>Northrop Grumman (as sub)</t>
        </is>
      </c>
      <c r="B36" s="44" t="n">
        <v>215000</v>
      </c>
      <c r="C36" s="44" t="n">
        <v>10</v>
      </c>
      <c r="D36" s="44" t="n">
        <v>9</v>
      </c>
      <c r="E36" s="20" t="inlineStr">
        <is>
          <t>SPY-6 RF $114M, CIWS, LPD/LHA construction</t>
        </is>
      </c>
    </row>
    <row r="37" ht="10" customHeight="1">
      <c r="A37" s="24" t="inlineStr">
        <is>
          <t>IMIA</t>
        </is>
      </c>
      <c r="B37" s="44" t="n">
        <v>204000</v>
      </c>
      <c r="C37" s="44" t="n">
        <v>28</v>
      </c>
      <c r="D37" s="44" t="n">
        <v>28</v>
      </c>
      <c r="E37" s="20" t="inlineStr">
        <is>
          <t>Hull coatings / paint across 28 depot availabilities</t>
        </is>
      </c>
    </row>
    <row r="38" ht="10" customHeight="1">
      <c r="A38" s="24" t="inlineStr">
        <is>
          <t>L3Harris (excl. Aerojet)</t>
        </is>
      </c>
      <c r="B38" s="44" t="n">
        <v>203000</v>
      </c>
      <c r="C38" s="44" t="n">
        <v>53</v>
      </c>
      <c r="D38" s="44" t="n">
        <v>45</v>
      </c>
      <c r="E38" s="20" t="inlineStr">
        <is>
          <t>Maritime Power, Cincinnati Electronics, Fuzing — broadest footprint</t>
        </is>
      </c>
    </row>
    <row r="39" ht="10" customHeight="1">
      <c r="A39" s="24" t="inlineStr">
        <is>
          <t>Johnson Controls (incl. York)</t>
        </is>
      </c>
      <c r="B39" s="44" t="n">
        <v>172000</v>
      </c>
      <c r="C39" s="44" t="n">
        <v>31</v>
      </c>
      <c r="D39" s="44" t="n">
        <v>24</v>
      </c>
      <c r="E39" s="20" t="inlineStr">
        <is>
          <t>HVAC / chilled water on DDG/LPD/LHA + depot</t>
        </is>
      </c>
    </row>
    <row r="40" ht="10" customHeight="1">
      <c r="A40" s="24" t="inlineStr">
        <is>
          <t>GE Aerospace</t>
        </is>
      </c>
      <c r="B40" s="44" t="n">
        <v>166000</v>
      </c>
      <c r="C40" s="44" t="n">
        <v>16</v>
      </c>
      <c r="D40" s="44" t="n">
        <v>14</v>
      </c>
      <c r="E40" s="20" t="inlineStr">
        <is>
          <t>LM2500 gas turbines on DDG-51 + GE Power Conversion LHA 9</t>
        </is>
      </c>
    </row>
    <row r="41" ht="10" customHeight="1">
      <c r="A41" s="24" t="inlineStr">
        <is>
          <t>Fairbanks Morse Defense</t>
        </is>
      </c>
      <c r="B41" s="44" t="n">
        <v>161000</v>
      </c>
      <c r="C41" s="44" t="n">
        <v>25</v>
      </c>
      <c r="D41" s="44" t="n">
        <v>18</v>
      </c>
      <c r="E41" s="20" t="inlineStr">
        <is>
          <t>Diesel generators / propulsion on LPD/LHA + depot rebuilds</t>
        </is>
      </c>
    </row>
    <row r="42" ht="10" customHeight="1">
      <c r="A42" s="24" t="inlineStr">
        <is>
          <t>Leonardo DRS</t>
        </is>
      </c>
      <c r="B42" s="44" t="n">
        <v>134000</v>
      </c>
      <c r="C42" s="44" t="n">
        <v>18</v>
      </c>
      <c r="D42" s="44" t="n">
        <v>15</v>
      </c>
      <c r="E42" s="20" t="inlineStr">
        <is>
          <t>Naval Power Systems, Network &amp; Imaging, Laurel Technologies</t>
        </is>
      </c>
    </row>
    <row r="43" ht="10" customHeight="1">
      <c r="A43" s="24" t="inlineStr">
        <is>
          <t>Sparton DeLeon Springs</t>
        </is>
      </c>
      <c r="B43" s="44" t="n">
        <v>108000</v>
      </c>
      <c r="C43" s="44" t="n">
        <v>2</v>
      </c>
      <c r="D43" s="44" t="n">
        <v>2</v>
      </c>
      <c r="E43" s="20" t="inlineStr">
        <is>
          <t>ASW sensors / payload on Raytheon Barracuda</t>
        </is>
      </c>
    </row>
    <row r="44" ht="10" customHeight="1">
      <c r="A44" s="24" t="inlineStr">
        <is>
          <t>RAM-System GmbH</t>
        </is>
      </c>
      <c r="B44" s="44" t="n">
        <v>98000</v>
      </c>
      <c r="C44" s="44" t="n">
        <v>1</v>
      </c>
      <c r="D44" s="44" t="n">
        <v>1</v>
      </c>
      <c r="E44" s="20" t="inlineStr">
        <is>
          <t>RAM missile co-development with Raytheon (Germany)</t>
        </is>
      </c>
    </row>
    <row r="45" ht="10" customHeight="1">
      <c r="A45" s="24" t="inlineStr">
        <is>
          <t>Bay Metals &amp; Fabrication</t>
        </is>
      </c>
      <c r="B45" s="44" t="n">
        <v>93000</v>
      </c>
      <c r="C45" s="44" t="n">
        <v>9</v>
      </c>
      <c r="D45" s="44" t="n">
        <v>9</v>
      </c>
      <c r="E45" s="20" t="inlineStr">
        <is>
          <t>Norfolk metal fab serving 9 depot availabilities</t>
        </is>
      </c>
    </row>
    <row r="46" ht="10" customHeight="1">
      <c r="A46" s="24" t="inlineStr">
        <is>
          <t>US Joiner LLC</t>
        </is>
      </c>
      <c r="B46" s="44" t="n">
        <v>88000</v>
      </c>
      <c r="C46" s="44" t="n">
        <v>12</v>
      </c>
      <c r="D46" s="44" t="n">
        <v>12</v>
      </c>
      <c r="E46" s="20" t="inlineStr">
        <is>
          <t>Interior outfitting — LPD construction + depot</t>
        </is>
      </c>
    </row>
    <row r="47" ht="10" customHeight="1">
      <c r="A47" s="24" t="inlineStr">
        <is>
          <t>United Rentals</t>
        </is>
      </c>
      <c r="B47" s="44" t="n">
        <v>77000</v>
      </c>
      <c r="C47" s="44" t="n">
        <v>29</v>
      </c>
      <c r="D47" s="44" t="n">
        <v>29</v>
      </c>
      <c r="E47" s="20" t="inlineStr">
        <is>
          <t>Equipment rental across 29 depot availabilities</t>
        </is>
      </c>
    </row>
    <row r="48" ht="10" customHeight="1">
      <c r="A48" s="24" t="inlineStr">
        <is>
          <t>Honeywell</t>
        </is>
      </c>
      <c r="B48" s="44" t="n">
        <v>71000</v>
      </c>
      <c r="C48" s="44" t="n">
        <v>12</v>
      </c>
      <c r="D48" s="44" t="n">
        <v>12</v>
      </c>
      <c r="E48" s="20" t="inlineStr">
        <is>
          <t>IMUs / IRUs on Standard Missile + CIWS</t>
        </is>
      </c>
    </row>
    <row r="49" ht="10" customHeight="1">
      <c r="A49" s="24" t="inlineStr">
        <is>
          <t>Anaren</t>
        </is>
      </c>
      <c r="B49" s="44" t="n">
        <v>64000</v>
      </c>
      <c r="C49" s="44" t="n">
        <v>7</v>
      </c>
      <c r="D49" s="44" t="n">
        <v>7</v>
      </c>
      <c r="E49" s="20" t="inlineStr">
        <is>
          <t>RF combiners/dividers on SPY-6</t>
        </is>
      </c>
    </row>
    <row r="50" ht="10" customHeight="1">
      <c r="A50" s="26" t="inlineStr">
        <is>
          <t>Total (top 20)</t>
        </is>
      </c>
      <c r="B50" s="27">
        <f>SUM(B30:B49)</f>
        <v/>
      </c>
      <c r="C50" s="28" t="n"/>
      <c r="D50" s="28" t="n"/>
      <c r="E50" s="28" t="n"/>
    </row>
    <row r="51" ht="10" customHeight="1"/>
    <row r="52" ht="10" customHeight="1"/>
    <row r="53" ht="10" customHeight="1">
      <c r="A53" s="21" t="inlineStr">
        <is>
          <t>(C) Per-Program Subaward Summary</t>
        </is>
      </c>
      <c r="B53" s="22" t="n"/>
      <c r="C53" s="22" t="n"/>
      <c r="D53" s="22" t="n"/>
      <c r="E53" s="22" t="n"/>
    </row>
    <row r="54" ht="10" customHeight="1">
      <c r="A54" s="23" t="inlineStr">
        <is>
          <t>Program</t>
        </is>
      </c>
      <c r="B54" s="23" t="inlineStr">
        <is>
          <t>Total Subs ($K)</t>
        </is>
      </c>
      <c r="C54" s="23" t="inlineStr">
        <is>
          <t>Top Sub 1</t>
        </is>
      </c>
      <c r="D54" s="23" t="inlineStr">
        <is>
          <t>Top Sub 2</t>
        </is>
      </c>
      <c r="E54" s="23" t="inlineStr">
        <is>
          <t>Top Sub 3</t>
        </is>
      </c>
    </row>
    <row r="55" ht="10" customHeight="1">
      <c r="A55" s="24" t="inlineStr">
        <is>
          <t>DDG-51 New Construction</t>
        </is>
      </c>
      <c r="B55" s="44" t="n">
        <v>530000</v>
      </c>
      <c r="C55" s="20" t="inlineStr">
        <is>
          <t>GE Aerospace $88M</t>
        </is>
      </c>
      <c r="D55" s="20" t="inlineStr">
        <is>
          <t>Johnson Controls $76M</t>
        </is>
      </c>
      <c r="E55" s="20" t="inlineStr">
        <is>
          <t>Timken Gears $41M</t>
        </is>
      </c>
    </row>
    <row r="56" ht="10" customHeight="1">
      <c r="A56" s="24" t="inlineStr">
        <is>
          <t>DDG Mod — SPY-6</t>
        </is>
      </c>
      <c r="B56" s="44" t="n">
        <v>1220000</v>
      </c>
      <c r="C56" s="20" t="inlineStr">
        <is>
          <t>GD Mission Systems $359M</t>
        </is>
      </c>
      <c r="D56" s="20" t="inlineStr">
        <is>
          <t>CAES $170M</t>
        </is>
      </c>
      <c r="E56" s="20" t="inlineStr">
        <is>
          <t>Northrop Grumman $114M</t>
        </is>
      </c>
    </row>
    <row r="57" ht="10" customHeight="1">
      <c r="A57" s="24" t="inlineStr">
        <is>
          <t>DDG Mod — CIWS/RAM/SeaRAM</t>
        </is>
      </c>
      <c r="B57" s="44" t="n">
        <v>560000</v>
      </c>
      <c r="C57" s="20" t="inlineStr">
        <is>
          <t>RAM-System GmbH $98M</t>
        </is>
      </c>
      <c r="D57" s="20" t="inlineStr">
        <is>
          <t>L3Harris $39M</t>
        </is>
      </c>
      <c r="E57" s="20" t="inlineStr">
        <is>
          <t>GD $35M</t>
        </is>
      </c>
    </row>
    <row r="58" ht="10" customHeight="1">
      <c r="A58" s="24" t="inlineStr">
        <is>
          <t>LCS Freedom Construction</t>
        </is>
      </c>
      <c r="B58" s="44" t="n">
        <v>2910000</v>
      </c>
      <c r="C58" s="20" t="inlineStr">
        <is>
          <t>Marinette Marine $2,487M</t>
        </is>
      </c>
      <c r="D58" s="20" t="inlineStr">
        <is>
          <t>Rolls-Royce $196M</t>
        </is>
      </c>
      <c r="E58" s="20" t="inlineStr">
        <is>
          <t>Airbus US $56M</t>
        </is>
      </c>
    </row>
    <row r="59" ht="10" customHeight="1">
      <c r="A59" s="24" t="inlineStr">
        <is>
          <t>LCS MCM Mission Modules</t>
        </is>
      </c>
      <c r="B59" s="44" t="n">
        <v>1230000</v>
      </c>
      <c r="C59" s="20" t="inlineStr">
        <is>
          <t>Trident Sensors $215M</t>
        </is>
      </c>
      <c r="D59" s="20" t="inlineStr">
        <is>
          <t>Teledyne $55M</t>
        </is>
      </c>
      <c r="E59" s="20" t="inlineStr">
        <is>
          <t>GD $13M</t>
        </is>
      </c>
    </row>
    <row r="60" ht="10" customHeight="1">
      <c r="A60" s="24" t="inlineStr">
        <is>
          <t>LHA New Construction</t>
        </is>
      </c>
      <c r="B60" s="44" t="n">
        <v>340000</v>
      </c>
      <c r="C60" s="20" t="inlineStr">
        <is>
          <t>Fairbanks Morse $40M</t>
        </is>
      </c>
      <c r="D60" s="20" t="inlineStr">
        <is>
          <t>L3Harris $39M</t>
        </is>
      </c>
      <c r="E60" s="20" t="inlineStr">
        <is>
          <t>Leonardo DRS $34M</t>
        </is>
      </c>
    </row>
    <row r="61" ht="10" customHeight="1">
      <c r="A61" s="24" t="inlineStr">
        <is>
          <t>LPD Flight II New Construction</t>
        </is>
      </c>
      <c r="B61" s="44" t="n">
        <v>340000</v>
      </c>
      <c r="C61" s="20" t="inlineStr">
        <is>
          <t>Fairbanks Morse $65M</t>
        </is>
      </c>
      <c r="D61" s="20" t="inlineStr">
        <is>
          <t>US Joiner $36M</t>
        </is>
      </c>
      <c r="E61" s="20" t="inlineStr">
        <is>
          <t>Caterpillar $20M</t>
        </is>
      </c>
    </row>
    <row r="62" ht="10" customHeight="1">
      <c r="A62" s="24" t="inlineStr">
        <is>
          <t>Standard Missile Family</t>
        </is>
      </c>
      <c r="B62" s="44" t="n">
        <v>930000</v>
      </c>
      <c r="C62" s="20" t="inlineStr">
        <is>
          <t>L3Harris (Aerojet) $390M</t>
        </is>
      </c>
      <c r="D62" s="20" t="inlineStr">
        <is>
          <t>Honeywell $43M</t>
        </is>
      </c>
      <c r="E62" s="20" t="inlineStr">
        <is>
          <t>Goodrich $32M</t>
        </is>
      </c>
    </row>
    <row r="63" ht="10" customHeight="1">
      <c r="A63" s="24" t="inlineStr">
        <is>
          <t>DDG-1000</t>
        </is>
      </c>
      <c r="B63" s="44" t="n">
        <v>130000</v>
      </c>
      <c r="C63" s="20" t="inlineStr">
        <is>
          <t>Red River Technology $61M</t>
        </is>
      </c>
      <c r="D63" s="20" t="inlineStr">
        <is>
          <t>Air Masters $6M</t>
        </is>
      </c>
      <c r="E63" s="20" t="inlineStr">
        <is>
          <t>--</t>
        </is>
      </c>
    </row>
    <row r="64" ht="10" customHeight="1">
      <c r="A64" s="24" t="inlineStr">
        <is>
          <t>DDG Mod — CEC</t>
        </is>
      </c>
      <c r="B64" s="44" t="n">
        <v>30000</v>
      </c>
      <c r="C64" s="20" t="inlineStr">
        <is>
          <t>Sechan Electronics $7M</t>
        </is>
      </c>
      <c r="D64" s="20" t="inlineStr">
        <is>
          <t>Action Electronics $5M</t>
        </is>
      </c>
      <c r="E64" s="20" t="inlineStr">
        <is>
          <t>--</t>
        </is>
      </c>
    </row>
    <row r="65" ht="10" customHeight="1">
      <c r="A65" s="24" t="inlineStr">
        <is>
          <t>DDG Mod — SSDS</t>
        </is>
      </c>
      <c r="B65" s="44" t="n">
        <v>40000</v>
      </c>
      <c r="C65" s="20" t="inlineStr">
        <is>
          <t>Mission Solutions $14M</t>
        </is>
      </c>
      <c r="D65" s="20" t="inlineStr">
        <is>
          <t>PMAT $6M</t>
        </is>
      </c>
      <c r="E65" s="20" t="inlineStr">
        <is>
          <t>--</t>
        </is>
      </c>
    </row>
    <row r="66" ht="10" customHeight="1">
      <c r="A66" s="24" t="inlineStr">
        <is>
          <t>DDG Mod — HELIOS</t>
        </is>
      </c>
      <c r="B66" s="44" t="n">
        <v>60000</v>
      </c>
      <c r="C66" s="20" t="inlineStr">
        <is>
          <t>MZA Associates $25M</t>
        </is>
      </c>
      <c r="D66" s="20" t="inlineStr">
        <is>
          <t>L3 Technologies $22M</t>
        </is>
      </c>
      <c r="E66" s="20" t="inlineStr">
        <is>
          <t>--</t>
        </is>
      </c>
    </row>
    <row r="67" ht="10" customHeight="1">
      <c r="A67" s="24" t="inlineStr">
        <is>
          <t>Airborne MCM</t>
        </is>
      </c>
      <c r="B67" s="44" t="n">
        <v>150000</v>
      </c>
      <c r="C67" s="20" t="inlineStr">
        <is>
          <t>Sparton $108M</t>
        </is>
      </c>
      <c r="D67" s="20" t="inlineStr">
        <is>
          <t>Teledyne $17M</t>
        </is>
      </c>
      <c r="E67" s="20" t="inlineStr">
        <is>
          <t>--</t>
        </is>
      </c>
    </row>
    <row r="68" ht="10" customHeight="1">
      <c r="A68" s="24" t="inlineStr">
        <is>
          <t>MK-54 Torpedo</t>
        </is>
      </c>
      <c r="B68" s="44" t="n">
        <v>30000</v>
      </c>
      <c r="C68" s="20" t="inlineStr">
        <is>
          <t>L3Harris (Aerojet) $25M</t>
        </is>
      </c>
      <c r="D68" s="20" t="inlineStr">
        <is>
          <t>J&amp;E Precision Tool $3M</t>
        </is>
      </c>
      <c r="E68" s="20" t="inlineStr">
        <is>
          <t>--</t>
        </is>
      </c>
    </row>
    <row r="69" ht="10" customHeight="1">
      <c r="A69" s="24" t="inlineStr">
        <is>
          <t>Depot Maintenance</t>
        </is>
      </c>
      <c r="B69" s="44" t="n">
        <v>1500000</v>
      </c>
      <c r="C69" s="20" t="inlineStr">
        <is>
          <t>IMIA $204M</t>
        </is>
      </c>
      <c r="D69" s="20" t="inlineStr">
        <is>
          <t>Bay Metals $93M</t>
        </is>
      </c>
      <c r="E69" s="20" t="inlineStr">
        <is>
          <t>US Joiner $88M</t>
        </is>
      </c>
    </row>
    <row r="70" ht="10" customHeight="1">
      <c r="A70" s="26" t="inlineStr">
        <is>
          <t>Total</t>
        </is>
      </c>
      <c r="B70" s="27">
        <f>SUM(B55:B69)</f>
        <v/>
      </c>
      <c r="C70" s="28" t="n"/>
      <c r="D70" s="28" t="n"/>
      <c r="E70" s="28" t="n"/>
    </row>
    <row r="71" ht="10" customHeight="1"/>
    <row r="72" ht="10" customHeight="1"/>
    <row r="73" ht="10" customHeight="1">
      <c r="A73" s="21" t="inlineStr">
        <is>
          <t>(D) FY2026 SAM Line Item to Contract Vehicle Crosswalk</t>
        </is>
      </c>
      <c r="B73" s="22" t="n"/>
      <c r="C73" s="22" t="n"/>
    </row>
    <row r="74" ht="10" customHeight="1"/>
    <row r="75" ht="10" customHeight="1">
      <c r="A75" s="40" t="inlineStr">
        <is>
          <t>LHD</t>
        </is>
      </c>
      <c r="B75" s="33" t="n"/>
      <c r="C75" s="33" t="n"/>
    </row>
    <row r="76" ht="10" customHeight="1">
      <c r="A76" s="23" t="inlineStr">
        <is>
          <t>FY26 SAM Line</t>
        </is>
      </c>
      <c r="B76" s="23" t="inlineStr">
        <is>
          <t>FY26 ($K)</t>
        </is>
      </c>
      <c r="C76" s="23" t="inlineStr">
        <is>
          <t>Contract Vehicle / Prime</t>
        </is>
      </c>
    </row>
    <row r="77" ht="10" customHeight="1">
      <c r="A77" s="24" t="inlineStr">
        <is>
          <t>OMN_Vol2 LHD/AMPHIBS depot</t>
        </is>
      </c>
      <c r="B77" s="44" t="n">
        <v>346443</v>
      </c>
      <c r="C77" s="20" t="inlineStr">
        <is>
          <t>BAE Norfolk/SD, Metro Machine, NASSCO</t>
        </is>
      </c>
    </row>
    <row r="78" ht="10" customHeight="1">
      <c r="A78" s="24" t="inlineStr">
        <is>
          <t>OMN_Vol2 LHD/AMPHIBS modernization</t>
        </is>
      </c>
      <c r="B78" s="44" t="n">
        <v>631859</v>
      </c>
      <c r="C78" s="20" t="inlineStr">
        <is>
          <t>BAE Norfolk/SD, Metro Machine</t>
        </is>
      </c>
    </row>
    <row r="79" ht="10" customHeight="1">
      <c r="A79" s="24" t="inlineStr">
        <is>
          <t>OPN BA1 Line 8 LHA/LHD Midlife</t>
        </is>
      </c>
      <c r="B79" s="44" t="n">
        <v>123384</v>
      </c>
      <c r="C79" s="20" t="inlineStr">
        <is>
          <t>BAE / Metro / Gibbs &amp; Cox</t>
        </is>
      </c>
    </row>
    <row r="80" ht="10" customHeight="1">
      <c r="A80" s="26" t="inlineStr">
        <is>
          <t>LHD Total</t>
        </is>
      </c>
      <c r="B80" s="27">
        <f>SUM(B77:B79)</f>
        <v/>
      </c>
      <c r="C80" s="28" t="n"/>
    </row>
    <row r="81" ht="10" customHeight="1"/>
    <row r="82" ht="10" customHeight="1">
      <c r="A82" s="40" t="inlineStr">
        <is>
          <t>LPD</t>
        </is>
      </c>
      <c r="B82" s="33" t="n"/>
      <c r="C82" s="33" t="n"/>
    </row>
    <row r="83" ht="10" customHeight="1">
      <c r="A83" s="23" t="inlineStr">
        <is>
          <t>FY26 SAM Line</t>
        </is>
      </c>
      <c r="B83" s="23" t="inlineStr">
        <is>
          <t>FY26 ($K)</t>
        </is>
      </c>
      <c r="C83" s="23" t="inlineStr">
        <is>
          <t>Contract Vehicle / Prime</t>
        </is>
      </c>
    </row>
    <row r="84" ht="10" customHeight="1">
      <c r="A84" s="24" t="inlineStr">
        <is>
          <t>SCN 3010 LPD Flight II procurement</t>
        </is>
      </c>
      <c r="B84" s="44" t="n">
        <v>835037</v>
      </c>
      <c r="C84" s="20" t="inlineStr">
        <is>
          <t>HII — N0002424C2473 ($5.80B ceiling)</t>
        </is>
      </c>
    </row>
    <row r="85" ht="10" customHeight="1">
      <c r="A85" s="24" t="inlineStr">
        <is>
          <t>SCN 3010 LPD Flight II AP</t>
        </is>
      </c>
      <c r="B85" s="44" t="n">
        <v>275000</v>
      </c>
      <c r="C85" s="20" t="inlineStr">
        <is>
          <t>HII — N0002424C2473 AP scope</t>
        </is>
      </c>
    </row>
    <row r="86" ht="10" customHeight="1">
      <c r="A86" s="24" t="inlineStr">
        <is>
          <t>OMN_Vol2 LPD depot</t>
        </is>
      </c>
      <c r="B86" s="44" t="n">
        <v>149595</v>
      </c>
      <c r="C86" s="20" t="inlineStr">
        <is>
          <t>BAE Norfolk/SD</t>
        </is>
      </c>
    </row>
    <row r="87" ht="10" customHeight="1">
      <c r="A87" s="24" t="inlineStr">
        <is>
          <t>OPN BA1 Line 15 LPD Class Support</t>
        </is>
      </c>
      <c r="B87" s="44" t="n">
        <v>125542</v>
      </c>
      <c r="C87" s="20" t="inlineStr">
        <is>
          <t>HII Class Eng ($225M) + Raytheon LCE&amp;S ($485M)</t>
        </is>
      </c>
    </row>
    <row r="88" ht="10" customHeight="1">
      <c r="A88" s="26" t="inlineStr">
        <is>
          <t>LPD Total</t>
        </is>
      </c>
      <c r="B88" s="27">
        <f>SUM(B84:B87)</f>
        <v/>
      </c>
      <c r="C88" s="28" t="n"/>
    </row>
    <row r="89" ht="10" customHeight="1"/>
    <row r="90" ht="10" customHeight="1">
      <c r="A90" s="40" t="inlineStr">
        <is>
          <t>LSD</t>
        </is>
      </c>
      <c r="B90" s="33" t="n"/>
      <c r="C90" s="33" t="n"/>
    </row>
    <row r="91" ht="10" customHeight="1">
      <c r="A91" s="23" t="inlineStr">
        <is>
          <t>FY26 SAM Line</t>
        </is>
      </c>
      <c r="B91" s="23" t="inlineStr">
        <is>
          <t>FY26 ($K)</t>
        </is>
      </c>
      <c r="C91" s="23" t="inlineStr">
        <is>
          <t>Contract Vehicle / Prime</t>
        </is>
      </c>
    </row>
    <row r="92" ht="10" customHeight="1">
      <c r="A92" s="24" t="inlineStr">
        <is>
          <t>OMN_Vol2 LSD depot</t>
        </is>
      </c>
      <c r="B92" s="44" t="n">
        <v>94421</v>
      </c>
      <c r="C92" s="20" t="inlineStr">
        <is>
          <t>NASSCO, BAE, Metro Machine</t>
        </is>
      </c>
    </row>
    <row r="93" ht="10" customHeight="1">
      <c r="A93" s="24" t="inlineStr">
        <is>
          <t>OMN_Vol2 LSD modernization</t>
        </is>
      </c>
      <c r="B93" s="44" t="n">
        <v>25931</v>
      </c>
      <c r="C93" s="20" t="inlineStr">
        <is>
          <t>Alteration installation (small)</t>
        </is>
      </c>
    </row>
    <row r="94" ht="10" customHeight="1">
      <c r="A94" s="26" t="inlineStr">
        <is>
          <t>LSD Total</t>
        </is>
      </c>
      <c r="B94" s="27">
        <f>SUM(B92:B93)</f>
        <v/>
      </c>
      <c r="C94" s="28" t="n"/>
    </row>
    <row r="95" ht="10" customHeight="1"/>
    <row r="96" ht="10" customHeight="1">
      <c r="A96" s="40" t="inlineStr">
        <is>
          <t>LHA</t>
        </is>
      </c>
      <c r="B96" s="33" t="n"/>
      <c r="C96" s="33" t="n"/>
    </row>
    <row r="97" ht="10" customHeight="1">
      <c r="A97" s="23" t="inlineStr">
        <is>
          <t>FY26 SAM Line</t>
        </is>
      </c>
      <c r="B97" s="23" t="inlineStr">
        <is>
          <t>FY26 ($K)</t>
        </is>
      </c>
      <c r="C97" s="23" t="inlineStr">
        <is>
          <t>Contract Vehicle / Prime</t>
        </is>
      </c>
    </row>
    <row r="98" ht="10" customHeight="1">
      <c r="A98" s="24" t="inlineStr">
        <is>
          <t>SCN 3041 LHA Replacement</t>
        </is>
      </c>
      <c r="B98" s="44" t="n">
        <v>634963</v>
      </c>
      <c r="C98" s="20" t="inlineStr">
        <is>
          <t>HII — N0002420C2437 LHA 9 ($3.14B ceiling)</t>
        </is>
      </c>
    </row>
    <row r="99" ht="10" customHeight="1">
      <c r="A99" s="24" t="inlineStr">
        <is>
          <t>OMN_Vol2 LHA depot</t>
        </is>
      </c>
      <c r="B99" s="44" t="n">
        <v>45012</v>
      </c>
      <c r="C99" s="20" t="inlineStr">
        <is>
          <t>NASSCO — LHA 6 DSRA ($198M ceiling)</t>
        </is>
      </c>
    </row>
    <row r="100" ht="10" customHeight="1">
      <c r="A100" s="26" t="inlineStr">
        <is>
          <t>LHA Total</t>
        </is>
      </c>
      <c r="B100" s="27">
        <f>SUM(B98:B99)</f>
        <v/>
      </c>
      <c r="C100" s="28" t="n"/>
    </row>
    <row r="101" ht="10" customHeight="1"/>
    <row r="102" ht="10" customHeight="1">
      <c r="A102" s="40" t="inlineStr">
        <is>
          <t>DDG</t>
        </is>
      </c>
      <c r="B102" s="33" t="n"/>
      <c r="C102" s="33" t="n"/>
    </row>
    <row r="103" ht="10" customHeight="1">
      <c r="A103" s="23" t="inlineStr">
        <is>
          <t>FY26 SAM Line</t>
        </is>
      </c>
      <c r="B103" s="23" t="inlineStr">
        <is>
          <t>FY26 ($K)</t>
        </is>
      </c>
      <c r="C103" s="23" t="inlineStr">
        <is>
          <t>Contract Vehicle / Prime</t>
        </is>
      </c>
    </row>
    <row r="104" ht="10" customHeight="1">
      <c r="A104" s="24" t="inlineStr">
        <is>
          <t>SCN 2122 DDG-51 procurement</t>
        </is>
      </c>
      <c r="B104" s="44" t="n">
        <v>5410773</v>
      </c>
      <c r="C104" s="20" t="inlineStr">
        <is>
          <t>HII FY23-27 MYP + BIW FY23-27 MYP</t>
        </is>
      </c>
    </row>
    <row r="105" ht="10" customHeight="1">
      <c r="A105" s="24" t="inlineStr">
        <is>
          <t>SCN 2122 DDG-51 AP</t>
        </is>
      </c>
      <c r="B105" s="44" t="n">
        <v>1750000</v>
      </c>
      <c r="C105" s="20" t="inlineStr">
        <is>
          <t>HII + BIW — AP against FY23-27 MYPs</t>
        </is>
      </c>
    </row>
    <row r="106" ht="10" customHeight="1">
      <c r="A106" s="24" t="inlineStr">
        <is>
          <t>SCN 2119 DDG-1000</t>
        </is>
      </c>
      <c r="B106" s="44" t="n">
        <v>52358</v>
      </c>
      <c r="C106" s="20" t="inlineStr">
        <is>
          <t>HII Mod Planning + BIW Planning Yard</t>
        </is>
      </c>
    </row>
    <row r="107" ht="10" customHeight="1">
      <c r="A107" s="24" t="inlineStr">
        <is>
          <t>OMN_Vol2 DDG depot</t>
        </is>
      </c>
      <c r="B107" s="44" t="n">
        <v>952000</v>
      </c>
      <c r="C107" s="20" t="inlineStr">
        <is>
          <t>BAE / NASSCO / Continental / Vigor / MHI / Metro</t>
        </is>
      </c>
    </row>
    <row r="108" ht="10" customHeight="1">
      <c r="A108" s="24" t="inlineStr">
        <is>
          <t>OMN_Vol2 DDG modernization</t>
        </is>
      </c>
      <c r="B108" s="44" t="n">
        <v>1282612</v>
      </c>
      <c r="C108" s="20" t="inlineStr">
        <is>
          <t>Cross-vehicle alteration installation</t>
        </is>
      </c>
    </row>
    <row r="109" ht="10" customHeight="1">
      <c r="A109" s="24" t="inlineStr">
        <is>
          <t>WPN 2234 Standard Missile</t>
        </is>
      </c>
      <c r="B109" s="44" t="n">
        <v>1008875</v>
      </c>
      <c r="C109" s="20" t="inlineStr">
        <is>
          <t>Raytheon SM production vehicles</t>
        </is>
      </c>
    </row>
    <row r="110" ht="10" customHeight="1">
      <c r="A110" s="24" t="inlineStr">
        <is>
          <t>OPN BA1 Line 5 DDG Mod</t>
        </is>
      </c>
      <c r="B110" s="44" t="n">
        <v>878787</v>
      </c>
      <c r="C110" s="20" t="inlineStr">
        <is>
          <t>SPY-6, SEWIP, SSDS, CEC, CIWS, HELIOS, Aegis kits</t>
        </is>
      </c>
    </row>
    <row r="111" ht="10" customHeight="1">
      <c r="A111" s="24" t="inlineStr">
        <is>
          <t>WPN 3215 MK-54 Torpedo Mods</t>
        </is>
      </c>
      <c r="B111" s="44" t="n">
        <v>128513</v>
      </c>
      <c r="C111" s="20" t="inlineStr">
        <is>
          <t>GDMS MK 54 MOD 1 + Ultra MK 54 MOD 0 + ATI OTAs</t>
        </is>
      </c>
    </row>
    <row r="112" ht="10" customHeight="1">
      <c r="A112" s="24" t="inlineStr">
        <is>
          <t>OPN BA1 Line 16 DDG-1000 Support</t>
        </is>
      </c>
      <c r="B112" s="44" t="n">
        <v>115267</v>
      </c>
      <c r="C112" s="20" t="inlineStr">
        <is>
          <t>Raytheon DDG-1000 mission sys + BIW Planning Yard</t>
        </is>
      </c>
    </row>
    <row r="113" ht="10" customHeight="1">
      <c r="A113" s="26" t="inlineStr">
        <is>
          <t>DDG Total</t>
        </is>
      </c>
      <c r="B113" s="27">
        <f>SUM(B104:B112)</f>
        <v/>
      </c>
      <c r="C113" s="28" t="n"/>
    </row>
    <row r="114" ht="10" customHeight="1"/>
    <row r="115" ht="10" customHeight="1">
      <c r="A115" s="40" t="inlineStr">
        <is>
          <t>LCS</t>
        </is>
      </c>
      <c r="B115" s="33" t="n"/>
      <c r="C115" s="33" t="n"/>
    </row>
    <row r="116" ht="10" customHeight="1">
      <c r="A116" s="23" t="inlineStr">
        <is>
          <t>FY26 SAM Line</t>
        </is>
      </c>
      <c r="B116" s="23" t="inlineStr">
        <is>
          <t>FY26 ($K)</t>
        </is>
      </c>
      <c r="C116" s="23" t="inlineStr">
        <is>
          <t>Contract Vehicle / Prime</t>
        </is>
      </c>
    </row>
    <row r="117" ht="10" customHeight="1">
      <c r="A117" s="24" t="inlineStr">
        <is>
          <t>OMN_Vol2 LCS depot</t>
        </is>
      </c>
      <c r="B117" s="44" t="n">
        <v>576389</v>
      </c>
      <c r="C117" s="20" t="inlineStr">
        <is>
          <t>LM Freedom ISEA + GDMS Independence ISEA + avails</t>
        </is>
      </c>
    </row>
    <row r="118" ht="10" customHeight="1">
      <c r="A118" s="24" t="inlineStr">
        <is>
          <t>OMN_Vol2 LCS modernization</t>
        </is>
      </c>
      <c r="B118" s="44" t="n">
        <v>383361</v>
      </c>
      <c r="C118" s="20" t="inlineStr">
        <is>
          <t>LM + GDMS combat system ISEA + ITT-2A</t>
        </is>
      </c>
    </row>
    <row r="119" ht="10" customHeight="1">
      <c r="A119" s="24" t="inlineStr">
        <is>
          <t>OPN BA1 Line 37 LCS In-Service Mod</t>
        </is>
      </c>
      <c r="B119" s="44" t="n">
        <v>189458</v>
      </c>
      <c r="C119" s="20" t="inlineStr">
        <is>
          <t>LM, GDMS, Textron, BAH PEO LCS support</t>
        </is>
      </c>
    </row>
    <row r="120" ht="10" customHeight="1">
      <c r="A120" s="24" t="inlineStr">
        <is>
          <t>OPN BA1 Line 34 LCS MCM Modules</t>
        </is>
      </c>
      <c r="B120" s="44" t="n">
        <v>91372</v>
      </c>
      <c r="C120" s="20" t="inlineStr">
        <is>
          <t>UISS (Textron), Knifefish (GDMS/NG), MCM USV (Bollinger)</t>
        </is>
      </c>
    </row>
    <row r="121" ht="10" customHeight="1">
      <c r="A121" s="24" t="inlineStr">
        <is>
          <t>WPN 2292 Naval Strike Missile</t>
        </is>
      </c>
      <c r="B121" s="44" t="n">
        <v>32238</v>
      </c>
      <c r="C121" s="20" t="inlineStr">
        <is>
          <t>Raytheon NSM integration + Kongsberg OEM via FMS</t>
        </is>
      </c>
    </row>
    <row r="122" ht="10" customHeight="1">
      <c r="A122" s="26" t="inlineStr">
        <is>
          <t>LCS Total</t>
        </is>
      </c>
      <c r="B122" s="27">
        <f>SUM(B117:B121)</f>
        <v/>
      </c>
      <c r="C122" s="28" t="n"/>
    </row>
    <row r="123" ht="10" customHeight="1"/>
    <row r="124" ht="10" customHeight="1">
      <c r="A124" s="40" t="inlineStr">
        <is>
          <t>CG</t>
        </is>
      </c>
      <c r="B124" s="33" t="n"/>
      <c r="C124" s="33" t="n"/>
    </row>
    <row r="125" ht="10" customHeight="1">
      <c r="A125" s="23" t="inlineStr">
        <is>
          <t>FY26 SAM Line</t>
        </is>
      </c>
      <c r="B125" s="23" t="inlineStr">
        <is>
          <t>FY26 ($K)</t>
        </is>
      </c>
      <c r="C125" s="23" t="inlineStr">
        <is>
          <t>Contract Vehicle / Prime</t>
        </is>
      </c>
    </row>
    <row r="126" ht="10" customHeight="1">
      <c r="A126" s="24" t="inlineStr">
        <is>
          <t>OMN_Vol2 CG depot</t>
        </is>
      </c>
      <c r="B126" s="44" t="n">
        <v>115501</v>
      </c>
      <c r="C126" s="20" t="inlineStr">
        <is>
          <t>Vigor, BAE Norfolk, NASSCO, HII CG planning</t>
        </is>
      </c>
    </row>
    <row r="127" ht="10" customHeight="1">
      <c r="A127" s="24" t="inlineStr">
        <is>
          <t>OMN_Vol2 CG modernization</t>
        </is>
      </c>
      <c r="B127" s="44" t="n">
        <v>44940</v>
      </c>
      <c r="C127" s="20" t="inlineStr">
        <is>
          <t>Same vendor pool — alteration installation</t>
        </is>
      </c>
    </row>
    <row r="128" ht="10" customHeight="1">
      <c r="A128" s="26" t="inlineStr">
        <is>
          <t>CG Total</t>
        </is>
      </c>
      <c r="B128" s="27">
        <f>SUM(B126:B127)</f>
        <v/>
      </c>
      <c r="C128" s="28"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2026-04-13T20:23:22Z</dcterms:modified>
  <cp:lastModifiedBy>Brendan Toole</cp:lastModifiedBy>
</cp:coreProperties>
</file>