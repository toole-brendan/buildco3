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0236232E32A4E69CB1B87BEE9865D6F463B32E5E" xr6:coauthVersionLast="47" xr6:coauthVersionMax="47" xr10:uidLastSave="{00000000-0000-0000-0000-000000000000}"/>
  <bookViews>
    <workbookView xWindow="0" yWindow="760" windowWidth="34560" windowHeight="20380"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39" i="14"/>
  <c r="C39" i="14"/>
  <c r="D38" i="14"/>
  <c r="C38" i="14"/>
  <c r="E38" i="14" s="1"/>
  <c r="D37" i="14"/>
  <c r="C37" i="14"/>
  <c r="E37" i="14" s="1"/>
  <c r="D36" i="14"/>
  <c r="C36" i="14"/>
  <c r="E36" i="14" s="1"/>
  <c r="D35" i="14"/>
  <c r="C35" i="14"/>
  <c r="D34" i="14"/>
  <c r="C34" i="14"/>
  <c r="C33" i="14"/>
  <c r="D32" i="14"/>
  <c r="D31" i="14"/>
  <c r="D30" i="14"/>
  <c r="D29" i="14"/>
  <c r="D28" i="14"/>
  <c r="D27" i="14"/>
  <c r="D26" i="14"/>
  <c r="D25" i="14"/>
  <c r="D24" i="14"/>
  <c r="D23" i="14"/>
  <c r="D22" i="14"/>
  <c r="D21" i="14"/>
  <c r="D19" i="14"/>
  <c r="D18" i="14"/>
  <c r="C50" i="13"/>
  <c r="C49" i="13"/>
  <c r="C48" i="13"/>
  <c r="C46" i="13"/>
  <c r="C45" i="13"/>
  <c r="C34" i="12"/>
  <c r="C29" i="12"/>
  <c r="C28" i="12"/>
  <c r="C27" i="12"/>
  <c r="C25" i="12"/>
  <c r="C24" i="12"/>
  <c r="C23" i="12"/>
  <c r="C38" i="11"/>
  <c r="C34" i="11"/>
  <c r="C32" i="11"/>
  <c r="C31" i="11"/>
  <c r="C30" i="11"/>
  <c r="C27" i="11"/>
  <c r="C26" i="11"/>
  <c r="B24" i="10"/>
  <c r="E39" i="8"/>
  <c r="D39" i="8"/>
  <c r="C39" i="8"/>
  <c r="D38" i="8"/>
  <c r="C38" i="8"/>
  <c r="D37" i="8"/>
  <c r="C37" i="8"/>
  <c r="D36" i="8"/>
  <c r="C36" i="8"/>
  <c r="E36" i="8" s="1"/>
  <c r="D35" i="8"/>
  <c r="C35" i="8"/>
  <c r="E35" i="8" s="1"/>
  <c r="D34" i="8"/>
  <c r="C34" i="8"/>
  <c r="C33" i="8"/>
  <c r="D32" i="8"/>
  <c r="D31" i="8"/>
  <c r="D30" i="8"/>
  <c r="D29" i="8"/>
  <c r="D28" i="8"/>
  <c r="D27" i="8"/>
  <c r="D26" i="8"/>
  <c r="D25" i="8"/>
  <c r="D24" i="8"/>
  <c r="D23" i="8"/>
  <c r="D22" i="8"/>
  <c r="D21" i="8"/>
  <c r="D20" i="8"/>
  <c r="D18" i="8"/>
  <c r="C52" i="7"/>
  <c r="C51" i="7"/>
  <c r="C50" i="7"/>
  <c r="C48" i="7"/>
  <c r="C47" i="7"/>
  <c r="I13" i="6"/>
  <c r="F13" i="6"/>
  <c r="I12" i="6"/>
  <c r="H12" i="6"/>
  <c r="G12" i="6"/>
  <c r="F12" i="6"/>
  <c r="I11" i="6"/>
  <c r="C11" i="6"/>
  <c r="I7" i="6"/>
  <c r="H7" i="6"/>
  <c r="D7" i="6"/>
  <c r="I80" i="5"/>
  <c r="F80" i="5"/>
  <c r="I79" i="5"/>
  <c r="H79" i="5"/>
  <c r="G79" i="5"/>
  <c r="F79" i="5"/>
  <c r="I78" i="5"/>
  <c r="C78" i="5"/>
  <c r="H77" i="5"/>
  <c r="H76" i="5"/>
  <c r="I74" i="5"/>
  <c r="H74" i="5"/>
  <c r="D74" i="5"/>
  <c r="C63" i="5"/>
  <c r="L47" i="5"/>
  <c r="L45" i="5" s="1"/>
  <c r="C37" i="5"/>
  <c r="C35" i="5"/>
  <c r="C30" i="5"/>
  <c r="C28" i="5"/>
  <c r="C27" i="5"/>
  <c r="C24" i="5"/>
  <c r="C23" i="5"/>
  <c r="C22" i="5"/>
  <c r="H51" i="4"/>
  <c r="H48" i="4" s="1"/>
  <c r="C40" i="4"/>
  <c r="C36" i="4"/>
  <c r="C35" i="4"/>
  <c r="C33" i="4"/>
  <c r="C30" i="4"/>
  <c r="C29" i="4"/>
  <c r="C28" i="4"/>
  <c r="C26" i="4"/>
  <c r="C25" i="4"/>
  <c r="C20" i="4"/>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AD3381" i="1"/>
  <c r="AC3381" i="1"/>
  <c r="AE3380" i="1"/>
  <c r="AD3380" i="1"/>
  <c r="AC3380" i="1"/>
  <c r="AE3379" i="1"/>
  <c r="AD3379" i="1"/>
  <c r="AC3379" i="1"/>
  <c r="AE3378" i="1"/>
  <c r="AD3378" i="1"/>
  <c r="AC3378" i="1"/>
  <c r="AE3377" i="1"/>
  <c r="AD3377" i="1"/>
  <c r="AC3377" i="1"/>
  <c r="C29" i="5" s="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AE3347" i="1"/>
  <c r="AD3347" i="1"/>
  <c r="AC3347" i="1"/>
  <c r="AE3346" i="1"/>
  <c r="AD3346" i="1"/>
  <c r="AC3346" i="1"/>
  <c r="AE3345" i="1"/>
  <c r="AD3345" i="1"/>
  <c r="AC3345" i="1"/>
  <c r="AE3344" i="1"/>
  <c r="AD3344" i="1"/>
  <c r="AC3344" i="1"/>
  <c r="AE3343" i="1"/>
  <c r="AD3343" i="1"/>
  <c r="AC3343" i="1"/>
  <c r="AE3342" i="1"/>
  <c r="AD3342" i="1"/>
  <c r="AC3342" i="1"/>
  <c r="AE3341" i="1"/>
  <c r="AD3341" i="1"/>
  <c r="AC3341" i="1"/>
  <c r="AE3340" i="1"/>
  <c r="AD3340" i="1"/>
  <c r="AC3340" i="1"/>
  <c r="AE3339" i="1"/>
  <c r="AD3339" i="1"/>
  <c r="AC3339" i="1"/>
  <c r="AE3338" i="1"/>
  <c r="AD3338" i="1"/>
  <c r="O51" i="4" s="1"/>
  <c r="AC3338" i="1"/>
  <c r="AE3337" i="1"/>
  <c r="AD3337" i="1"/>
  <c r="AC3337" i="1"/>
  <c r="AE3336" i="1"/>
  <c r="AD3336" i="1"/>
  <c r="AC3336" i="1"/>
  <c r="AE3335" i="1"/>
  <c r="AD3335" i="1"/>
  <c r="AC3335" i="1"/>
  <c r="AE3334" i="1"/>
  <c r="AD3334" i="1"/>
  <c r="AC3334" i="1"/>
  <c r="AE3333" i="1"/>
  <c r="AD3333" i="1"/>
  <c r="AC3333" i="1"/>
  <c r="AE3332" i="1"/>
  <c r="AD3332" i="1"/>
  <c r="AC3332" i="1"/>
  <c r="AE3331" i="1"/>
  <c r="AD3331" i="1"/>
  <c r="AC3331" i="1"/>
  <c r="C47" i="13" s="1"/>
  <c r="AE3330" i="1"/>
  <c r="AD3330" i="1"/>
  <c r="AC3330" i="1"/>
  <c r="AE3329" i="1"/>
  <c r="AD3329" i="1"/>
  <c r="AC3329" i="1"/>
  <c r="AE3328" i="1"/>
  <c r="AD3328" i="1"/>
  <c r="AC3328" i="1"/>
  <c r="AE3327" i="1"/>
  <c r="AD3327" i="1"/>
  <c r="AC3327" i="1"/>
  <c r="AE3326" i="1"/>
  <c r="AD3326" i="1"/>
  <c r="B41" i="3" s="1"/>
  <c r="AC3326" i="1"/>
  <c r="B42" i="10" s="1"/>
  <c r="AE3325" i="1"/>
  <c r="AD3325" i="1"/>
  <c r="AC3325" i="1"/>
  <c r="AE3324" i="1"/>
  <c r="AD3324" i="1"/>
  <c r="AC3324" i="1"/>
  <c r="AE3323" i="1"/>
  <c r="AD3323" i="1"/>
  <c r="AC3323" i="1"/>
  <c r="AE3322" i="1"/>
  <c r="AD3322" i="1"/>
  <c r="AC3322" i="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AE3258" i="1"/>
  <c r="AD3258" i="1"/>
  <c r="AC3258" i="1"/>
  <c r="AE3257" i="1"/>
  <c r="AD3257" i="1"/>
  <c r="AC3257" i="1"/>
  <c r="AE3256" i="1"/>
  <c r="AD3256" i="1"/>
  <c r="AC3256" i="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AE3214" i="1"/>
  <c r="AD3214" i="1"/>
  <c r="AC3214" i="1"/>
  <c r="AE3213" i="1"/>
  <c r="AD3213" i="1"/>
  <c r="AC3213" i="1"/>
  <c r="AE3212" i="1"/>
  <c r="AD3212" i="1"/>
  <c r="AC3212" i="1"/>
  <c r="AE3211" i="1"/>
  <c r="AD3211" i="1"/>
  <c r="AC3211" i="1"/>
  <c r="AE3210" i="1"/>
  <c r="AD3210" i="1"/>
  <c r="AC3210" i="1"/>
  <c r="AE3209" i="1"/>
  <c r="AD3209" i="1"/>
  <c r="AC3209" i="1"/>
  <c r="B39" i="3" s="1"/>
  <c r="AE3208" i="1"/>
  <c r="AD3208" i="1"/>
  <c r="AC3208" i="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AE2979" i="1"/>
  <c r="AD2979" i="1"/>
  <c r="AC2979" i="1"/>
  <c r="AE2978" i="1"/>
  <c r="AD2978" i="1"/>
  <c r="AC2978" i="1"/>
  <c r="AE2977" i="1"/>
  <c r="AD2977" i="1"/>
  <c r="AC2977" i="1"/>
  <c r="AE2976" i="1"/>
  <c r="AD2976" i="1"/>
  <c r="AC2976" i="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AE2700" i="1"/>
  <c r="AD2700" i="1"/>
  <c r="AC2700" i="1"/>
  <c r="B38" i="3" s="1"/>
  <c r="AE2699" i="1"/>
  <c r="AD2699" i="1"/>
  <c r="AC2699" i="1"/>
  <c r="AE2698" i="1"/>
  <c r="AD2698" i="1"/>
  <c r="AC2698" i="1"/>
  <c r="AE2697" i="1"/>
  <c r="AD2697" i="1"/>
  <c r="AC2697" i="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AC2688" i="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AE2657" i="1"/>
  <c r="AD2657" i="1"/>
  <c r="AC2657" i="1"/>
  <c r="AE2656" i="1"/>
  <c r="AD2656" i="1"/>
  <c r="AC2656" i="1"/>
  <c r="AE2655" i="1"/>
  <c r="AD2655" i="1"/>
  <c r="AC2655" i="1"/>
  <c r="AE2654" i="1"/>
  <c r="AD2654" i="1"/>
  <c r="AC2654" i="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AE2254" i="1"/>
  <c r="AD2254" i="1"/>
  <c r="B33" i="3" s="1"/>
  <c r="AC2254" i="1"/>
  <c r="AE2253" i="1"/>
  <c r="AD2253" i="1"/>
  <c r="AC2253" i="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AE2241" i="1"/>
  <c r="AD2241" i="1"/>
  <c r="AC2241" i="1"/>
  <c r="I65" i="7" s="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AE2192" i="1"/>
  <c r="AD2192" i="1"/>
  <c r="AC2192" i="1"/>
  <c r="AE2191" i="1"/>
  <c r="AD2191" i="1"/>
  <c r="AC2191" i="1"/>
  <c r="AE2190" i="1"/>
  <c r="AD2190" i="1"/>
  <c r="AC2190" i="1"/>
  <c r="AE2189" i="1"/>
  <c r="AD2189" i="1"/>
  <c r="AC2189" i="1"/>
  <c r="AE2188" i="1"/>
  <c r="AD2188" i="1"/>
  <c r="AC2188" i="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AE2173" i="1"/>
  <c r="AD2173" i="1"/>
  <c r="AC2173" i="1"/>
  <c r="AE2172" i="1"/>
  <c r="AD2172" i="1"/>
  <c r="AC2172" i="1"/>
  <c r="AE2171" i="1"/>
  <c r="AD2171" i="1"/>
  <c r="AC2171" i="1"/>
  <c r="AE2170" i="1"/>
  <c r="AD2170" i="1"/>
  <c r="AC2170" i="1"/>
  <c r="AE2169" i="1"/>
  <c r="AD2169" i="1"/>
  <c r="AC2169" i="1"/>
  <c r="AE2168" i="1"/>
  <c r="AD2168" i="1"/>
  <c r="AC2168" i="1"/>
  <c r="AE2167" i="1"/>
  <c r="AD2167" i="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AE2070" i="1"/>
  <c r="AD2070" i="1"/>
  <c r="AC2070" i="1"/>
  <c r="AE2069" i="1"/>
  <c r="AD2069" i="1"/>
  <c r="AC2069" i="1"/>
  <c r="AE2068" i="1"/>
  <c r="AD2068" i="1"/>
  <c r="AC2068" i="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AE2057" i="1"/>
  <c r="AD2057" i="1"/>
  <c r="AC2057" i="1"/>
  <c r="AE2056" i="1"/>
  <c r="AD2056" i="1"/>
  <c r="AC2056" i="1"/>
  <c r="AE2055" i="1"/>
  <c r="AD2055" i="1"/>
  <c r="AC2055" i="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AE1993" i="1"/>
  <c r="AD1993" i="1"/>
  <c r="AC1993" i="1"/>
  <c r="AE1992" i="1"/>
  <c r="AD1992" i="1"/>
  <c r="AC1992" i="1"/>
  <c r="AE1991" i="1"/>
  <c r="AD1991" i="1"/>
  <c r="AC1991" i="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B15" i="7" s="1"/>
  <c r="AE1960" i="1"/>
  <c r="AD1960" i="1"/>
  <c r="AC1960" i="1"/>
  <c r="AE1959" i="1"/>
  <c r="AD1959" i="1"/>
  <c r="AC1959" i="1"/>
  <c r="AE1958" i="1"/>
  <c r="AD1958" i="1"/>
  <c r="AC1958" i="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AE1946" i="1"/>
  <c r="AD1946" i="1"/>
  <c r="AC1946" i="1"/>
  <c r="AE1945" i="1"/>
  <c r="AD1945" i="1"/>
  <c r="AC1945" i="1"/>
  <c r="B8" i="10" s="1"/>
  <c r="AE1944" i="1"/>
  <c r="AD1944" i="1"/>
  <c r="AC1944" i="1"/>
  <c r="AE1943" i="1"/>
  <c r="AD1943" i="1"/>
  <c r="AC1943" i="1"/>
  <c r="AE1942" i="1"/>
  <c r="AD1942" i="1"/>
  <c r="AC1942" i="1"/>
  <c r="AE1941" i="1"/>
  <c r="AD1941" i="1"/>
  <c r="AC1941" i="1"/>
  <c r="AE1940" i="1"/>
  <c r="AD1940" i="1"/>
  <c r="AC1940" i="1"/>
  <c r="AE1939" i="1"/>
  <c r="AD1939" i="1"/>
  <c r="AC1939" i="1"/>
  <c r="AE1938" i="1"/>
  <c r="AD1938" i="1"/>
  <c r="AC1938" i="1"/>
  <c r="AE1937" i="1"/>
  <c r="AD1937" i="1"/>
  <c r="AC1937" i="1"/>
  <c r="AE1936" i="1"/>
  <c r="AD1936" i="1"/>
  <c r="AC1936" i="1"/>
  <c r="AE1935" i="1"/>
  <c r="AD1935" i="1"/>
  <c r="AC1935" i="1"/>
  <c r="AE1934" i="1"/>
  <c r="AD1934" i="1"/>
  <c r="AC1934" i="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C27" i="4" s="1"/>
  <c r="AC1912" i="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B9" i="3" s="1"/>
  <c r="AE1811" i="1"/>
  <c r="AD1811" i="1"/>
  <c r="AC1811" i="1"/>
  <c r="AE1810" i="1"/>
  <c r="AD1810" i="1"/>
  <c r="AC1810" i="1"/>
  <c r="AE1809" i="1"/>
  <c r="AD1809" i="1"/>
  <c r="AC1809" i="1"/>
  <c r="AE1808" i="1"/>
  <c r="AD1808" i="1"/>
  <c r="AC1808" i="1"/>
  <c r="AE1807" i="1"/>
  <c r="AD1807" i="1"/>
  <c r="AC1807" i="1"/>
  <c r="AE1806" i="1"/>
  <c r="AD1806" i="1"/>
  <c r="AC1806" i="1"/>
  <c r="AE1805" i="1"/>
  <c r="AD1805" i="1"/>
  <c r="AC1805" i="1"/>
  <c r="AE1804" i="1"/>
  <c r="AD1804" i="1"/>
  <c r="AC1804" i="1"/>
  <c r="AE1803" i="1"/>
  <c r="AD1803" i="1"/>
  <c r="AC1803" i="1"/>
  <c r="AE1802" i="1"/>
  <c r="AD1802" i="1"/>
  <c r="AC1802" i="1"/>
  <c r="AE1801" i="1"/>
  <c r="AD1801" i="1"/>
  <c r="AC1801" i="1"/>
  <c r="AE1800" i="1"/>
  <c r="AD1800" i="1"/>
  <c r="AC1800" i="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AE1788" i="1"/>
  <c r="AD1788" i="1"/>
  <c r="AC1788" i="1"/>
  <c r="AE1787" i="1"/>
  <c r="AD1787" i="1"/>
  <c r="AC1787" i="1"/>
  <c r="AE1786" i="1"/>
  <c r="AD1786" i="1"/>
  <c r="AC1786" i="1"/>
  <c r="AE1785" i="1"/>
  <c r="AD1785" i="1"/>
  <c r="AC1785" i="1"/>
  <c r="AE1784" i="1"/>
  <c r="AD1784" i="1"/>
  <c r="AC1784" i="1"/>
  <c r="AE1783" i="1"/>
  <c r="AD1783" i="1"/>
  <c r="AC1783" i="1"/>
  <c r="AE1782" i="1"/>
  <c r="AD1782" i="1"/>
  <c r="AC1782" i="1"/>
  <c r="AE1781" i="1"/>
  <c r="AD1781" i="1"/>
  <c r="AC1781" i="1"/>
  <c r="B32" i="3" s="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I10" i="6" s="1"/>
  <c r="AC1752" i="1"/>
  <c r="AE1751" i="1"/>
  <c r="AD1751" i="1"/>
  <c r="AC1751" i="1"/>
  <c r="I76" i="5" s="1"/>
  <c r="AE1750" i="1"/>
  <c r="AD1750" i="1"/>
  <c r="AC1750" i="1"/>
  <c r="I8" i="6" s="1"/>
  <c r="AE1749" i="1"/>
  <c r="AD1749" i="1"/>
  <c r="AC1749" i="1"/>
  <c r="AE1748" i="1"/>
  <c r="AD1748" i="1"/>
  <c r="AC1748" i="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AE1738" i="1"/>
  <c r="AD1738" i="1"/>
  <c r="AC1738" i="1"/>
  <c r="C187" i="6" s="1"/>
  <c r="AE1737" i="1"/>
  <c r="AD1737" i="1"/>
  <c r="AC1737" i="1"/>
  <c r="F11" i="6" s="1"/>
  <c r="AE1736" i="1"/>
  <c r="AD1736" i="1"/>
  <c r="AC1736" i="1"/>
  <c r="F10" i="6" s="1"/>
  <c r="AE1735" i="1"/>
  <c r="AD1735" i="1"/>
  <c r="AC1735" i="1"/>
  <c r="F9" i="6" s="1"/>
  <c r="AE1734" i="1"/>
  <c r="AD1734" i="1"/>
  <c r="AC1734" i="1"/>
  <c r="AE1733" i="1"/>
  <c r="AD1733" i="1"/>
  <c r="AC1733" i="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AE1719" i="1"/>
  <c r="AD1719" i="1"/>
  <c r="AC1719" i="1"/>
  <c r="C205" i="6" s="1"/>
  <c r="AE1718" i="1"/>
  <c r="AD1718" i="1"/>
  <c r="AC1718" i="1"/>
  <c r="C203" i="6" s="1"/>
  <c r="AE1717" i="1"/>
  <c r="AD1717" i="1"/>
  <c r="AC1717" i="1"/>
  <c r="AE1716" i="1"/>
  <c r="AD1716" i="1"/>
  <c r="AC1716" i="1"/>
  <c r="C201" i="6" s="1"/>
  <c r="AE1715" i="1"/>
  <c r="AD1715" i="1"/>
  <c r="AC1715" i="1"/>
  <c r="C193" i="6" s="1"/>
  <c r="AE1714" i="1"/>
  <c r="AD1714" i="1"/>
  <c r="AC1714" i="1"/>
  <c r="C199" i="6" s="1"/>
  <c r="AE1713" i="1"/>
  <c r="AD1713" i="1"/>
  <c r="AC1713" i="1"/>
  <c r="AE1712" i="1"/>
  <c r="AD1712" i="1"/>
  <c r="AC1712" i="1"/>
  <c r="C200" i="6" s="1"/>
  <c r="AE1711" i="1"/>
  <c r="AD1711" i="1"/>
  <c r="AC1711" i="1"/>
  <c r="AE1710" i="1"/>
  <c r="AD1710" i="1"/>
  <c r="C197" i="6" s="1"/>
  <c r="AC1710" i="1"/>
  <c r="AE1709" i="1"/>
  <c r="AD1709" i="1"/>
  <c r="AC1709" i="1"/>
  <c r="AE1708" i="1"/>
  <c r="AD1708" i="1"/>
  <c r="AC1708" i="1"/>
  <c r="C192" i="6" s="1"/>
  <c r="AE1707" i="1"/>
  <c r="AD1707" i="1"/>
  <c r="AC1707" i="1"/>
  <c r="AE1706" i="1"/>
  <c r="AD1706" i="1"/>
  <c r="AC1706" i="1"/>
  <c r="AE1705" i="1"/>
  <c r="AD1705" i="1"/>
  <c r="AC1705" i="1"/>
  <c r="AE1704" i="1"/>
  <c r="AD1704" i="1"/>
  <c r="AC1704" i="1"/>
  <c r="H11" i="6" s="1"/>
  <c r="AE1703" i="1"/>
  <c r="AD1703" i="1"/>
  <c r="AC1703" i="1"/>
  <c r="AE1702" i="1"/>
  <c r="AD1702" i="1"/>
  <c r="AC1702" i="1"/>
  <c r="H9" i="6" s="1"/>
  <c r="AE1701" i="1"/>
  <c r="AD1701" i="1"/>
  <c r="AC1701" i="1"/>
  <c r="H8" i="6" s="1"/>
  <c r="AE1700" i="1"/>
  <c r="AD1700" i="1"/>
  <c r="AC1700" i="1"/>
  <c r="G80" i="5" s="1"/>
  <c r="AE1699" i="1"/>
  <c r="AD1699" i="1"/>
  <c r="AC1699" i="1"/>
  <c r="AE1698" i="1"/>
  <c r="AD1698" i="1"/>
  <c r="AC1698" i="1"/>
  <c r="G77" i="5" s="1"/>
  <c r="AE1697" i="1"/>
  <c r="AD1697" i="1"/>
  <c r="AC1697" i="1"/>
  <c r="AE1696" i="1"/>
  <c r="AD1696" i="1"/>
  <c r="AC1696" i="1"/>
  <c r="G75" i="5" s="1"/>
  <c r="AE1695" i="1"/>
  <c r="AD1695" i="1"/>
  <c r="AC1695" i="1"/>
  <c r="AE1694" i="1"/>
  <c r="AD1694" i="1"/>
  <c r="AC1694" i="1"/>
  <c r="AE1693" i="1"/>
  <c r="AD1693" i="1"/>
  <c r="AC1693" i="1"/>
  <c r="AE1692" i="1"/>
  <c r="AD1692" i="1"/>
  <c r="AC1692" i="1"/>
  <c r="AE1691" i="1"/>
  <c r="AD1691" i="1"/>
  <c r="AC1691" i="1"/>
  <c r="AE1690" i="1"/>
  <c r="AD1690" i="1"/>
  <c r="AC1690" i="1"/>
  <c r="AE1689" i="1"/>
  <c r="AD1689" i="1"/>
  <c r="AC1689" i="1"/>
  <c r="AE1688" i="1"/>
  <c r="AD1688" i="1"/>
  <c r="AC1688" i="1"/>
  <c r="AE1687" i="1"/>
  <c r="AD1687" i="1"/>
  <c r="AC1687" i="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AE1588" i="1"/>
  <c r="AD1588" i="1"/>
  <c r="AC1588" i="1"/>
  <c r="C89" i="6" s="1"/>
  <c r="AE1587" i="1"/>
  <c r="AD1587" i="1"/>
  <c r="AC1587" i="1"/>
  <c r="C93" i="6" s="1"/>
  <c r="AE1586" i="1"/>
  <c r="AD1586" i="1"/>
  <c r="AC1586" i="1"/>
  <c r="C94" i="6" s="1"/>
  <c r="AE1585" i="1"/>
  <c r="AD1585" i="1"/>
  <c r="AC1585" i="1"/>
  <c r="C91" i="6" s="1"/>
  <c r="AE1584" i="1"/>
  <c r="AD1584" i="1"/>
  <c r="AC1584" i="1"/>
  <c r="C90" i="6" s="1"/>
  <c r="AE1583" i="1"/>
  <c r="AD1583" i="1"/>
  <c r="AC1583" i="1"/>
  <c r="AE1582" i="1"/>
  <c r="AD1582" i="1"/>
  <c r="C87" i="6" s="1"/>
  <c r="AC1582" i="1"/>
  <c r="AE1581" i="1"/>
  <c r="AD1581" i="1"/>
  <c r="AC1581" i="1"/>
  <c r="AE1580" i="1"/>
  <c r="AD1580" i="1"/>
  <c r="AC1580" i="1"/>
  <c r="C85" i="6" s="1"/>
  <c r="AE1579" i="1"/>
  <c r="AD1579" i="1"/>
  <c r="AC1579" i="1"/>
  <c r="AE1578" i="1"/>
  <c r="AD1578" i="1"/>
  <c r="AC1578" i="1"/>
  <c r="C121" i="6" s="1"/>
  <c r="AE1577" i="1"/>
  <c r="AD1577" i="1"/>
  <c r="AC1577" i="1"/>
  <c r="C122" i="6" s="1"/>
  <c r="AE1576" i="1"/>
  <c r="AD1576" i="1"/>
  <c r="AC1576" i="1"/>
  <c r="AE1575" i="1"/>
  <c r="AD1575" i="1"/>
  <c r="AC1575" i="1"/>
  <c r="AE1574" i="1"/>
  <c r="AD1574" i="1"/>
  <c r="AC1574" i="1"/>
  <c r="C116" i="6" s="1"/>
  <c r="AE1573" i="1"/>
  <c r="AD1573" i="1"/>
  <c r="AC1573" i="1"/>
  <c r="AE1572" i="1"/>
  <c r="AD1572" i="1"/>
  <c r="AC1572" i="1"/>
  <c r="C119" i="6" s="1"/>
  <c r="AE1571" i="1"/>
  <c r="AD1571" i="1"/>
  <c r="AC1571" i="1"/>
  <c r="C115" i="6" s="1"/>
  <c r="AE1570" i="1"/>
  <c r="AD1570" i="1"/>
  <c r="AC1570" i="1"/>
  <c r="C118" i="6" s="1"/>
  <c r="AE1569" i="1"/>
  <c r="AD1569" i="1"/>
  <c r="AC1569" i="1"/>
  <c r="C113" i="6" s="1"/>
  <c r="AE1568" i="1"/>
  <c r="AD1568" i="1"/>
  <c r="AC1568" i="1"/>
  <c r="C112" i="6" s="1"/>
  <c r="AE1567" i="1"/>
  <c r="AD1567" i="1"/>
  <c r="AC1567" i="1"/>
  <c r="AE1566" i="1"/>
  <c r="AD1566" i="1"/>
  <c r="AC1566" i="1"/>
  <c r="AE1565" i="1"/>
  <c r="AD1565" i="1"/>
  <c r="AC1565" i="1"/>
  <c r="C107" i="6" s="1"/>
  <c r="AE1564" i="1"/>
  <c r="AD1564" i="1"/>
  <c r="AC1564" i="1"/>
  <c r="C104" i="6" s="1"/>
  <c r="AE1563" i="1"/>
  <c r="AD1563" i="1"/>
  <c r="AC1563" i="1"/>
  <c r="AE1562" i="1"/>
  <c r="AD1562" i="1"/>
  <c r="AC1562" i="1"/>
  <c r="C110" i="6" s="1"/>
  <c r="AE1561" i="1"/>
  <c r="AD1561" i="1"/>
  <c r="AC1561" i="1"/>
  <c r="C105" i="6" s="1"/>
  <c r="AE1560" i="1"/>
  <c r="AD1560" i="1"/>
  <c r="AC1560" i="1"/>
  <c r="AE1559" i="1"/>
  <c r="AD1559" i="1"/>
  <c r="AC1559" i="1"/>
  <c r="C108" i="6" s="1"/>
  <c r="AE1558" i="1"/>
  <c r="AD1558" i="1"/>
  <c r="AC1558" i="1"/>
  <c r="C101" i="6" s="1"/>
  <c r="AE1557" i="1"/>
  <c r="AD1557" i="1"/>
  <c r="AC1557" i="1"/>
  <c r="AE1556" i="1"/>
  <c r="AD1556" i="1"/>
  <c r="AC1556" i="1"/>
  <c r="C103" i="6" s="1"/>
  <c r="AE1555" i="1"/>
  <c r="AD1555" i="1"/>
  <c r="AC1555" i="1"/>
  <c r="C97" i="6" s="1"/>
  <c r="AE1554" i="1"/>
  <c r="AD1554" i="1"/>
  <c r="AC1554" i="1"/>
  <c r="C98" i="6" s="1"/>
  <c r="AE1553" i="1"/>
  <c r="AD1553" i="1"/>
  <c r="AC1553" i="1"/>
  <c r="C100" i="6" s="1"/>
  <c r="AE1552" i="1"/>
  <c r="AD1552" i="1"/>
  <c r="AC1552" i="1"/>
  <c r="C96" i="6" s="1"/>
  <c r="AE1551" i="1"/>
  <c r="AD1551" i="1"/>
  <c r="AC1551" i="1"/>
  <c r="AE1550" i="1"/>
  <c r="AD1550" i="1"/>
  <c r="E80" i="5" s="1"/>
  <c r="AC1550" i="1"/>
  <c r="AE1549" i="1"/>
  <c r="AD1549" i="1"/>
  <c r="AC1549" i="1"/>
  <c r="AE1548" i="1"/>
  <c r="AD1548" i="1"/>
  <c r="AC1548" i="1"/>
  <c r="AE1547" i="1"/>
  <c r="AD1547" i="1"/>
  <c r="AC1547" i="1"/>
  <c r="AE1546" i="1"/>
  <c r="AD1546" i="1"/>
  <c r="AC1546" i="1"/>
  <c r="AE1545" i="1"/>
  <c r="AD1545" i="1"/>
  <c r="AC1545" i="1"/>
  <c r="E75" i="5" s="1"/>
  <c r="AE1544" i="1"/>
  <c r="AD1544" i="1"/>
  <c r="AC1544" i="1"/>
  <c r="E74" i="5" s="1"/>
  <c r="AE1543" i="1"/>
  <c r="AD1543" i="1"/>
  <c r="AC1543" i="1"/>
  <c r="AE1542" i="1"/>
  <c r="AD1542" i="1"/>
  <c r="AC1542" i="1"/>
  <c r="AE1541" i="1"/>
  <c r="AD1541" i="1"/>
  <c r="AC1541" i="1"/>
  <c r="AE1540" i="1"/>
  <c r="AD1540" i="1"/>
  <c r="AC1540" i="1"/>
  <c r="AE1539" i="1"/>
  <c r="AD1539" i="1"/>
  <c r="AC1539" i="1"/>
  <c r="AE1538" i="1"/>
  <c r="AD1538" i="1"/>
  <c r="AC1538" i="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C151" i="6" s="1"/>
  <c r="AE1489" i="1"/>
  <c r="AD1489" i="1"/>
  <c r="AC1489" i="1"/>
  <c r="C155" i="6" s="1"/>
  <c r="AE1488" i="1"/>
  <c r="AD1488" i="1"/>
  <c r="AC1488" i="1"/>
  <c r="C156" i="6" s="1"/>
  <c r="AE1487" i="1"/>
  <c r="AD1487" i="1"/>
  <c r="AC1487" i="1"/>
  <c r="AE1486" i="1"/>
  <c r="AD1486" i="1"/>
  <c r="C149" i="6" s="1"/>
  <c r="AC1486" i="1"/>
  <c r="AE1485" i="1"/>
  <c r="AD1485" i="1"/>
  <c r="AC1485" i="1"/>
  <c r="AE1484" i="1"/>
  <c r="AD1484" i="1"/>
  <c r="AC1484" i="1"/>
  <c r="C152" i="6" s="1"/>
  <c r="AE1483" i="1"/>
  <c r="AD1483" i="1"/>
  <c r="AC1483" i="1"/>
  <c r="AE1482" i="1"/>
  <c r="AD1482" i="1"/>
  <c r="AC1482" i="1"/>
  <c r="C174" i="6" s="1"/>
  <c r="AE1481" i="1"/>
  <c r="AD1481" i="1"/>
  <c r="AC1481" i="1"/>
  <c r="C178" i="6" s="1"/>
  <c r="AE1480" i="1"/>
  <c r="AD1480" i="1"/>
  <c r="AC1480" i="1"/>
  <c r="AE1479" i="1"/>
  <c r="AD1479" i="1"/>
  <c r="AC1479" i="1"/>
  <c r="AE1478" i="1"/>
  <c r="AD1478" i="1"/>
  <c r="AC1478" i="1"/>
  <c r="AE1477" i="1"/>
  <c r="AD1477" i="1"/>
  <c r="AC1477" i="1"/>
  <c r="AE1476" i="1"/>
  <c r="AD1476" i="1"/>
  <c r="AC1476" i="1"/>
  <c r="C175" i="6" s="1"/>
  <c r="AE1475" i="1"/>
  <c r="AD1475" i="1"/>
  <c r="AC1475" i="1"/>
  <c r="C179" i="6" s="1"/>
  <c r="AE1474" i="1"/>
  <c r="AD1474" i="1"/>
  <c r="AC1474" i="1"/>
  <c r="C164" i="6" s="1"/>
  <c r="AE1473" i="1"/>
  <c r="AD1473" i="1"/>
  <c r="AC1473" i="1"/>
  <c r="C159" i="6" s="1"/>
  <c r="AE1472" i="1"/>
  <c r="AD1472" i="1"/>
  <c r="AC1472" i="1"/>
  <c r="C167" i="6" s="1"/>
  <c r="AE1471" i="1"/>
  <c r="AD1471" i="1"/>
  <c r="AC1471" i="1"/>
  <c r="AE1470" i="1"/>
  <c r="AD1470" i="1"/>
  <c r="AC1470" i="1"/>
  <c r="AE1469" i="1"/>
  <c r="AD1469" i="1"/>
  <c r="AC1469" i="1"/>
  <c r="C173" i="6" s="1"/>
  <c r="AE1468" i="1"/>
  <c r="AD1468" i="1"/>
  <c r="AC1468" i="1"/>
  <c r="C170" i="6" s="1"/>
  <c r="AE1467" i="1"/>
  <c r="AD1467" i="1"/>
  <c r="AC1467" i="1"/>
  <c r="AE1466" i="1"/>
  <c r="AD1466" i="1"/>
  <c r="AC1466" i="1"/>
  <c r="C165" i="6" s="1"/>
  <c r="AE1465" i="1"/>
  <c r="AD1465" i="1"/>
  <c r="AC1465" i="1"/>
  <c r="C169" i="6" s="1"/>
  <c r="AE1464" i="1"/>
  <c r="AD1464" i="1"/>
  <c r="AC1464" i="1"/>
  <c r="AE1463" i="1"/>
  <c r="AD1463" i="1"/>
  <c r="AC1463" i="1"/>
  <c r="AE1462" i="1"/>
  <c r="AD1462" i="1"/>
  <c r="AC1462" i="1"/>
  <c r="AE1461" i="1"/>
  <c r="AD1461" i="1"/>
  <c r="AC1461" i="1"/>
  <c r="AE1460" i="1"/>
  <c r="AD1460" i="1"/>
  <c r="AC1460" i="1"/>
  <c r="C160" i="6" s="1"/>
  <c r="AE1459" i="1"/>
  <c r="AD1459" i="1"/>
  <c r="AC1459" i="1"/>
  <c r="AE1458" i="1"/>
  <c r="AD1458" i="1"/>
  <c r="AC1458" i="1"/>
  <c r="C158" i="6" s="1"/>
  <c r="AE1457" i="1"/>
  <c r="AD1457" i="1"/>
  <c r="AC1457" i="1"/>
  <c r="AE1456" i="1"/>
  <c r="AD1456" i="1"/>
  <c r="AC1456" i="1"/>
  <c r="AE1455" i="1"/>
  <c r="AD1455" i="1"/>
  <c r="AC1455" i="1"/>
  <c r="AE1454" i="1"/>
  <c r="AD1454" i="1"/>
  <c r="D10" i="6" s="1"/>
  <c r="AC1454" i="1"/>
  <c r="AE1453" i="1"/>
  <c r="AD1453" i="1"/>
  <c r="AC1453" i="1"/>
  <c r="AE1452" i="1"/>
  <c r="AD1452" i="1"/>
  <c r="AC1452" i="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AE1367" i="1"/>
  <c r="AD1367" i="1"/>
  <c r="AC1367" i="1"/>
  <c r="AE1366" i="1"/>
  <c r="AD1366" i="1"/>
  <c r="AC1366" i="1"/>
  <c r="AE1365" i="1"/>
  <c r="AD1365" i="1"/>
  <c r="AC1365" i="1"/>
  <c r="AE1364" i="1"/>
  <c r="AD1364" i="1"/>
  <c r="AC1364" i="1"/>
  <c r="C238" i="6" s="1"/>
  <c r="AE1363" i="1"/>
  <c r="AD1363" i="1"/>
  <c r="AC1363" i="1"/>
  <c r="C139" i="6" s="1"/>
  <c r="AE1362" i="1"/>
  <c r="AD1362" i="1"/>
  <c r="AC1362" i="1"/>
  <c r="C143" i="6" s="1"/>
  <c r="AE1361" i="1"/>
  <c r="AD1361" i="1"/>
  <c r="AC1361" i="1"/>
  <c r="AE1360" i="1"/>
  <c r="AD1360" i="1"/>
  <c r="AC1360" i="1"/>
  <c r="C141" i="6" s="1"/>
  <c r="AE1359" i="1"/>
  <c r="AD1359" i="1"/>
  <c r="AC1359" i="1"/>
  <c r="AE1358" i="1"/>
  <c r="AD1358" i="1"/>
  <c r="C144" i="6" s="1"/>
  <c r="AC1358" i="1"/>
  <c r="AE1357" i="1"/>
  <c r="AD1357" i="1"/>
  <c r="AC1357" i="1"/>
  <c r="AE1356" i="1"/>
  <c r="AD1356" i="1"/>
  <c r="AC1356" i="1"/>
  <c r="C138" i="6" s="1"/>
  <c r="AE1355" i="1"/>
  <c r="AD1355" i="1"/>
  <c r="AC1355" i="1"/>
  <c r="AE1354" i="1"/>
  <c r="AD1354" i="1"/>
  <c r="AC1354" i="1"/>
  <c r="C137" i="6" s="1"/>
  <c r="AE1353" i="1"/>
  <c r="AD1353" i="1"/>
  <c r="AC1353" i="1"/>
  <c r="C136" i="6" s="1"/>
  <c r="AE1352" i="1"/>
  <c r="AD1352" i="1"/>
  <c r="AC1352" i="1"/>
  <c r="AE1351" i="1"/>
  <c r="AD1351" i="1"/>
  <c r="AC1351" i="1"/>
  <c r="AE1350" i="1"/>
  <c r="AD1350" i="1"/>
  <c r="AC1350" i="1"/>
  <c r="AE1349" i="1"/>
  <c r="AD1349" i="1"/>
  <c r="AC1349" i="1"/>
  <c r="AE1348" i="1"/>
  <c r="AD1348" i="1"/>
  <c r="AC1348" i="1"/>
  <c r="AE1347" i="1"/>
  <c r="AD1347" i="1"/>
  <c r="AC1347" i="1"/>
  <c r="AE1346" i="1"/>
  <c r="AD1346" i="1"/>
  <c r="AC1346" i="1"/>
  <c r="AE1345" i="1"/>
  <c r="AD1345" i="1"/>
  <c r="AC1345" i="1"/>
  <c r="C13" i="6" s="1"/>
  <c r="AE1344" i="1"/>
  <c r="AD1344" i="1"/>
  <c r="AC1344" i="1"/>
  <c r="C79" i="5" s="1"/>
  <c r="AE1343" i="1"/>
  <c r="AD1343" i="1"/>
  <c r="AC1343" i="1"/>
  <c r="AE1342" i="1"/>
  <c r="AD1342" i="1"/>
  <c r="C9" i="6" s="1"/>
  <c r="AC1342" i="1"/>
  <c r="AE1341" i="1"/>
  <c r="AD1341" i="1"/>
  <c r="AC1341" i="1"/>
  <c r="AE1340" i="1"/>
  <c r="AD1340" i="1"/>
  <c r="AC1340" i="1"/>
  <c r="C74" i="5" s="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AE1220" i="1"/>
  <c r="AD1220" i="1"/>
  <c r="AC1220" i="1"/>
  <c r="C35" i="6" s="1"/>
  <c r="AE1219" i="1"/>
  <c r="AD1219" i="1"/>
  <c r="AC1219" i="1"/>
  <c r="C36" i="6" s="1"/>
  <c r="AE1218" i="1"/>
  <c r="AD1218" i="1"/>
  <c r="AC1218" i="1"/>
  <c r="C37" i="6" s="1"/>
  <c r="AE1217" i="1"/>
  <c r="AD1217" i="1"/>
  <c r="AC1217" i="1"/>
  <c r="C32" i="6" s="1"/>
  <c r="AE1216" i="1"/>
  <c r="AD1216" i="1"/>
  <c r="AC1216" i="1"/>
  <c r="C29" i="6" s="1"/>
  <c r="AE1215" i="1"/>
  <c r="AD1215" i="1"/>
  <c r="AC1215" i="1"/>
  <c r="AE1214" i="1"/>
  <c r="AD1214" i="1"/>
  <c r="AC1214" i="1"/>
  <c r="AE1213" i="1"/>
  <c r="AD1213" i="1"/>
  <c r="AC1213" i="1"/>
  <c r="C27" i="6" s="1"/>
  <c r="AE1212" i="1"/>
  <c r="AD1212" i="1"/>
  <c r="AC1212" i="1"/>
  <c r="AE1211" i="1"/>
  <c r="AD1211" i="1"/>
  <c r="AC1211" i="1"/>
  <c r="AE1210" i="1"/>
  <c r="AD1210" i="1"/>
  <c r="AC1210" i="1"/>
  <c r="AE1209" i="1"/>
  <c r="AD1209" i="1"/>
  <c r="AC1209" i="1"/>
  <c r="C239" i="6" s="1"/>
  <c r="AE1208" i="1"/>
  <c r="AD1208" i="1"/>
  <c r="AC1208" i="1"/>
  <c r="AE1207" i="1"/>
  <c r="AD1207" i="1"/>
  <c r="AC1207" i="1"/>
  <c r="AE1206" i="1"/>
  <c r="AD1206" i="1"/>
  <c r="AC1206" i="1"/>
  <c r="AE1205" i="1"/>
  <c r="AD1205" i="1"/>
  <c r="AC1205" i="1"/>
  <c r="AE1204" i="1"/>
  <c r="AD1204" i="1"/>
  <c r="AC1204" i="1"/>
  <c r="C73" i="6" s="1"/>
  <c r="AE1203" i="1"/>
  <c r="AD1203" i="1"/>
  <c r="AC1203" i="1"/>
  <c r="AE1202" i="1"/>
  <c r="AD1202" i="1"/>
  <c r="AC1202" i="1"/>
  <c r="C67" i="6" s="1"/>
  <c r="AE1201" i="1"/>
  <c r="AD1201" i="1"/>
  <c r="AC1201" i="1"/>
  <c r="C66" i="6" s="1"/>
  <c r="AE1200" i="1"/>
  <c r="AD1200" i="1"/>
  <c r="AC1200" i="1"/>
  <c r="C62" i="6" s="1"/>
  <c r="AE1199" i="1"/>
  <c r="AD1199" i="1"/>
  <c r="AC1199" i="1"/>
  <c r="C50" i="6" s="1"/>
  <c r="AE1198" i="1"/>
  <c r="AD1198" i="1"/>
  <c r="AC1198" i="1"/>
  <c r="AE1197" i="1"/>
  <c r="AD1197" i="1"/>
  <c r="AC1197" i="1"/>
  <c r="AE1196" i="1"/>
  <c r="AD1196" i="1"/>
  <c r="AC1196" i="1"/>
  <c r="C61" i="6" s="1"/>
  <c r="AE1195" i="1"/>
  <c r="AD1195" i="1"/>
  <c r="AC1195" i="1"/>
  <c r="AE1194" i="1"/>
  <c r="AD1194" i="1"/>
  <c r="AC1194" i="1"/>
  <c r="C58" i="6" s="1"/>
  <c r="AE1193" i="1"/>
  <c r="AD1193" i="1"/>
  <c r="AC1193" i="1"/>
  <c r="C56" i="6" s="1"/>
  <c r="AE1192" i="1"/>
  <c r="AD1192" i="1"/>
  <c r="AC1192" i="1"/>
  <c r="AE1191" i="1"/>
  <c r="AD1191" i="1"/>
  <c r="AC1191" i="1"/>
  <c r="AE1190" i="1"/>
  <c r="AD1190" i="1"/>
  <c r="AC1190" i="1"/>
  <c r="C218" i="6" s="1"/>
  <c r="AE1189" i="1"/>
  <c r="AD1189" i="1"/>
  <c r="AC1189" i="1"/>
  <c r="C43" i="6" s="1"/>
  <c r="AE1188" i="1"/>
  <c r="AD1188" i="1"/>
  <c r="AC1188" i="1"/>
  <c r="AE1187" i="1"/>
  <c r="AD1187" i="1"/>
  <c r="AC1187" i="1"/>
  <c r="AE1186" i="1"/>
  <c r="AD1186" i="1"/>
  <c r="AC1186" i="1"/>
  <c r="AE1185" i="1"/>
  <c r="AD1185" i="1"/>
  <c r="AC1185" i="1"/>
  <c r="AE1184" i="1"/>
  <c r="AD1184" i="1"/>
  <c r="AC1184" i="1"/>
  <c r="AE1183" i="1"/>
  <c r="AD1183" i="1"/>
  <c r="AC1183" i="1"/>
  <c r="AE1182" i="1"/>
  <c r="AD1182" i="1"/>
  <c r="AC1182" i="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C33" i="6" s="1"/>
  <c r="AE1120" i="1"/>
  <c r="AD1120" i="1"/>
  <c r="AC1120" i="1"/>
  <c r="C31" i="6" s="1"/>
  <c r="AE1119" i="1"/>
  <c r="AD1119" i="1"/>
  <c r="AC1119" i="1"/>
  <c r="C34" i="6" s="1"/>
  <c r="AE1118" i="1"/>
  <c r="AD1118" i="1"/>
  <c r="AC1118" i="1"/>
  <c r="AE1117" i="1"/>
  <c r="AD1117" i="1"/>
  <c r="AC1117" i="1"/>
  <c r="AE1116" i="1"/>
  <c r="AD1116" i="1"/>
  <c r="AC1116" i="1"/>
  <c r="AE1115" i="1"/>
  <c r="AD1115" i="1"/>
  <c r="AC1115" i="1"/>
  <c r="AE1114" i="1"/>
  <c r="AD1114" i="1"/>
  <c r="AC1114" i="1"/>
  <c r="C79" i="6" s="1"/>
  <c r="AE1113" i="1"/>
  <c r="AD1113" i="1"/>
  <c r="AC1113" i="1"/>
  <c r="C71" i="6" s="1"/>
  <c r="AE1112" i="1"/>
  <c r="AD1112" i="1"/>
  <c r="AC1112" i="1"/>
  <c r="AE1111" i="1"/>
  <c r="AD1111" i="1"/>
  <c r="AC1111" i="1"/>
  <c r="AE1110" i="1"/>
  <c r="AD1110" i="1"/>
  <c r="AC1110" i="1"/>
  <c r="C225" i="6" s="1"/>
  <c r="AE1109" i="1"/>
  <c r="AD1109" i="1"/>
  <c r="AC1109" i="1"/>
  <c r="AE1108" i="1"/>
  <c r="AD1108" i="1"/>
  <c r="AC1108" i="1"/>
  <c r="AE1107" i="1"/>
  <c r="AD1107" i="1"/>
  <c r="AC1107" i="1"/>
  <c r="AE1106" i="1"/>
  <c r="AD1106" i="1"/>
  <c r="AC1106" i="1"/>
  <c r="C59" i="6" s="1"/>
  <c r="AE1105" i="1"/>
  <c r="AD1105" i="1"/>
  <c r="AC1105" i="1"/>
  <c r="C65" i="6" s="1"/>
  <c r="AE1104" i="1"/>
  <c r="AD1104" i="1"/>
  <c r="AC1104" i="1"/>
  <c r="C46" i="6" s="1"/>
  <c r="AE1103" i="1"/>
  <c r="AD1103" i="1"/>
  <c r="AC1103" i="1"/>
  <c r="C69" i="6" s="1"/>
  <c r="AE1102" i="1"/>
  <c r="AD1102" i="1"/>
  <c r="AC1102" i="1"/>
  <c r="AE1101" i="1"/>
  <c r="AD1101" i="1"/>
  <c r="AC1101" i="1"/>
  <c r="AE1100" i="1"/>
  <c r="AD1100" i="1"/>
  <c r="AC1100" i="1"/>
  <c r="AE1099" i="1"/>
  <c r="AD1099" i="1"/>
  <c r="AC1099" i="1"/>
  <c r="C60" i="6" s="1"/>
  <c r="AE1098" i="1"/>
  <c r="AD1098" i="1"/>
  <c r="AC1098" i="1"/>
  <c r="AE1097" i="1"/>
  <c r="AD1097" i="1"/>
  <c r="AC1097" i="1"/>
  <c r="AE1096" i="1"/>
  <c r="AD1096" i="1"/>
  <c r="AC1096" i="1"/>
  <c r="AE1095" i="1"/>
  <c r="AD1095" i="1"/>
  <c r="AC1095" i="1"/>
  <c r="AE1094" i="1"/>
  <c r="AD1094" i="1"/>
  <c r="AC1094" i="1"/>
  <c r="AE1093" i="1"/>
  <c r="AD1093" i="1"/>
  <c r="AC1093" i="1"/>
  <c r="B78" i="5" s="1"/>
  <c r="AE1092" i="1"/>
  <c r="AD1092" i="1"/>
  <c r="AC1092" i="1"/>
  <c r="AE1091" i="1"/>
  <c r="AD1091" i="1"/>
  <c r="AC1091" i="1"/>
  <c r="B9" i="6" s="1"/>
  <c r="AE1090" i="1"/>
  <c r="AD1090" i="1"/>
  <c r="AC1090" i="1"/>
  <c r="AE1089" i="1"/>
  <c r="AD1089" i="1"/>
  <c r="AC1089" i="1"/>
  <c r="B74" i="5" s="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AE82" i="1"/>
  <c r="AD82" i="1"/>
  <c r="AC82" i="1"/>
  <c r="AE81" i="1"/>
  <c r="AD81" i="1"/>
  <c r="AC81" i="1"/>
  <c r="AE80" i="1"/>
  <c r="AD80" i="1"/>
  <c r="AC80" i="1"/>
  <c r="AE79" i="1"/>
  <c r="AD79" i="1"/>
  <c r="AC79" i="1"/>
  <c r="AE78" i="1"/>
  <c r="AD78" i="1"/>
  <c r="AC78" i="1"/>
  <c r="AE77" i="1"/>
  <c r="AD77" i="1"/>
  <c r="AC77" i="1"/>
  <c r="AE76" i="1"/>
  <c r="AD76" i="1"/>
  <c r="AC76" i="1"/>
  <c r="AE75" i="1"/>
  <c r="AD75" i="1"/>
  <c r="AC75" i="1"/>
  <c r="AE74" i="1"/>
  <c r="AD74" i="1"/>
  <c r="AC74" i="1"/>
  <c r="AE73" i="1"/>
  <c r="AD73" i="1"/>
  <c r="AC73" i="1"/>
  <c r="AE72" i="1"/>
  <c r="AD72" i="1"/>
  <c r="AC72" i="1"/>
  <c r="AE71" i="1"/>
  <c r="AD71" i="1"/>
  <c r="AC71" i="1"/>
  <c r="AE70" i="1"/>
  <c r="AD70" i="1"/>
  <c r="AC70" i="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B6" i="4" s="1"/>
  <c r="AC56" i="1"/>
  <c r="AE55" i="1"/>
  <c r="AD55" i="1"/>
  <c r="AC55" i="1"/>
  <c r="C19" i="5" s="1"/>
  <c r="AE54" i="1"/>
  <c r="AD54" i="1"/>
  <c r="AC54" i="1"/>
  <c r="AE53" i="1"/>
  <c r="AD53" i="1"/>
  <c r="AC53" i="1"/>
  <c r="AE52" i="1"/>
  <c r="AD52" i="1"/>
  <c r="AC52" i="1"/>
  <c r="C62" i="5" s="1"/>
  <c r="AE51" i="1"/>
  <c r="AD51" i="1"/>
  <c r="AC51" i="1"/>
  <c r="AE50" i="1"/>
  <c r="AD50" i="1"/>
  <c r="AC50" i="1"/>
  <c r="AE49" i="1"/>
  <c r="AD49" i="1"/>
  <c r="AC49" i="1"/>
  <c r="C67" i="4" s="1"/>
  <c r="AE48" i="1"/>
  <c r="AD48" i="1"/>
  <c r="AC48" i="1"/>
  <c r="AE47" i="1"/>
  <c r="AD47" i="1"/>
  <c r="AC47" i="1"/>
  <c r="AE46" i="1"/>
  <c r="AD46" i="1"/>
  <c r="AC46" i="1"/>
  <c r="AE45" i="1"/>
  <c r="AD45" i="1"/>
  <c r="AC45" i="1"/>
  <c r="G99" i="5" s="1"/>
  <c r="AE44" i="1"/>
  <c r="AD44" i="1"/>
  <c r="AC44" i="1"/>
  <c r="AE43" i="1"/>
  <c r="AD43" i="1"/>
  <c r="E51" i="4" s="1"/>
  <c r="AC43" i="1"/>
  <c r="C47" i="5" s="1"/>
  <c r="AE42" i="1"/>
  <c r="AD42" i="1"/>
  <c r="AC42" i="1"/>
  <c r="AE41" i="1"/>
  <c r="AD41" i="1"/>
  <c r="AC41" i="1"/>
  <c r="AE40" i="1"/>
  <c r="AD40" i="1"/>
  <c r="AC40" i="1"/>
  <c r="AE39" i="1"/>
  <c r="AD39" i="1"/>
  <c r="AC39" i="1"/>
  <c r="E99" i="5" s="1"/>
  <c r="AE38" i="1"/>
  <c r="AD38" i="1"/>
  <c r="AC38" i="1"/>
  <c r="AE37" i="1"/>
  <c r="AD37" i="1"/>
  <c r="AC37" i="1"/>
  <c r="AE36" i="1"/>
  <c r="AD36" i="1"/>
  <c r="AC36" i="1"/>
  <c r="AE35" i="1"/>
  <c r="AD35" i="1"/>
  <c r="AC35" i="1"/>
  <c r="AE34" i="1"/>
  <c r="AD34" i="1"/>
  <c r="AC34" i="1"/>
  <c r="AE33" i="1"/>
  <c r="AD33" i="1"/>
  <c r="AC33" i="1"/>
  <c r="D99" i="5" s="1"/>
  <c r="AE32" i="1"/>
  <c r="AD32" i="1"/>
  <c r="AC32" i="1"/>
  <c r="C61" i="5" s="1"/>
  <c r="AE31" i="1"/>
  <c r="AD31" i="1"/>
  <c r="AC31" i="1"/>
  <c r="AE30" i="1"/>
  <c r="AD30" i="1"/>
  <c r="AC30" i="1"/>
  <c r="AE29" i="1"/>
  <c r="AD29" i="1"/>
  <c r="AC29" i="1"/>
  <c r="AE28" i="1"/>
  <c r="AD28" i="1"/>
  <c r="AC28" i="1"/>
  <c r="AE27" i="1"/>
  <c r="AD27" i="1"/>
  <c r="AC27" i="1"/>
  <c r="AE26" i="1"/>
  <c r="AD26" i="1"/>
  <c r="AC26" i="1"/>
  <c r="AE25" i="1"/>
  <c r="AD25" i="1"/>
  <c r="AC25" i="1"/>
  <c r="C53" i="5" s="1"/>
  <c r="AE24" i="1"/>
  <c r="AD24" i="1"/>
  <c r="AC24" i="1"/>
  <c r="AE23" i="1"/>
  <c r="AD23" i="1"/>
  <c r="AC23" i="1"/>
  <c r="AE22" i="1"/>
  <c r="AD22" i="1"/>
  <c r="AC22" i="1"/>
  <c r="AE21" i="1"/>
  <c r="AD21" i="1"/>
  <c r="AC21" i="1"/>
  <c r="AE20" i="1"/>
  <c r="AD20" i="1"/>
  <c r="AC20" i="1"/>
  <c r="AE19" i="1"/>
  <c r="AD19" i="1"/>
  <c r="AC19" i="1"/>
  <c r="AE18" i="1"/>
  <c r="AD18" i="1"/>
  <c r="AC18" i="1"/>
  <c r="AE17" i="1"/>
  <c r="AD17" i="1"/>
  <c r="AC17" i="1"/>
  <c r="AE16" i="1"/>
  <c r="AD16" i="1"/>
  <c r="AC16" i="1"/>
  <c r="AE15" i="1"/>
  <c r="AD15" i="1"/>
  <c r="AC15" i="1"/>
  <c r="AE14" i="1"/>
  <c r="AD14" i="1"/>
  <c r="AC14" i="1"/>
  <c r="AE13" i="1"/>
  <c r="AD13" i="1"/>
  <c r="AC13" i="1"/>
  <c r="AE12" i="1"/>
  <c r="AD12" i="1"/>
  <c r="AC12" i="1"/>
  <c r="AE11" i="1"/>
  <c r="AD11" i="1"/>
  <c r="AC11" i="1"/>
  <c r="AE10" i="1"/>
  <c r="AD10" i="1"/>
  <c r="AC10" i="1"/>
  <c r="AE9" i="1"/>
  <c r="AD9" i="1"/>
  <c r="AC9" i="1"/>
  <c r="AE8" i="1"/>
  <c r="AD8" i="1"/>
  <c r="AC8" i="1"/>
  <c r="AE7" i="1"/>
  <c r="AD7" i="1"/>
  <c r="AC7" i="1"/>
  <c r="AE6" i="1"/>
  <c r="AD6" i="1"/>
  <c r="AC6" i="1"/>
  <c r="B6" i="3" s="1"/>
  <c r="O49" i="4" l="1"/>
  <c r="O48" i="4"/>
  <c r="O50" i="4" s="1"/>
  <c r="C45" i="5"/>
  <c r="C46" i="5"/>
  <c r="E48" i="4"/>
  <c r="E50" i="4" s="1"/>
  <c r="E49" i="4"/>
  <c r="I61" i="7"/>
  <c r="I59" i="7"/>
  <c r="I64" i="7"/>
  <c r="I62" i="7"/>
  <c r="I60" i="7"/>
  <c r="I63" i="7"/>
  <c r="C57" i="12"/>
  <c r="C64" i="11"/>
  <c r="C19" i="11"/>
  <c r="C18" i="4"/>
  <c r="C16" i="5"/>
  <c r="C62" i="4"/>
  <c r="D47" i="5"/>
  <c r="E47" i="12"/>
  <c r="H99" i="5"/>
  <c r="G51" i="11"/>
  <c r="C17" i="12"/>
  <c r="B23" i="10"/>
  <c r="B8" i="11"/>
  <c r="B8" i="4"/>
  <c r="C54" i="6"/>
  <c r="C217" i="6"/>
  <c r="C57" i="6"/>
  <c r="C28" i="6"/>
  <c r="C172" i="6"/>
  <c r="E13" i="6"/>
  <c r="C117" i="6"/>
  <c r="B10" i="8"/>
  <c r="B35" i="10"/>
  <c r="B23" i="3"/>
  <c r="C17" i="4"/>
  <c r="F51" i="4"/>
  <c r="D77" i="5"/>
  <c r="H13" i="6"/>
  <c r="H80" i="5"/>
  <c r="B6" i="13"/>
  <c r="B6" i="7"/>
  <c r="B11" i="3"/>
  <c r="B11" i="10"/>
  <c r="C32" i="14"/>
  <c r="E32" i="14" s="1"/>
  <c r="C32" i="8"/>
  <c r="E32" i="8" s="1"/>
  <c r="C35" i="13"/>
  <c r="C38" i="7"/>
  <c r="B14" i="13"/>
  <c r="B16" i="7"/>
  <c r="C24" i="11"/>
  <c r="B8" i="12"/>
  <c r="K51" i="4"/>
  <c r="C23" i="4"/>
  <c r="C70" i="11"/>
  <c r="L51" i="11"/>
  <c r="C19" i="4"/>
  <c r="E8" i="6"/>
  <c r="C41" i="6"/>
  <c r="C228" i="6"/>
  <c r="C47" i="6"/>
  <c r="B15" i="13"/>
  <c r="B17" i="7"/>
  <c r="B10" i="10"/>
  <c r="C30" i="12"/>
  <c r="C28" i="11"/>
  <c r="I47" i="5"/>
  <c r="C24" i="4"/>
  <c r="C70" i="4"/>
  <c r="L51" i="4"/>
  <c r="I99" i="5"/>
  <c r="B10" i="6"/>
  <c r="B77" i="5"/>
  <c r="C51" i="6"/>
  <c r="C237" i="6"/>
  <c r="C224" i="6"/>
  <c r="C131" i="6"/>
  <c r="B8" i="14"/>
  <c r="C33" i="7"/>
  <c r="B8" i="8"/>
  <c r="C30" i="13"/>
  <c r="B25" i="3"/>
  <c r="J51" i="4"/>
  <c r="G8" i="6"/>
  <c r="C30" i="6"/>
  <c r="C10" i="6"/>
  <c r="C77" i="5"/>
  <c r="C142" i="6"/>
  <c r="D11" i="6"/>
  <c r="C171" i="6"/>
  <c r="C154" i="6"/>
  <c r="C223" i="6"/>
  <c r="C95" i="6"/>
  <c r="C111" i="6"/>
  <c r="C88" i="6"/>
  <c r="G7" i="6"/>
  <c r="C195" i="6"/>
  <c r="C25" i="14"/>
  <c r="E25" i="14" s="1"/>
  <c r="C41" i="13"/>
  <c r="C26" i="8"/>
  <c r="E26" i="8" s="1"/>
  <c r="C43" i="7"/>
  <c r="C21" i="14"/>
  <c r="E21" i="14" s="1"/>
  <c r="C22" i="8"/>
  <c r="E22" i="8" s="1"/>
  <c r="C38" i="13"/>
  <c r="C40" i="7"/>
  <c r="B6" i="5"/>
  <c r="C44" i="6"/>
  <c r="C16" i="14"/>
  <c r="C48" i="14"/>
  <c r="C26" i="13"/>
  <c r="E65" i="7"/>
  <c r="C16" i="8"/>
  <c r="E61" i="13"/>
  <c r="C48" i="8"/>
  <c r="C17" i="14"/>
  <c r="E17" i="14" s="1"/>
  <c r="F61" i="13"/>
  <c r="H65" i="7"/>
  <c r="D48" i="14"/>
  <c r="C27" i="13"/>
  <c r="C17" i="8"/>
  <c r="F48" i="8"/>
  <c r="C31" i="7"/>
  <c r="D15" i="14"/>
  <c r="D15" i="8"/>
  <c r="B37" i="10"/>
  <c r="B42" i="3"/>
  <c r="D20" i="14"/>
  <c r="D19" i="8"/>
  <c r="C41" i="11"/>
  <c r="C38" i="12"/>
  <c r="C73" i="4"/>
  <c r="C65" i="5"/>
  <c r="C37" i="4"/>
  <c r="C34" i="5"/>
  <c r="B8" i="5"/>
  <c r="L46" i="5"/>
  <c r="G13" i="6"/>
  <c r="C39" i="6"/>
  <c r="C215" i="6"/>
  <c r="C23" i="6"/>
  <c r="C213" i="6"/>
  <c r="E76" i="5"/>
  <c r="E81" i="5" s="1"/>
  <c r="E9" i="6"/>
  <c r="B5" i="12"/>
  <c r="C25" i="5"/>
  <c r="C26" i="12"/>
  <c r="C33" i="11"/>
  <c r="B9" i="11"/>
  <c r="C31" i="4"/>
  <c r="B19" i="10"/>
  <c r="B5" i="5"/>
  <c r="B11" i="6"/>
  <c r="C55" i="6"/>
  <c r="C222" i="6"/>
  <c r="C74" i="6"/>
  <c r="C221" i="6"/>
  <c r="C132" i="6"/>
  <c r="C230" i="6"/>
  <c r="C128" i="6"/>
  <c r="C162" i="6"/>
  <c r="C176" i="6"/>
  <c r="C106" i="6"/>
  <c r="C114" i="6"/>
  <c r="C92" i="6"/>
  <c r="H75" i="5"/>
  <c r="C202" i="6"/>
  <c r="F7" i="6"/>
  <c r="F74" i="5"/>
  <c r="B12" i="3"/>
  <c r="B12" i="10"/>
  <c r="B39" i="10"/>
  <c r="B21" i="10"/>
  <c r="J51" i="11"/>
  <c r="C61" i="12"/>
  <c r="C22" i="11"/>
  <c r="C32" i="4"/>
  <c r="H47" i="12"/>
  <c r="C20" i="12"/>
  <c r="C68" i="11"/>
  <c r="C26" i="5"/>
  <c r="C22" i="4"/>
  <c r="H49" i="4"/>
  <c r="H50" i="4" s="1"/>
  <c r="D78" i="5"/>
  <c r="B99" i="5"/>
  <c r="I9" i="6"/>
  <c r="C18" i="11"/>
  <c r="F51" i="11"/>
  <c r="B7" i="12"/>
  <c r="C60" i="11"/>
  <c r="C16" i="4"/>
  <c r="B7" i="5"/>
  <c r="D51" i="4"/>
  <c r="B36" i="10"/>
  <c r="B40" i="3"/>
  <c r="B34" i="3"/>
  <c r="B43" i="3" s="1"/>
  <c r="C59" i="4"/>
  <c r="F78" i="5"/>
  <c r="C66" i="11"/>
  <c r="C59" i="12"/>
  <c r="C99" i="5"/>
  <c r="D79" i="5"/>
  <c r="D12" i="6"/>
  <c r="C63" i="12"/>
  <c r="C22" i="12"/>
  <c r="J47" i="12"/>
  <c r="C63" i="4"/>
  <c r="F47" i="5"/>
  <c r="C25" i="11"/>
  <c r="C56" i="5"/>
  <c r="C71" i="11"/>
  <c r="M51" i="11"/>
  <c r="C18" i="5"/>
  <c r="H51" i="11"/>
  <c r="C58" i="12"/>
  <c r="F47" i="12"/>
  <c r="C20" i="11"/>
  <c r="C15" i="5"/>
  <c r="C18" i="12"/>
  <c r="C65" i="11"/>
  <c r="C77" i="6"/>
  <c r="C64" i="6"/>
  <c r="C212" i="6"/>
  <c r="C22" i="6"/>
  <c r="C135" i="6"/>
  <c r="C168" i="6"/>
  <c r="C150" i="6"/>
  <c r="E77" i="5"/>
  <c r="E10" i="6"/>
  <c r="C102" i="6"/>
  <c r="C84" i="6"/>
  <c r="C194" i="6"/>
  <c r="C232" i="6"/>
  <c r="C186" i="6"/>
  <c r="C60" i="4"/>
  <c r="H47" i="5"/>
  <c r="G74" i="5"/>
  <c r="C57" i="4"/>
  <c r="C58" i="11"/>
  <c r="B12" i="6"/>
  <c r="C72" i="6"/>
  <c r="C133" i="6"/>
  <c r="C236" i="6"/>
  <c r="C163" i="6"/>
  <c r="C180" i="6"/>
  <c r="F75" i="5"/>
  <c r="F8" i="6"/>
  <c r="B7" i="14"/>
  <c r="D61" i="13"/>
  <c r="C25" i="13"/>
  <c r="C27" i="7"/>
  <c r="D65" i="7"/>
  <c r="B7" i="8"/>
  <c r="B6" i="14"/>
  <c r="B61" i="13"/>
  <c r="C23" i="13"/>
  <c r="C25" i="7"/>
  <c r="B65" i="7"/>
  <c r="B6" i="8"/>
  <c r="B7" i="7"/>
  <c r="B7" i="13"/>
  <c r="D17" i="14"/>
  <c r="D17" i="8"/>
  <c r="C35" i="11"/>
  <c r="C39" i="4"/>
  <c r="C32" i="12"/>
  <c r="C61" i="4"/>
  <c r="B79" i="5"/>
  <c r="G10" i="6"/>
  <c r="G9" i="6"/>
  <c r="G76" i="5"/>
  <c r="C198" i="6"/>
  <c r="G61" i="13"/>
  <c r="C28" i="13"/>
  <c r="C31" i="14"/>
  <c r="E31" i="14" s="1"/>
  <c r="F65" i="7"/>
  <c r="D48" i="8"/>
  <c r="C29" i="7"/>
  <c r="C18" i="8"/>
  <c r="E18" i="8" s="1"/>
  <c r="C29" i="14"/>
  <c r="E29" i="14" s="1"/>
  <c r="C34" i="13"/>
  <c r="C37" i="7"/>
  <c r="C30" i="8"/>
  <c r="E30" i="8" s="1"/>
  <c r="C36" i="13"/>
  <c r="C19" i="14"/>
  <c r="E19" i="14" s="1"/>
  <c r="C21" i="8"/>
  <c r="E21" i="8" s="1"/>
  <c r="C39" i="7"/>
  <c r="C20" i="14"/>
  <c r="E20" i="14" s="1"/>
  <c r="G48" i="8"/>
  <c r="C37" i="13"/>
  <c r="C32" i="7"/>
  <c r="C19" i="8"/>
  <c r="E19" i="8" s="1"/>
  <c r="D47" i="12"/>
  <c r="C53" i="12"/>
  <c r="C16" i="12"/>
  <c r="C34" i="4"/>
  <c r="C17" i="11"/>
  <c r="C59" i="11"/>
  <c r="E51" i="11"/>
  <c r="C20" i="5"/>
  <c r="C36" i="5"/>
  <c r="C24" i="6"/>
  <c r="C21" i="5"/>
  <c r="C26" i="6"/>
  <c r="C227" i="6"/>
  <c r="C55" i="12"/>
  <c r="C16" i="11"/>
  <c r="D51" i="11"/>
  <c r="C15" i="12"/>
  <c r="C62" i="11"/>
  <c r="C14" i="5"/>
  <c r="C15" i="4"/>
  <c r="C47" i="12"/>
  <c r="B47" i="5"/>
  <c r="B51" i="11"/>
  <c r="C14" i="11"/>
  <c r="B51" i="4"/>
  <c r="B6" i="10"/>
  <c r="B32" i="10"/>
  <c r="B6" i="12"/>
  <c r="C57" i="11"/>
  <c r="B5" i="11"/>
  <c r="B18" i="10"/>
  <c r="C58" i="4"/>
  <c r="B5" i="4"/>
  <c r="B22" i="3"/>
  <c r="B22" i="10"/>
  <c r="B7" i="11"/>
  <c r="C56" i="12"/>
  <c r="B47" i="12"/>
  <c r="C51" i="11"/>
  <c r="C17" i="5"/>
  <c r="C14" i="12"/>
  <c r="C63" i="11"/>
  <c r="C64" i="4"/>
  <c r="C57" i="5"/>
  <c r="C15" i="11"/>
  <c r="E47" i="5"/>
  <c r="G51" i="4"/>
  <c r="B8" i="13"/>
  <c r="B8" i="7"/>
  <c r="B34" i="10"/>
  <c r="C40" i="11"/>
  <c r="C37" i="12"/>
  <c r="C38" i="5"/>
  <c r="B8" i="3"/>
  <c r="C41" i="4"/>
  <c r="C54" i="12"/>
  <c r="C59" i="5"/>
  <c r="C61" i="11"/>
  <c r="C66" i="4"/>
  <c r="C62" i="12"/>
  <c r="C65" i="4"/>
  <c r="C58" i="5"/>
  <c r="G47" i="5"/>
  <c r="I47" i="12"/>
  <c r="C21" i="12"/>
  <c r="C69" i="11"/>
  <c r="C23" i="11"/>
  <c r="I51" i="4"/>
  <c r="K51" i="11"/>
  <c r="C21" i="4"/>
  <c r="C235" i="6"/>
  <c r="B13" i="6"/>
  <c r="B80" i="5"/>
  <c r="C45" i="6"/>
  <c r="C226" i="6"/>
  <c r="C241" i="6"/>
  <c r="C52" i="6"/>
  <c r="C75" i="6"/>
  <c r="C130" i="6"/>
  <c r="C161" i="6"/>
  <c r="C177" i="6"/>
  <c r="C99" i="6"/>
  <c r="H10" i="6"/>
  <c r="H14" i="6" s="1"/>
  <c r="C61" i="13"/>
  <c r="C15" i="14"/>
  <c r="B48" i="14"/>
  <c r="C24" i="13"/>
  <c r="C26" i="7"/>
  <c r="C65" i="7"/>
  <c r="B48" i="8"/>
  <c r="C15" i="8"/>
  <c r="C23" i="14"/>
  <c r="E23" i="14" s="1"/>
  <c r="C34" i="7"/>
  <c r="C24" i="8"/>
  <c r="E24" i="8" s="1"/>
  <c r="C31" i="13"/>
  <c r="C28" i="14"/>
  <c r="E28" i="14" s="1"/>
  <c r="C36" i="7"/>
  <c r="C33" i="13"/>
  <c r="C29" i="8"/>
  <c r="E29" i="8" s="1"/>
  <c r="C36" i="11"/>
  <c r="J47" i="5"/>
  <c r="C32" i="5"/>
  <c r="C71" i="4"/>
  <c r="M51" i="4"/>
  <c r="C36" i="12"/>
  <c r="B7" i="4"/>
  <c r="C54" i="5"/>
  <c r="C67" i="5" s="1"/>
  <c r="I75" i="5"/>
  <c r="I81" i="5" s="1"/>
  <c r="C25" i="6"/>
  <c r="C219" i="6"/>
  <c r="E11" i="6"/>
  <c r="E78" i="5"/>
  <c r="B35" i="3"/>
  <c r="B40" i="10"/>
  <c r="C24" i="14"/>
  <c r="E24" i="14" s="1"/>
  <c r="C40" i="13"/>
  <c r="C25" i="8"/>
  <c r="E25" i="8" s="1"/>
  <c r="C42" i="7"/>
  <c r="C26" i="14"/>
  <c r="E26" i="14" s="1"/>
  <c r="C42" i="13"/>
  <c r="C27" i="8"/>
  <c r="E27" i="8" s="1"/>
  <c r="C44" i="7"/>
  <c r="D33" i="14"/>
  <c r="E33" i="14" s="1"/>
  <c r="C44" i="13"/>
  <c r="C46" i="7"/>
  <c r="H48" i="8"/>
  <c r="B20" i="3"/>
  <c r="B20" i="10"/>
  <c r="D33" i="8"/>
  <c r="J65" i="7"/>
  <c r="B10" i="3"/>
  <c r="B9" i="4"/>
  <c r="C55" i="5"/>
  <c r="B76" i="5"/>
  <c r="C7" i="6"/>
  <c r="C28" i="7"/>
  <c r="B7" i="6"/>
  <c r="B8" i="6"/>
  <c r="B75" i="5"/>
  <c r="C53" i="6"/>
  <c r="C78" i="6"/>
  <c r="C63" i="6"/>
  <c r="C231" i="6"/>
  <c r="C8" i="6"/>
  <c r="C75" i="5"/>
  <c r="C81" i="5" s="1"/>
  <c r="C140" i="6"/>
  <c r="D9" i="6"/>
  <c r="D76" i="5"/>
  <c r="C153" i="6"/>
  <c r="E79" i="5"/>
  <c r="C86" i="6"/>
  <c r="C196" i="6"/>
  <c r="B17" i="13"/>
  <c r="B19" i="7"/>
  <c r="C18" i="14"/>
  <c r="E18" i="14" s="1"/>
  <c r="E48" i="8"/>
  <c r="H61" i="13"/>
  <c r="G65" i="7"/>
  <c r="C20" i="8"/>
  <c r="E20" i="8" s="1"/>
  <c r="C30" i="7"/>
  <c r="C29" i="13"/>
  <c r="B41" i="10"/>
  <c r="C37" i="11"/>
  <c r="C66" i="5"/>
  <c r="P51" i="4"/>
  <c r="C38" i="4"/>
  <c r="C33" i="12"/>
  <c r="M47" i="5"/>
  <c r="C74" i="4"/>
  <c r="B18" i="3"/>
  <c r="C14" i="4"/>
  <c r="C68" i="4"/>
  <c r="C76" i="5"/>
  <c r="C80" i="5"/>
  <c r="C12" i="6"/>
  <c r="C127" i="6"/>
  <c r="C60" i="12"/>
  <c r="G47" i="12"/>
  <c r="C19" i="12"/>
  <c r="C67" i="11"/>
  <c r="F99" i="5"/>
  <c r="I51" i="11"/>
  <c r="C21" i="11"/>
  <c r="C60" i="5"/>
  <c r="D13" i="6"/>
  <c r="D80" i="5"/>
  <c r="C40" i="6"/>
  <c r="C216" i="6"/>
  <c r="D8" i="6"/>
  <c r="D14" i="6" s="1"/>
  <c r="D75" i="5"/>
  <c r="B6" i="11"/>
  <c r="B25" i="10"/>
  <c r="C49" i="6"/>
  <c r="C234" i="6"/>
  <c r="C68" i="6"/>
  <c r="C42" i="6"/>
  <c r="C220" i="6"/>
  <c r="C76" i="6"/>
  <c r="C134" i="6"/>
  <c r="C129" i="6"/>
  <c r="C166" i="6"/>
  <c r="C181" i="6"/>
  <c r="E7" i="6"/>
  <c r="E14" i="6" s="1"/>
  <c r="C109" i="6"/>
  <c r="C120" i="6"/>
  <c r="H78" i="5"/>
  <c r="C204" i="6"/>
  <c r="F77" i="5"/>
  <c r="I77" i="5"/>
  <c r="C27" i="14"/>
  <c r="E27" i="14" s="1"/>
  <c r="B7" i="10"/>
  <c r="B5" i="7"/>
  <c r="C35" i="7"/>
  <c r="B5" i="13"/>
  <c r="C32" i="13"/>
  <c r="B7" i="3"/>
  <c r="B13" i="3" s="1"/>
  <c r="C28" i="8"/>
  <c r="E28" i="8" s="1"/>
  <c r="B9" i="10"/>
  <c r="C29" i="11"/>
  <c r="C31" i="5"/>
  <c r="C31" i="12"/>
  <c r="B38" i="10"/>
  <c r="B33" i="10"/>
  <c r="B36" i="3"/>
  <c r="C39" i="11"/>
  <c r="K47" i="5"/>
  <c r="C33" i="5"/>
  <c r="C72" i="4"/>
  <c r="N51" i="4"/>
  <c r="C64" i="5"/>
  <c r="C35" i="12"/>
  <c r="B19" i="3"/>
  <c r="C51" i="4"/>
  <c r="C69" i="4"/>
  <c r="F76" i="5"/>
  <c r="E12" i="6"/>
  <c r="J9" i="6"/>
  <c r="C38" i="6"/>
  <c r="C214" i="6"/>
  <c r="C48" i="6"/>
  <c r="C229" i="6"/>
  <c r="C233" i="6"/>
  <c r="C157" i="6"/>
  <c r="G11" i="6"/>
  <c r="G78" i="5"/>
  <c r="B21" i="3"/>
  <c r="C70" i="6"/>
  <c r="C22" i="14"/>
  <c r="E22" i="14" s="1"/>
  <c r="D16" i="14"/>
  <c r="C23" i="8"/>
  <c r="E23" i="8" s="1"/>
  <c r="C49" i="7"/>
  <c r="E33" i="8"/>
  <c r="E38" i="8"/>
  <c r="C41" i="7"/>
  <c r="E34" i="8"/>
  <c r="E39" i="14"/>
  <c r="H81" i="5"/>
  <c r="H90" i="5" s="1"/>
  <c r="C39" i="13"/>
  <c r="C240" i="6"/>
  <c r="B18" i="7"/>
  <c r="B16" i="13"/>
  <c r="C30" i="14"/>
  <c r="E30" i="14" s="1"/>
  <c r="B10" i="14"/>
  <c r="B14" i="7"/>
  <c r="B37" i="3"/>
  <c r="I14" i="6"/>
  <c r="C31" i="8"/>
  <c r="E31" i="8" s="1"/>
  <c r="E34" i="14"/>
  <c r="C45" i="7"/>
  <c r="D16" i="8"/>
  <c r="C43" i="13"/>
  <c r="E35" i="14"/>
  <c r="E37" i="8"/>
  <c r="I89" i="5" l="1"/>
  <c r="I85" i="5"/>
  <c r="I90" i="5"/>
  <c r="I87" i="5"/>
  <c r="I91" i="5"/>
  <c r="D53" i="5"/>
  <c r="D61" i="5"/>
  <c r="D62" i="5"/>
  <c r="D63" i="5"/>
  <c r="C89" i="5"/>
  <c r="C90" i="5"/>
  <c r="C85" i="5"/>
  <c r="E86" i="5"/>
  <c r="E101" i="5" s="1"/>
  <c r="E91" i="5"/>
  <c r="E106" i="5" s="1"/>
  <c r="E85" i="5"/>
  <c r="E100" i="5" s="1"/>
  <c r="H89" i="5"/>
  <c r="I48" i="11"/>
  <c r="I49" i="11"/>
  <c r="J75" i="5"/>
  <c r="D120" i="6"/>
  <c r="P49" i="4"/>
  <c r="P48" i="4"/>
  <c r="P50" i="4" s="1"/>
  <c r="E90" i="5"/>
  <c r="E105" i="5" s="1"/>
  <c r="J8" i="6"/>
  <c r="H85" i="5"/>
  <c r="D31" i="5"/>
  <c r="D66" i="5"/>
  <c r="J45" i="5"/>
  <c r="J46" i="5"/>
  <c r="C40" i="14"/>
  <c r="E15" i="14"/>
  <c r="C49" i="11"/>
  <c r="C48" i="11"/>
  <c r="C50" i="11" s="1"/>
  <c r="B49" i="11"/>
  <c r="N51" i="11"/>
  <c r="N49" i="11" s="1"/>
  <c r="N48" i="11" s="1"/>
  <c r="N50" i="11" s="1"/>
  <c r="B48" i="11"/>
  <c r="B50" i="11" s="1"/>
  <c r="D198" i="6"/>
  <c r="F45" i="12"/>
  <c r="F46" i="12"/>
  <c r="H86" i="5"/>
  <c r="D45" i="5"/>
  <c r="D46" i="5"/>
  <c r="D39" i="13"/>
  <c r="C60" i="13"/>
  <c r="C58" i="13"/>
  <c r="C59" i="13"/>
  <c r="C57" i="13"/>
  <c r="C123" i="6"/>
  <c r="D109" i="6" s="1"/>
  <c r="D84" i="6"/>
  <c r="D49" i="4"/>
  <c r="D48" i="4"/>
  <c r="D50" i="4" s="1"/>
  <c r="D92" i="6"/>
  <c r="F46" i="8"/>
  <c r="F47" i="8"/>
  <c r="G14" i="6"/>
  <c r="D35" i="13"/>
  <c r="E89" i="5"/>
  <c r="E104" i="5" s="1"/>
  <c r="K48" i="11"/>
  <c r="K50" i="11" s="1"/>
  <c r="K49" i="11"/>
  <c r="B45" i="12"/>
  <c r="K47" i="12"/>
  <c r="K46" i="12" s="1"/>
  <c r="K45" i="12" s="1"/>
  <c r="B46" i="12"/>
  <c r="B46" i="5"/>
  <c r="B45" i="5"/>
  <c r="N47" i="5"/>
  <c r="N46" i="5" s="1"/>
  <c r="N45" i="5" s="1"/>
  <c r="C206" i="6"/>
  <c r="D195" i="6" s="1"/>
  <c r="G45" i="12"/>
  <c r="G46" i="12"/>
  <c r="H46" i="8"/>
  <c r="H47" i="8"/>
  <c r="I49" i="4"/>
  <c r="I48" i="4"/>
  <c r="I50" i="4" s="1"/>
  <c r="D56" i="12"/>
  <c r="C45" i="12"/>
  <c r="C46" i="12"/>
  <c r="H49" i="11"/>
  <c r="H48" i="11"/>
  <c r="H50" i="11" s="1"/>
  <c r="D114" i="6"/>
  <c r="E17" i="8"/>
  <c r="D88" i="6"/>
  <c r="J48" i="4"/>
  <c r="J50" i="4" s="1"/>
  <c r="J49" i="4"/>
  <c r="D117" i="6"/>
  <c r="D140" i="6"/>
  <c r="B64" i="7"/>
  <c r="B60" i="7"/>
  <c r="B63" i="7"/>
  <c r="B61" i="7"/>
  <c r="B59" i="7"/>
  <c r="K65" i="7"/>
  <c r="B62" i="7"/>
  <c r="D106" i="6"/>
  <c r="D27" i="13"/>
  <c r="D111" i="6"/>
  <c r="D18" i="4"/>
  <c r="D29" i="13"/>
  <c r="D46" i="7"/>
  <c r="D129" i="6"/>
  <c r="C145" i="6"/>
  <c r="D127" i="6"/>
  <c r="C86" i="5"/>
  <c r="B14" i="6"/>
  <c r="J7" i="6"/>
  <c r="D44" i="13"/>
  <c r="D99" i="6"/>
  <c r="C39" i="5"/>
  <c r="D20" i="5"/>
  <c r="D36" i="13"/>
  <c r="C53" i="7"/>
  <c r="D40" i="7" s="1"/>
  <c r="E88" i="5"/>
  <c r="E103" i="5" s="1"/>
  <c r="M48" i="11"/>
  <c r="M50" i="11" s="1"/>
  <c r="M49" i="11"/>
  <c r="C104" i="5"/>
  <c r="C102" i="5"/>
  <c r="C100" i="5"/>
  <c r="C105" i="5"/>
  <c r="C101" i="5"/>
  <c r="D60" i="11"/>
  <c r="H46" i="12"/>
  <c r="H45" i="12"/>
  <c r="D46" i="14"/>
  <c r="D47" i="14"/>
  <c r="D95" i="6"/>
  <c r="J77" i="5"/>
  <c r="B20" i="7"/>
  <c r="C14" i="7"/>
  <c r="E48" i="11"/>
  <c r="E50" i="11" s="1"/>
  <c r="E49" i="11"/>
  <c r="D23" i="13"/>
  <c r="C51" i="13"/>
  <c r="D33" i="13" s="1"/>
  <c r="D133" i="6"/>
  <c r="B9" i="12"/>
  <c r="H59" i="7"/>
  <c r="H61" i="7"/>
  <c r="H63" i="7"/>
  <c r="H64" i="7"/>
  <c r="H62" i="7"/>
  <c r="H60" i="7"/>
  <c r="D30" i="13"/>
  <c r="J10" i="6"/>
  <c r="H88" i="5"/>
  <c r="G63" i="7"/>
  <c r="G61" i="7"/>
  <c r="G59" i="7"/>
  <c r="G64" i="7"/>
  <c r="G62" i="7"/>
  <c r="G60" i="7"/>
  <c r="D44" i="7"/>
  <c r="D31" i="13"/>
  <c r="D161" i="6"/>
  <c r="I45" i="12"/>
  <c r="I46" i="12"/>
  <c r="D37" i="7"/>
  <c r="B60" i="13"/>
  <c r="B58" i="13"/>
  <c r="I61" i="13"/>
  <c r="B59" i="13"/>
  <c r="B57" i="13"/>
  <c r="D56" i="5"/>
  <c r="D66" i="11"/>
  <c r="F48" i="11"/>
  <c r="F49" i="11"/>
  <c r="D128" i="6"/>
  <c r="D65" i="5"/>
  <c r="F59" i="13"/>
  <c r="F57" i="13"/>
  <c r="F60" i="13"/>
  <c r="F58" i="13"/>
  <c r="I100" i="5"/>
  <c r="I105" i="5"/>
  <c r="I104" i="5"/>
  <c r="I102" i="5"/>
  <c r="I106" i="5"/>
  <c r="D57" i="6"/>
  <c r="C91" i="5"/>
  <c r="C106" i="5" s="1"/>
  <c r="J12" i="6"/>
  <c r="D135" i="6"/>
  <c r="L49" i="4"/>
  <c r="L48" i="4"/>
  <c r="L50" i="4" s="1"/>
  <c r="D19" i="4"/>
  <c r="D35" i="12"/>
  <c r="D25" i="6"/>
  <c r="D64" i="5"/>
  <c r="C87" i="5"/>
  <c r="E46" i="8"/>
  <c r="E47" i="8"/>
  <c r="C14" i="6"/>
  <c r="D42" i="13"/>
  <c r="I86" i="5"/>
  <c r="I101" i="5" s="1"/>
  <c r="D34" i="7"/>
  <c r="D75" i="6"/>
  <c r="D58" i="5"/>
  <c r="G49" i="4"/>
  <c r="G48" i="4"/>
  <c r="G50" i="4" s="1"/>
  <c r="B27" i="10"/>
  <c r="B26" i="10"/>
  <c r="D22" i="6"/>
  <c r="C80" i="6"/>
  <c r="D41" i="6" s="1"/>
  <c r="F46" i="5"/>
  <c r="F45" i="5"/>
  <c r="J48" i="11"/>
  <c r="J50" i="11" s="1"/>
  <c r="J49" i="11"/>
  <c r="D132" i="6"/>
  <c r="C46" i="8"/>
  <c r="C47" i="8"/>
  <c r="L49" i="11"/>
  <c r="L48" i="11"/>
  <c r="L50" i="11" s="1"/>
  <c r="D54" i="6"/>
  <c r="C48" i="4"/>
  <c r="C49" i="4"/>
  <c r="H59" i="13"/>
  <c r="H57" i="13"/>
  <c r="H60" i="13"/>
  <c r="H58" i="13"/>
  <c r="D49" i="11"/>
  <c r="D48" i="11"/>
  <c r="C18" i="7"/>
  <c r="C42" i="4"/>
  <c r="D14" i="4"/>
  <c r="D54" i="5"/>
  <c r="D52" i="6"/>
  <c r="E45" i="5"/>
  <c r="E46" i="5"/>
  <c r="D61" i="7"/>
  <c r="D59" i="7"/>
  <c r="D63" i="7"/>
  <c r="D64" i="7"/>
  <c r="D62" i="7"/>
  <c r="D60" i="7"/>
  <c r="D57" i="4"/>
  <c r="C75" i="4"/>
  <c r="D67" i="4" s="1"/>
  <c r="C242" i="6"/>
  <c r="E87" i="5"/>
  <c r="E102" i="5" s="1"/>
  <c r="E60" i="13"/>
  <c r="E59" i="13"/>
  <c r="E58" i="13"/>
  <c r="E57" i="13"/>
  <c r="D38" i="13"/>
  <c r="D142" i="6"/>
  <c r="D24" i="4"/>
  <c r="H91" i="5"/>
  <c r="H87" i="5"/>
  <c r="H102" i="5" s="1"/>
  <c r="D35" i="7"/>
  <c r="B27" i="3"/>
  <c r="B26" i="3"/>
  <c r="C19" i="7"/>
  <c r="J76" i="5"/>
  <c r="D42" i="7"/>
  <c r="C40" i="8"/>
  <c r="E15" i="8"/>
  <c r="C72" i="11"/>
  <c r="D70" i="11" s="1"/>
  <c r="D57" i="11"/>
  <c r="C64" i="12"/>
  <c r="D62" i="12" s="1"/>
  <c r="D53" i="12"/>
  <c r="D29" i="7"/>
  <c r="D27" i="7"/>
  <c r="D64" i="6"/>
  <c r="J46" i="12"/>
  <c r="J45" i="12"/>
  <c r="E16" i="8"/>
  <c r="C88" i="5"/>
  <c r="C103" i="5" s="1"/>
  <c r="I45" i="5"/>
  <c r="I46" i="5"/>
  <c r="D23" i="4"/>
  <c r="N49" i="4"/>
  <c r="N48" i="4"/>
  <c r="G46" i="5"/>
  <c r="G45" i="5"/>
  <c r="I88" i="5"/>
  <c r="I103" i="5" s="1"/>
  <c r="D55" i="5"/>
  <c r="I48" i="8"/>
  <c r="I47" i="8" s="1"/>
  <c r="I46" i="8" s="1"/>
  <c r="B46" i="8"/>
  <c r="B47" i="8"/>
  <c r="D66" i="4"/>
  <c r="D57" i="5"/>
  <c r="D26" i="6"/>
  <c r="D45" i="12"/>
  <c r="D46" i="12"/>
  <c r="D46" i="8"/>
  <c r="D47" i="8"/>
  <c r="D25" i="13"/>
  <c r="G81" i="5"/>
  <c r="D77" i="6"/>
  <c r="J99" i="5"/>
  <c r="E63" i="7"/>
  <c r="E61" i="7"/>
  <c r="E59" i="7"/>
  <c r="E64" i="7"/>
  <c r="E62" i="7"/>
  <c r="E60" i="7"/>
  <c r="K49" i="4"/>
  <c r="K48" i="4"/>
  <c r="C182" i="6"/>
  <c r="D176" i="6" s="1"/>
  <c r="D134" i="6"/>
  <c r="D28" i="7"/>
  <c r="D58" i="4"/>
  <c r="B90" i="5"/>
  <c r="B105" i="5" s="1"/>
  <c r="J79" i="5"/>
  <c r="K45" i="5"/>
  <c r="K46" i="5"/>
  <c r="C63" i="7"/>
  <c r="C61" i="7"/>
  <c r="C59" i="7"/>
  <c r="C64" i="7"/>
  <c r="C62" i="7"/>
  <c r="C60" i="7"/>
  <c r="D45" i="6"/>
  <c r="D64" i="4"/>
  <c r="B43" i="10"/>
  <c r="F64" i="7"/>
  <c r="F62" i="7"/>
  <c r="F63" i="7"/>
  <c r="F61" i="7"/>
  <c r="F59" i="7"/>
  <c r="F60" i="7"/>
  <c r="D60" i="13"/>
  <c r="D58" i="13"/>
  <c r="D59" i="13"/>
  <c r="D57" i="13"/>
  <c r="H46" i="5"/>
  <c r="H45" i="5"/>
  <c r="D65" i="11"/>
  <c r="D63" i="12"/>
  <c r="D89" i="5"/>
  <c r="D104" i="5" s="1"/>
  <c r="D55" i="6"/>
  <c r="D23" i="6"/>
  <c r="D26" i="13"/>
  <c r="D43" i="7"/>
  <c r="D43" i="13"/>
  <c r="D40" i="13"/>
  <c r="D70" i="6"/>
  <c r="D204" i="6"/>
  <c r="D21" i="11"/>
  <c r="D86" i="6"/>
  <c r="M49" i="4"/>
  <c r="M48" i="4"/>
  <c r="M50" i="4" s="1"/>
  <c r="D26" i="7"/>
  <c r="J80" i="5"/>
  <c r="D59" i="5"/>
  <c r="B13" i="10"/>
  <c r="D32" i="7"/>
  <c r="D60" i="4"/>
  <c r="F85" i="5"/>
  <c r="F100" i="5" s="1"/>
  <c r="F81" i="5"/>
  <c r="F89" i="5" s="1"/>
  <c r="F104" i="5" s="1"/>
  <c r="J11" i="6"/>
  <c r="C47" i="14"/>
  <c r="C46" i="14"/>
  <c r="F48" i="4"/>
  <c r="F49" i="4"/>
  <c r="G48" i="11"/>
  <c r="G49" i="11"/>
  <c r="J74" i="5"/>
  <c r="D34" i="13"/>
  <c r="D24" i="13"/>
  <c r="J13" i="6"/>
  <c r="D54" i="12"/>
  <c r="D14" i="12"/>
  <c r="C39" i="12"/>
  <c r="D19" i="12" s="1"/>
  <c r="B49" i="4"/>
  <c r="B48" i="4"/>
  <c r="Q51" i="4"/>
  <c r="Q49" i="4" s="1"/>
  <c r="Q48" i="4" s="1"/>
  <c r="Q50" i="4" s="1"/>
  <c r="D37" i="13"/>
  <c r="D28" i="13"/>
  <c r="C188" i="6"/>
  <c r="D187" i="6" s="1"/>
  <c r="D81" i="5"/>
  <c r="D85" i="5" s="1"/>
  <c r="D100" i="5" s="1"/>
  <c r="F14" i="6"/>
  <c r="B9" i="5"/>
  <c r="D39" i="6"/>
  <c r="D40" i="8"/>
  <c r="E16" i="14"/>
  <c r="D41" i="13"/>
  <c r="C17" i="7"/>
  <c r="C16" i="7"/>
  <c r="D17" i="4"/>
  <c r="H100" i="5"/>
  <c r="H105" i="5"/>
  <c r="H103" i="5"/>
  <c r="H101" i="5"/>
  <c r="H106" i="5"/>
  <c r="H104" i="5"/>
  <c r="B81" i="5"/>
  <c r="B86" i="5" s="1"/>
  <c r="B101" i="5" s="1"/>
  <c r="J78" i="5"/>
  <c r="D49" i="7"/>
  <c r="D63" i="6"/>
  <c r="D130" i="6"/>
  <c r="D17" i="11"/>
  <c r="D48" i="6"/>
  <c r="D38" i="6"/>
  <c r="D60" i="5"/>
  <c r="M46" i="5"/>
  <c r="M45" i="5"/>
  <c r="J62" i="7"/>
  <c r="J60" i="7"/>
  <c r="J64" i="7"/>
  <c r="J63" i="7"/>
  <c r="J61" i="7"/>
  <c r="J59" i="7"/>
  <c r="B47" i="14"/>
  <c r="B46" i="14"/>
  <c r="E48" i="14"/>
  <c r="E47" i="14" s="1"/>
  <c r="E46" i="14" s="1"/>
  <c r="D41" i="4"/>
  <c r="C42" i="11"/>
  <c r="D25" i="11" s="1"/>
  <c r="G46" i="8"/>
  <c r="G47" i="8"/>
  <c r="G59" i="13"/>
  <c r="G57" i="13"/>
  <c r="G60" i="13"/>
  <c r="G58" i="13"/>
  <c r="F86" i="5"/>
  <c r="F101" i="5" s="1"/>
  <c r="D202" i="6"/>
  <c r="D40" i="14"/>
  <c r="D131" i="6"/>
  <c r="B18" i="13"/>
  <c r="C14" i="13"/>
  <c r="E46" i="12"/>
  <c r="E45" i="12"/>
  <c r="D23" i="5" l="1"/>
  <c r="D37" i="5"/>
  <c r="D22" i="5"/>
  <c r="D19" i="5"/>
  <c r="D35" i="5"/>
  <c r="D27" i="5"/>
  <c r="D29" i="5"/>
  <c r="D30" i="5"/>
  <c r="D28" i="5"/>
  <c r="D24" i="5"/>
  <c r="B5" i="14"/>
  <c r="B9" i="14" s="1"/>
  <c r="B9" i="13"/>
  <c r="D17" i="5"/>
  <c r="D186" i="6"/>
  <c r="G50" i="11"/>
  <c r="D26" i="4"/>
  <c r="D29" i="4"/>
  <c r="D40" i="4"/>
  <c r="D36" i="4"/>
  <c r="D30" i="4"/>
  <c r="D25" i="4"/>
  <c r="D28" i="4"/>
  <c r="D35" i="4"/>
  <c r="D33" i="4"/>
  <c r="D20" i="4"/>
  <c r="D27" i="4"/>
  <c r="C50" i="4"/>
  <c r="D58" i="11"/>
  <c r="D73" i="4"/>
  <c r="D32" i="4"/>
  <c r="J88" i="5"/>
  <c r="J14" i="6"/>
  <c r="D15" i="4"/>
  <c r="D68" i="11"/>
  <c r="D39" i="7"/>
  <c r="D21" i="4"/>
  <c r="D91" i="5"/>
  <c r="D106" i="5" s="1"/>
  <c r="D68" i="4"/>
  <c r="D61" i="12"/>
  <c r="D154" i="6"/>
  <c r="I59" i="13"/>
  <c r="I57" i="13"/>
  <c r="I60" i="13"/>
  <c r="I58" i="13"/>
  <c r="D59" i="12"/>
  <c r="B88" i="5"/>
  <c r="B103" i="5" s="1"/>
  <c r="D26" i="12"/>
  <c r="D40" i="11"/>
  <c r="D87" i="5"/>
  <c r="D102" i="5" s="1"/>
  <c r="D31" i="7"/>
  <c r="E40" i="14"/>
  <c r="F15" i="14"/>
  <c r="G90" i="5"/>
  <c r="G105" i="5" s="1"/>
  <c r="G91" i="5"/>
  <c r="G106" i="5" s="1"/>
  <c r="G86" i="5"/>
  <c r="G101" i="5" s="1"/>
  <c r="G88" i="5"/>
  <c r="G103" i="5" s="1"/>
  <c r="C17" i="13"/>
  <c r="F50" i="4"/>
  <c r="D17" i="12"/>
  <c r="D61" i="4"/>
  <c r="D68" i="6"/>
  <c r="D34" i="4"/>
  <c r="D40" i="6"/>
  <c r="D18" i="11"/>
  <c r="D64" i="11"/>
  <c r="D71" i="11"/>
  <c r="D23" i="11"/>
  <c r="D200" i="6"/>
  <c r="D197" i="6"/>
  <c r="D201" i="6"/>
  <c r="D205" i="6"/>
  <c r="D192" i="6"/>
  <c r="D203" i="6"/>
  <c r="D199" i="6"/>
  <c r="D193" i="6"/>
  <c r="D41" i="7"/>
  <c r="D31" i="4"/>
  <c r="F88" i="5"/>
  <c r="F103" i="5" s="1"/>
  <c r="D15" i="5"/>
  <c r="D63" i="11"/>
  <c r="G85" i="5"/>
  <c r="G100" i="5" s="1"/>
  <c r="D74" i="4"/>
  <c r="D74" i="6"/>
  <c r="B87" i="5"/>
  <c r="B102" i="5" s="1"/>
  <c r="D24" i="11"/>
  <c r="D88" i="5"/>
  <c r="D103" i="5" s="1"/>
  <c r="D39" i="4"/>
  <c r="D49" i="6"/>
  <c r="D59" i="4"/>
  <c r="J87" i="5"/>
  <c r="D33" i="5"/>
  <c r="D16" i="11"/>
  <c r="D42" i="6"/>
  <c r="D28" i="6"/>
  <c r="D150" i="6"/>
  <c r="D44" i="6"/>
  <c r="D30" i="7"/>
  <c r="D20" i="12"/>
  <c r="D102" i="6"/>
  <c r="D181" i="6"/>
  <c r="D62" i="4"/>
  <c r="D31" i="12"/>
  <c r="D26" i="11"/>
  <c r="D34" i="11"/>
  <c r="D32" i="11"/>
  <c r="D30" i="11"/>
  <c r="D38" i="11"/>
  <c r="D31" i="11"/>
  <c r="D27" i="11"/>
  <c r="D21" i="5"/>
  <c r="D36" i="12"/>
  <c r="C15" i="13"/>
  <c r="D16" i="12"/>
  <c r="D70" i="4"/>
  <c r="D16" i="4"/>
  <c r="D180" i="6"/>
  <c r="D69" i="4"/>
  <c r="D22" i="4"/>
  <c r="J81" i="5"/>
  <c r="J86" i="5" s="1"/>
  <c r="J101" i="5" s="1"/>
  <c r="B91" i="5"/>
  <c r="B106" i="5" s="1"/>
  <c r="D30" i="12"/>
  <c r="D32" i="12"/>
  <c r="D20" i="11"/>
  <c r="B50" i="4"/>
  <c r="D30" i="6"/>
  <c r="D39" i="11"/>
  <c r="D41" i="11"/>
  <c r="D55" i="12"/>
  <c r="D59" i="11"/>
  <c r="D45" i="13"/>
  <c r="D46" i="13"/>
  <c r="D50" i="13"/>
  <c r="D48" i="13"/>
  <c r="D49" i="13"/>
  <c r="D47" i="13"/>
  <c r="D144" i="6"/>
  <c r="D139" i="6"/>
  <c r="D141" i="6"/>
  <c r="D138" i="6"/>
  <c r="D137" i="6"/>
  <c r="D136" i="6"/>
  <c r="D143" i="6"/>
  <c r="D18" i="5"/>
  <c r="D60" i="12"/>
  <c r="G87" i="5"/>
  <c r="G102" i="5" s="1"/>
  <c r="D47" i="6"/>
  <c r="D37" i="11"/>
  <c r="D90" i="5"/>
  <c r="D105" i="5" s="1"/>
  <c r="D153" i="6"/>
  <c r="D71" i="4"/>
  <c r="D72" i="4"/>
  <c r="D15" i="12"/>
  <c r="D34" i="5"/>
  <c r="D47" i="7"/>
  <c r="D51" i="7"/>
  <c r="D48" i="7"/>
  <c r="D52" i="7"/>
  <c r="D50" i="7"/>
  <c r="D86" i="5"/>
  <c r="D101" i="5" s="1"/>
  <c r="D163" i="6"/>
  <c r="D166" i="6"/>
  <c r="D24" i="6"/>
  <c r="D23" i="12"/>
  <c r="D24" i="12"/>
  <c r="D25" i="12"/>
  <c r="D34" i="12"/>
  <c r="D27" i="12"/>
  <c r="D28" i="12"/>
  <c r="D29" i="12"/>
  <c r="J90" i="5"/>
  <c r="J105" i="5" s="1"/>
  <c r="C16" i="13"/>
  <c r="D177" i="6"/>
  <c r="D25" i="5"/>
  <c r="D25" i="7"/>
  <c r="D16" i="5"/>
  <c r="D29" i="11"/>
  <c r="D67" i="11"/>
  <c r="F91" i="5"/>
  <c r="F106" i="5" s="1"/>
  <c r="F90" i="5"/>
  <c r="F105" i="5" s="1"/>
  <c r="N50" i="4"/>
  <c r="D63" i="4"/>
  <c r="D65" i="4"/>
  <c r="D50" i="11"/>
  <c r="D38" i="12"/>
  <c r="D57" i="12"/>
  <c r="D22" i="11"/>
  <c r="K64" i="7"/>
  <c r="K62" i="7"/>
  <c r="K60" i="7"/>
  <c r="K63" i="7"/>
  <c r="K61" i="7"/>
  <c r="K59" i="7"/>
  <c r="G89" i="5"/>
  <c r="G104" i="5" s="1"/>
  <c r="D194" i="6"/>
  <c r="D38" i="4"/>
  <c r="D18" i="12"/>
  <c r="D33" i="12"/>
  <c r="J103" i="5"/>
  <c r="J102" i="5"/>
  <c r="J104" i="5"/>
  <c r="D21" i="12"/>
  <c r="F50" i="11"/>
  <c r="D62" i="11"/>
  <c r="D14" i="5"/>
  <c r="D37" i="12"/>
  <c r="D26" i="5"/>
  <c r="F87" i="5"/>
  <c r="F102" i="5" s="1"/>
  <c r="I50" i="11"/>
  <c r="D76" i="6"/>
  <c r="D69" i="11"/>
  <c r="D38" i="5"/>
  <c r="D196" i="6"/>
  <c r="F16" i="14"/>
  <c r="J89" i="5"/>
  <c r="D35" i="11"/>
  <c r="D160" i="6"/>
  <c r="D167" i="6"/>
  <c r="D152" i="6"/>
  <c r="D175" i="6"/>
  <c r="D149" i="6"/>
  <c r="D151" i="6"/>
  <c r="D156" i="6"/>
  <c r="D174" i="6"/>
  <c r="D173" i="6"/>
  <c r="D155" i="6"/>
  <c r="D178" i="6"/>
  <c r="D179" i="6"/>
  <c r="D164" i="6"/>
  <c r="D170" i="6"/>
  <c r="D159" i="6"/>
  <c r="D169" i="6"/>
  <c r="D165" i="6"/>
  <c r="D158" i="6"/>
  <c r="D14" i="11"/>
  <c r="B89" i="5"/>
  <c r="B104" i="5" s="1"/>
  <c r="B85" i="5"/>
  <c r="B100" i="5" s="1"/>
  <c r="D61" i="11"/>
  <c r="K50" i="4"/>
  <c r="D15" i="11"/>
  <c r="D53" i="6"/>
  <c r="D33" i="7"/>
  <c r="D168" i="6"/>
  <c r="D37" i="4"/>
  <c r="B5" i="8"/>
  <c r="B9" i="8" s="1"/>
  <c r="B9" i="7"/>
  <c r="C15" i="7"/>
  <c r="F17" i="8"/>
  <c r="D58" i="12"/>
  <c r="D32" i="5"/>
  <c r="D45" i="7"/>
  <c r="D33" i="6"/>
  <c r="D79" i="6"/>
  <c r="D50" i="6"/>
  <c r="D37" i="6"/>
  <c r="D66" i="6"/>
  <c r="D65" i="6"/>
  <c r="D32" i="6"/>
  <c r="D56" i="6"/>
  <c r="D27" i="6"/>
  <c r="D69" i="6"/>
  <c r="D60" i="6"/>
  <c r="D71" i="6"/>
  <c r="D62" i="6"/>
  <c r="D35" i="6"/>
  <c r="D46" i="6"/>
  <c r="D34" i="6"/>
  <c r="D29" i="6"/>
  <c r="D59" i="6"/>
  <c r="D58" i="6"/>
  <c r="D43" i="6"/>
  <c r="D36" i="6"/>
  <c r="D73" i="6"/>
  <c r="D61" i="6"/>
  <c r="D31" i="6"/>
  <c r="D67" i="6"/>
  <c r="D78" i="6"/>
  <c r="D171" i="6"/>
  <c r="D72" i="6"/>
  <c r="D19" i="11"/>
  <c r="D36" i="7"/>
  <c r="D51" i="6"/>
  <c r="D33" i="11"/>
  <c r="D157" i="6"/>
  <c r="D28" i="11"/>
  <c r="D22" i="12"/>
  <c r="E40" i="8"/>
  <c r="F15" i="8"/>
  <c r="D162" i="6"/>
  <c r="D172" i="6"/>
  <c r="D36" i="5"/>
  <c r="D36" i="11"/>
  <c r="D116" i="6"/>
  <c r="D105" i="6"/>
  <c r="D96" i="6"/>
  <c r="D112" i="6"/>
  <c r="D103" i="6"/>
  <c r="D87" i="6"/>
  <c r="D119" i="6"/>
  <c r="D104" i="6"/>
  <c r="D94" i="6"/>
  <c r="D90" i="6"/>
  <c r="D108" i="6"/>
  <c r="D115" i="6"/>
  <c r="D110" i="6"/>
  <c r="D121" i="6"/>
  <c r="D100" i="6"/>
  <c r="D97" i="6"/>
  <c r="D89" i="6"/>
  <c r="D98" i="6"/>
  <c r="D113" i="6"/>
  <c r="D91" i="6"/>
  <c r="D101" i="6"/>
  <c r="D93" i="6"/>
  <c r="D122" i="6"/>
  <c r="D85" i="6"/>
  <c r="D107" i="6"/>
  <c r="D118" i="6"/>
  <c r="D38" i="7"/>
  <c r="D32" i="13"/>
  <c r="J85" i="5" l="1"/>
  <c r="J100" i="5" s="1"/>
  <c r="J91" i="5"/>
  <c r="J106" i="5" s="1"/>
  <c r="F39" i="8"/>
  <c r="F35" i="8"/>
  <c r="F36" i="8"/>
  <c r="F25" i="8"/>
  <c r="F20" i="8"/>
  <c r="F29" i="8"/>
  <c r="F34" i="8"/>
  <c r="F24" i="8"/>
  <c r="F28" i="8"/>
  <c r="F19" i="8"/>
  <c r="F38" i="8"/>
  <c r="F30" i="8"/>
  <c r="F21" i="8"/>
  <c r="F26" i="8"/>
  <c r="F32" i="8"/>
  <c r="F27" i="8"/>
  <c r="F23" i="8"/>
  <c r="F37" i="8"/>
  <c r="F18" i="8"/>
  <c r="F31" i="8"/>
  <c r="F22" i="8"/>
  <c r="F33" i="8"/>
  <c r="F16" i="8"/>
  <c r="F37" i="14"/>
  <c r="F38" i="14"/>
  <c r="F36" i="14"/>
  <c r="F17" i="14"/>
  <c r="F19" i="14"/>
  <c r="F18" i="14"/>
  <c r="F31" i="14"/>
  <c r="F22" i="14"/>
  <c r="F28" i="14"/>
  <c r="F32" i="14"/>
  <c r="F26" i="14"/>
  <c r="F20" i="14"/>
  <c r="F23" i="14"/>
  <c r="F30" i="14"/>
  <c r="F24" i="14"/>
  <c r="F27" i="14"/>
  <c r="F35" i="14"/>
  <c r="F34" i="14"/>
  <c r="F39" i="14"/>
  <c r="F33" i="14"/>
  <c r="F25" i="14"/>
  <c r="F29" i="14"/>
  <c r="F21" i="14"/>
</calcChain>
</file>

<file path=xl/sharedStrings.xml><?xml version="1.0" encoding="utf-8"?>
<sst xmlns="http://schemas.openxmlformats.org/spreadsheetml/2006/main" count="47246" uniqueCount="9648">
  <si>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</si>
  <si>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</si>
  <si>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</si>
  <si>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</si>
  <si>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</si>
  <si>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</si>
  <si>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</si>
  <si>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</si>
  <si>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</si>
  <si>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</si>
  <si>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</si>
  <si>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</si>
  <si>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</si>
  <si>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</si>
  <si>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</si>
  <si>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</si>
  <si>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</si>
  <si>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</si>
  <si>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</si>
  <si>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</si>
  <si>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</si>
  <si>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</si>
  <si>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</si>
  <si>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</si>
  <si>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</si>
  <si>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</si>
  <si>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</si>
  <si>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</si>
  <si>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</si>
  <si>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</si>
  <si>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</si>
  <si>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</si>
  <si>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</si>
  <si>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</si>
  <si>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</si>
  <si>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</si>
  <si>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</si>
  <si>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</si>
  <si>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</si>
  <si>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</si>
  <si>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</si>
  <si>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</si>
  <si>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</si>
  <si>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</si>
  <si>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</si>
  <si>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</si>
  <si>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</si>
  <si>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</si>
  <si>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</si>
  <si>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</si>
  <si>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</si>
  <si>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</si>
  <si>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</si>
  <si>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</si>
  <si>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</si>
  <si>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</si>
  <si>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</si>
  <si>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</si>
  <si>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</si>
  <si>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</si>
  <si>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</si>
  <si>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</si>
  <si>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</si>
  <si>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</si>
  <si>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</si>
  <si>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</si>
  <si>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</si>
  <si>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</si>
  <si>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</si>
  <si>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</si>
  <si>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</si>
  <si>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</si>
  <si>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</si>
  <si>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</si>
  <si>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</si>
  <si>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</si>
  <si>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</si>
  <si>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</si>
  <si>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</si>
  <si>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</si>
  <si>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</si>
  <si>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</si>
  <si>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</si>
  <si>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</si>
  <si>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</si>
  <si>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</si>
  <si>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</si>
  <si>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</si>
  <si>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</si>
  <si>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</si>
  <si>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</si>
  <si>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</si>
  <si>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</si>
  <si>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</si>
  <si>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</si>
  <si>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</si>
  <si>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</si>
  <si>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</si>
  <si>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</si>
  <si>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</si>
  <si>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</si>
  <si>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</si>
  <si>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</si>
  <si>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</si>
  <si>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</si>
  <si>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</si>
  <si>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</si>
  <si>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</si>
  <si>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</si>
  <si>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</si>
  <si>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</si>
  <si>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</si>
  <si>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</si>
  <si>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</si>
  <si>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</si>
  <si>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</si>
  <si>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</si>
  <si>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</si>
  <si>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</si>
  <si>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</si>
  <si>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</si>
  <si>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</si>
  <si>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</si>
  <si>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</si>
  <si>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</si>
  <si>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</si>
  <si>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</si>
  <si>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</si>
  <si>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</si>
  <si>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</si>
  <si>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</si>
  <si>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</si>
  <si>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</si>
  <si>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</si>
  <si>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</si>
  <si>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</si>
  <si>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</si>
  <si>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</si>
  <si>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</si>
  <si>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</si>
  <si>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</si>
  <si>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</si>
  <si>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</si>
  <si>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</si>
  <si>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</si>
  <si>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</si>
  <si>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</si>
  <si>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</si>
  <si>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</si>
  <si>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</si>
  <si>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</si>
  <si>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</si>
  <si>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</si>
  <si>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</si>
  <si>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</si>
  <si>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</si>
  <si>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</si>
  <si>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</si>
  <si>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</si>
  <si>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</si>
  <si>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</si>
  <si>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</si>
  <si>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</si>
  <si>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</si>
  <si>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</si>
  <si>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</si>
  <si>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</si>
  <si>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</si>
  <si>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</si>
  <si>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</si>
  <si>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</si>
  <si>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</si>
  <si>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</si>
  <si>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</si>
  <si>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</si>
  <si>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</si>
  <si>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</si>
  <si>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</si>
  <si>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</si>
  <si>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</si>
  <si>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</si>
  <si>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</si>
  <si>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</si>
  <si>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</si>
  <si>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</si>
  <si>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</si>
  <si>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</si>
  <si>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</si>
  <si>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</si>
  <si>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</si>
  <si>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</si>
  <si>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</si>
  <si>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</si>
  <si>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</si>
  <si>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</si>
  <si>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</si>
  <si>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</si>
  <si>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</si>
  <si>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</si>
  <si>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</si>
  <si>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</si>
  <si>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</si>
  <si>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</si>
  <si>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</si>
  <si>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</si>
  <si>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</si>
  <si>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</si>
  <si>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</si>
  <si>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</si>
  <si>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</si>
  <si>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</si>
  <si>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</si>
  <si>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</si>
  <si>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</si>
  <si>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</si>
  <si>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</si>
  <si>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</si>
  <si>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</si>
  <si>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</si>
  <si>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</si>
  <si>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</si>
  <si>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</si>
  <si>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</si>
  <si>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</si>
  <si>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</si>
  <si>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</si>
  <si>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</si>
  <si>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</si>
  <si>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</si>
  <si>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</si>
  <si>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</si>
  <si>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</si>
  <si>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</si>
  <si>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</si>
  <si>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</si>
  <si>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</si>
  <si>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</si>
  <si>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</si>
  <si>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</si>
  <si>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</si>
  <si>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</si>
  <si>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</si>
  <si>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</si>
  <si>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</si>
  <si>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</si>
  <si>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</si>
  <si>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</si>
  <si>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</si>
  <si>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</si>
  <si>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</si>
  <si>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</si>
  <si>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</si>
  <si>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</si>
  <si>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</si>
  <si>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</si>
  <si>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</si>
  <si>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</si>
  <si>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</si>
  <si>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</si>
  <si>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</si>
  <si>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</si>
  <si>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</si>
  <si>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</si>
  <si>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</si>
  <si>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</si>
  <si>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</si>
  <si>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</si>
  <si>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</si>
  <si>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</si>
  <si>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</si>
  <si>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</si>
  <si>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</si>
  <si>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</si>
  <si>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</si>
  <si>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</si>
  <si>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</si>
  <si>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</si>
  <si>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</si>
  <si>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</si>
  <si>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</si>
  <si>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</si>
  <si>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</si>
  <si>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</si>
  <si>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</si>
  <si>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</si>
  <si>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</si>
  <si>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</si>
  <si>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</si>
  <si>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</si>
  <si>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</si>
  <si>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</si>
  <si>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</si>
  <si>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</si>
  <si>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</si>
  <si>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</si>
  <si>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</si>
  <si>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</si>
  <si>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</si>
  <si>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</si>
  <si>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</si>
  <si>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</si>
  <si>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</si>
  <si>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</si>
  <si>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</si>
  <si>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</si>
  <si>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</si>
  <si>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</si>
  <si>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</si>
  <si>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</si>
  <si>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</si>
  <si>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</si>
  <si>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</si>
  <si>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</si>
  <si>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</si>
  <si>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</si>
  <si>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</si>
  <si>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</si>
  <si>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</si>
  <si>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</si>
  <si>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</si>
  <si>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</si>
  <si>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</si>
  <si>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</si>
  <si>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</si>
  <si>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</si>
  <si>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</si>
  <si>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</si>
  <si>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</si>
  <si>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</si>
  <si>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</si>
  <si>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</si>
  <si>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</si>
  <si>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</si>
  <si>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</si>
  <si>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</si>
  <si>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</si>
  <si>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</si>
  <si>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</si>
  <si>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</si>
  <si>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</si>
  <si>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</si>
  <si>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</si>
  <si>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</si>
  <si>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</si>
  <si>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</si>
  <si>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</si>
  <si>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</si>
  <si>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</si>
  <si>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</si>
  <si>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</si>
  <si>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</si>
  <si>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</si>
  <si>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</si>
  <si>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</si>
  <si>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</si>
  <si>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</si>
  <si>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</si>
  <si>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</si>
  <si>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</si>
  <si>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</si>
  <si>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</si>
  <si>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</si>
  <si>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</si>
  <si>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</si>
  <si>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</si>
  <si>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</si>
  <si>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</si>
  <si>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</si>
  <si>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</si>
  <si>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</si>
  <si>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</si>
  <si>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</si>
  <si>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</si>
  <si>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</si>
  <si>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</si>
  <si>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</si>
  <si>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</si>
  <si>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</si>
  <si>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</si>
  <si>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</si>
  <si>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</si>
  <si>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</si>
  <si>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</si>
  <si>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</si>
  <si>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</si>
  <si>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</si>
  <si>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</si>
  <si>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</si>
  <si>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</si>
  <si>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</si>
  <si>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</si>
  <si>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</si>
  <si>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</si>
  <si>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</si>
  <si>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</si>
  <si>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</si>
  <si>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</si>
  <si>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</si>
  <si>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</si>
  <si>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</si>
  <si>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</si>
  <si>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</si>
  <si>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</si>
  <si>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</si>
  <si>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</si>
  <si>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</si>
  <si>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</si>
  <si>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</si>
  <si>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</si>
  <si>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</si>
  <si>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</si>
  <si>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</si>
  <si>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</si>
  <si>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</si>
  <si>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</si>
  <si>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</si>
  <si>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</si>
  <si>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</si>
  <si>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</si>
  <si>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</si>
  <si>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</si>
  <si>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</si>
  <si>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</si>
  <si>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</si>
  <si>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</si>
  <si>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</si>
  <si>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</si>
  <si>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</si>
  <si>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</si>
  <si>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</si>
  <si>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</si>
  <si>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</si>
  <si>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</si>
  <si>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</si>
  <si>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</si>
  <si>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</si>
  <si>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</si>
  <si>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</si>
  <si>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</si>
  <si>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</si>
  <si>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</si>
  <si>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</si>
  <si>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</si>
  <si>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</si>
  <si>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</si>
  <si>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</si>
  <si>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</si>
  <si>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</si>
  <si>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</si>
  <si>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</si>
  <si>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</si>
  <si>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</si>
  <si>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</si>
  <si>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</si>
  <si>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</si>
  <si>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</si>
  <si>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</si>
  <si>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</si>
  <si>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</si>
  <si>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</si>
  <si>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</si>
  <si>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</si>
  <si>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</si>
  <si>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</si>
  <si>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</si>
  <si>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</si>
  <si>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</si>
  <si>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</si>
  <si>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</si>
  <si>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</si>
  <si>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</si>
  <si>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</si>
  <si>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</si>
  <si>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</si>
  <si>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</si>
  <si>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</si>
  <si>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</si>
  <si>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</si>
  <si>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</si>
  <si>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</si>
  <si>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</si>
  <si>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</si>
  <si>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</si>
  <si>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</si>
  <si>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</si>
  <si>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</si>
  <si>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</si>
  <si>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</si>
  <si>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</si>
  <si>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</si>
  <si>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</si>
  <si>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</si>
  <si>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</si>
  <si>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</si>
  <si>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</si>
  <si>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</si>
  <si>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</si>
  <si>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</si>
  <si>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</si>
  <si>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</si>
  <si>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</si>
  <si>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</si>
  <si>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</si>
  <si>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</si>
  <si>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</si>
  <si>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</si>
  <si>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</si>
  <si>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</si>
  <si>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</si>
  <si>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</si>
  <si>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</si>
  <si>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</si>
  <si>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</si>
  <si>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</si>
  <si>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</si>
  <si>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</si>
  <si>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</si>
  <si>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</si>
  <si>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</si>
  <si>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</si>
  <si>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</si>
  <si>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</si>
  <si>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</si>
  <si>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</si>
  <si>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</si>
  <si>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</si>
  <si>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</si>
  <si>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</si>
  <si>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</si>
  <si>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</si>
  <si>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</si>
  <si>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</si>
  <si>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</si>
  <si>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</si>
  <si>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</si>
  <si>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</si>
  <si>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</si>
  <si>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</si>
  <si>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</si>
  <si>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</si>
  <si>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</si>
  <si>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</si>
  <si>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</si>
  <si>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</si>
  <si>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</si>
  <si>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</si>
  <si>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</si>
  <si>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</si>
  <si>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</si>
  <si>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</si>
  <si>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</si>
  <si>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</si>
  <si>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</si>
  <si>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</si>
  <si>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</si>
  <si>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</si>
  <si>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</si>
  <si>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</si>
  <si>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</si>
  <si>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</si>
  <si>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</si>
  <si>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</si>
  <si>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</si>
  <si>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</si>
  <si>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</si>
  <si>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</si>
  <si>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</si>
  <si>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</si>
  <si>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</si>
  <si>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</si>
  <si>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</si>
  <si>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</si>
  <si>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</si>
  <si>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</si>
  <si>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</si>
  <si>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</si>
  <si>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</si>
  <si>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</si>
  <si>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</si>
  <si>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</si>
  <si>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</si>
  <si>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</si>
  <si>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</si>
  <si>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</si>
  <si>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</si>
  <si>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</si>
  <si>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</si>
  <si>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</si>
  <si>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</si>
  <si>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</si>
  <si>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</si>
  <si>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</si>
  <si>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</si>
  <si>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</si>
  <si>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</si>
  <si>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</si>
  <si>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</si>
  <si>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</si>
  <si>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</si>
  <si>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</si>
  <si>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</si>
  <si>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</si>
  <si>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</si>
  <si>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</si>
  <si>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</si>
  <si>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</si>
  <si>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</si>
  <si>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</si>
  <si>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</si>
  <si>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</si>
  <si>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</si>
  <si>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</si>
  <si>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</si>
  <si>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</si>
  <si>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</si>
  <si>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</si>
  <si>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</si>
  <si>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</si>
  <si>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</si>
  <si>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</si>
  <si>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</si>
  <si>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</si>
  <si>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</si>
  <si>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</si>
  <si>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</si>
  <si>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</si>
  <si>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</si>
  <si>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</si>
  <si>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</si>
  <si>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</si>
  <si>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</si>
  <si>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</si>
  <si>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</si>
  <si>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</si>
  <si>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</si>
  <si>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</si>
  <si>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</si>
  <si>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</si>
  <si>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</si>
  <si>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</si>
  <si>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</si>
  <si>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</si>
  <si>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</si>
  <si>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</si>
  <si>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</si>
  <si>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</si>
  <si>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</si>
  <si>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</si>
  <si>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</si>
  <si>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</si>
  <si>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</si>
  <si>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</si>
  <si>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</si>
  <si>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</si>
  <si>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</si>
  <si>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</si>
  <si>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</si>
  <si>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</si>
  <si>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</si>
  <si>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</si>
  <si>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</si>
  <si>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</si>
  <si>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</si>
  <si>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</si>
  <si>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</si>
  <si>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</si>
  <si>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</si>
  <si>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</si>
  <si>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</si>
  <si>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</si>
  <si>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</si>
  <si>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</si>
  <si>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</si>
  <si>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</si>
  <si>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</si>
  <si>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</si>
  <si>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</si>
  <si>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</si>
  <si>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</si>
  <si>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</si>
  <si>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</si>
  <si>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</si>
  <si>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</si>
  <si>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</si>
  <si>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</si>
  <si>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</si>
  <si>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</si>
  <si>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</si>
  <si>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</si>
  <si>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</si>
  <si>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</si>
  <si>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</si>
  <si>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</si>
  <si>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</si>
  <si>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</si>
  <si>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</si>
  <si>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</si>
  <si>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</si>
  <si>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</si>
  <si>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</si>
  <si>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</si>
  <si>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</si>
  <si>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</si>
  <si>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</si>
  <si>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</si>
  <si>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</si>
  <si>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</si>
  <si>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</si>
  <si>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</si>
  <si>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</si>
  <si>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</si>
  <si>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</si>
  <si>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</si>
  <si>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</si>
  <si>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</si>
  <si>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</si>
  <si>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</si>
  <si>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</si>
  <si>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</si>
  <si>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</si>
  <si>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</si>
  <si>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</si>
  <si>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</si>
  <si>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</si>
  <si>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</si>
  <si>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</si>
  <si>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</si>
  <si>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</si>
  <si>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</si>
  <si>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</si>
  <si>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</si>
  <si>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</si>
  <si>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</si>
  <si>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</si>
  <si>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</si>
  <si>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</si>
  <si>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</si>
  <si>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</si>
  <si>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</si>
  <si>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</si>
  <si>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</si>
  <si>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</si>
  <si>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</si>
  <si>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</si>
  <si>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</si>
  <si>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</si>
  <si>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</si>
  <si>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</si>
  <si>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</si>
  <si>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</si>
  <si>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</si>
  <si>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</si>
  <si>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</si>
  <si>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</si>
  <si>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</si>
  <si>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</si>
  <si>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</si>
  <si>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</si>
  <si>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</si>
  <si>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</si>
  <si>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</si>
  <si>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</si>
  <si>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</si>
  <si>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</si>
  <si>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</si>
  <si>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</si>
  <si>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</si>
  <si>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</si>
  <si>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</si>
  <si>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</si>
  <si>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</si>
  <si>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</si>
  <si>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</si>
  <si>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</si>
  <si>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</si>
  <si>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</si>
  <si>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</si>
  <si>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</si>
  <si>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</si>
  <si>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</si>
  <si>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</si>
  <si>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</si>
  <si>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</si>
  <si>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</si>
  <si>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</si>
  <si>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</si>
  <si>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</si>
  <si>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</si>
  <si>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</si>
  <si>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</si>
  <si>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</si>
  <si>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</si>
  <si>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</si>
  <si>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</si>
  <si>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</si>
  <si>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</si>
  <si>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</si>
  <si>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</si>
  <si>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</si>
  <si>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</si>
  <si>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</si>
  <si>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</si>
  <si>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</si>
  <si>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</si>
  <si>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</si>
  <si>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</si>
  <si>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</si>
  <si>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</si>
  <si>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</si>
  <si>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</si>
  <si>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</si>
  <si>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</si>
  <si>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</si>
  <si>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</si>
  <si>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</si>
  <si>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</si>
  <si>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</si>
  <si>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</si>
  <si>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</si>
  <si>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</si>
  <si>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</si>
  <si>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</si>
  <si>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</si>
  <si>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</si>
  <si>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</si>
  <si>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</si>
  <si>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</si>
  <si>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</si>
  <si>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</si>
  <si>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</si>
  <si>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</si>
  <si>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</si>
  <si>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</si>
  <si>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</si>
  <si>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</si>
  <si>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</si>
  <si>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</si>
  <si>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</si>
  <si>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</si>
  <si>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</si>
  <si>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</si>
  <si>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</si>
  <si>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</si>
  <si>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</si>
  <si>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</si>
  <si>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</si>
  <si>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</si>
  <si>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</si>
  <si>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</si>
  <si>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</si>
  <si>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</si>
  <si>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</si>
  <si>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</si>
  <si>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</si>
  <si>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</si>
  <si>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</si>
  <si>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</si>
  <si>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</si>
  <si>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</si>
  <si>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</si>
  <si>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</si>
  <si>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</si>
  <si>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</si>
  <si>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</si>
  <si>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</si>
  <si>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</si>
  <si>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</si>
  <si>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</si>
  <si>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</si>
  <si>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</si>
  <si>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</si>
  <si>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</si>
  <si>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</si>
  <si>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</si>
  <si>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</si>
  <si>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</si>
  <si>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</si>
  <si>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</si>
  <si>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</si>
  <si>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</si>
  <si>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</si>
  <si>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</si>
  <si>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</si>
  <si>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</si>
  <si>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</si>
  <si>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</si>
  <si>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</si>
  <si>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</si>
  <si>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</si>
  <si>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</si>
  <si>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</si>
  <si>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</si>
  <si>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</si>
  <si>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</si>
  <si>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</si>
  <si>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</si>
  <si>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</si>
  <si>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</si>
  <si>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</si>
  <si>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</si>
  <si>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</si>
  <si>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</si>
  <si>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</si>
  <si>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</si>
  <si>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</si>
  <si>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</si>
  <si>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</si>
  <si>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</si>
  <si>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</si>
  <si>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</si>
  <si>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</si>
  <si>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</si>
  <si>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</si>
  <si>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</si>
  <si>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</si>
  <si>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</si>
  <si>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</si>
  <si>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</si>
  <si>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</si>
  <si>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</si>
  <si>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</si>
  <si>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</si>
  <si>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</si>
  <si>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</si>
  <si>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</si>
  <si>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</si>
  <si>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</si>
  <si>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</si>
  <si>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</si>
  <si>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</si>
  <si>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</si>
  <si>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</si>
  <si>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</si>
  <si>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</si>
  <si>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</si>
  <si>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</si>
  <si>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</si>
  <si>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</si>
  <si>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</si>
  <si>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</si>
  <si>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</si>
  <si>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</si>
  <si>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</si>
  <si>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</si>
  <si>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</si>
  <si>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</si>
  <si>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</si>
  <si>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</si>
  <si>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</si>
  <si>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</si>
  <si>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</si>
  <si>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</si>
  <si>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</si>
  <si>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</si>
  <si>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</si>
  <si>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</si>
  <si>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</si>
  <si>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</si>
  <si>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</si>
  <si>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</si>
  <si>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</si>
  <si>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</si>
  <si>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</si>
  <si>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</si>
  <si>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</si>
  <si>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</si>
  <si>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</si>
  <si>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</si>
  <si>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</si>
  <si>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</si>
  <si>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</si>
  <si>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</si>
  <si>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</si>
  <si>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</si>
  <si>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</si>
  <si>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</si>
  <si>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</si>
  <si>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</si>
  <si>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</si>
  <si>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</si>
  <si>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</si>
  <si>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</si>
  <si>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</si>
  <si>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</si>
  <si>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</si>
  <si>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</si>
  <si>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</si>
  <si>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</si>
  <si>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</si>
  <si>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</si>
  <si>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</si>
  <si>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</si>
  <si>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</si>
  <si>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</si>
  <si>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</si>
  <si>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</si>
  <si>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</si>
  <si>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</si>
  <si>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</si>
  <si>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</si>
  <si>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</si>
  <si>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</si>
  <si>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</si>
  <si>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</si>
  <si>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</si>
  <si>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</si>
  <si>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</si>
  <si>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</si>
  <si>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</si>
  <si>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</si>
  <si>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</si>
  <si>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</si>
  <si>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</si>
  <si>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</si>
  <si>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</si>
  <si>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</si>
  <si>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</si>
  <si>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</si>
  <si>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</si>
  <si>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</si>
  <si>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</si>
  <si>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</si>
  <si>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</si>
  <si>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</si>
  <si>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</si>
  <si>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</si>
  <si>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</si>
  <si>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</si>
  <si>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</si>
  <si>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</si>
  <si>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</si>
  <si>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</si>
  <si>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</si>
  <si>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</si>
  <si>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</si>
  <si>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</si>
  <si>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</si>
  <si>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</si>
  <si>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</si>
  <si>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</si>
  <si>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</si>
  <si>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</si>
  <si>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</si>
  <si>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</si>
  <si>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</si>
  <si>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</si>
  <si>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</si>
  <si>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</si>
  <si>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</si>
  <si>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</si>
  <si>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</si>
  <si>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</si>
  <si>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</si>
  <si>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</si>
  <si>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</si>
  <si>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</si>
  <si>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</si>
  <si>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</si>
  <si>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</si>
  <si>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</si>
  <si>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</si>
  <si>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</si>
  <si>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</si>
  <si>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</si>
  <si>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</si>
  <si>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</si>
  <si>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</si>
  <si>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</si>
  <si>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</si>
  <si>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</si>
  <si>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</si>
  <si>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</si>
  <si>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</si>
  <si>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</si>
  <si>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</si>
  <si>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</si>
  <si>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</si>
  <si>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</si>
  <si>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</si>
  <si>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</si>
  <si>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</si>
  <si>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</si>
  <si>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</si>
  <si>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</si>
  <si>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</si>
  <si>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</si>
  <si>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</si>
  <si>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</si>
  <si>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</si>
  <si>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</si>
  <si>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</si>
  <si>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</si>
  <si>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</si>
  <si>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</si>
  <si>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</si>
  <si>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</si>
  <si>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</si>
  <si>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</si>
  <si>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</si>
  <si>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</si>
  <si>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</si>
  <si>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</si>
  <si>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</si>
  <si>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</si>
  <si>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</si>
  <si>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</si>
  <si>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</si>
  <si>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</si>
  <si>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</si>
  <si>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</si>
  <si>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</si>
  <si>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</si>
  <si>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</si>
  <si>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</si>
  <si>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</si>
  <si>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</si>
  <si>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</si>
  <si>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</si>
  <si>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</si>
  <si>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</si>
  <si>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</si>
  <si>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</si>
  <si>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</si>
  <si>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</si>
  <si>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</si>
  <si>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</si>
  <si>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</si>
  <si>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</si>
  <si>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</si>
  <si>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</si>
  <si>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</si>
  <si>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</si>
  <si>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</si>
  <si>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</si>
  <si>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</si>
  <si>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</si>
  <si>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</si>
  <si>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</si>
  <si>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</si>
  <si>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</si>
  <si>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</si>
  <si>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</si>
  <si>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</si>
  <si>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</si>
  <si>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</si>
  <si>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</si>
  <si>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</si>
  <si>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</si>
  <si>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</si>
  <si>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</si>
  <si>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</si>
  <si>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</si>
  <si>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</si>
  <si>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</si>
  <si>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</si>
  <si>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</si>
  <si>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</si>
  <si>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</si>
  <si>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</si>
  <si>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</si>
  <si>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</si>
  <si>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</si>
  <si>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</si>
  <si>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</si>
  <si>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</si>
  <si>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</si>
  <si>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</si>
  <si>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</si>
  <si>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</si>
  <si>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</si>
  <si>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</si>
  <si>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</si>
  <si>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</si>
  <si>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</si>
  <si>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</si>
  <si>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</si>
  <si>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</si>
  <si>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</si>
  <si>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</si>
  <si>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</si>
  <si>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</si>
  <si>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</si>
  <si>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</si>
  <si>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</si>
  <si>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</si>
  <si>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</si>
  <si>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</si>
  <si>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</si>
  <si>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</si>
  <si>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</si>
  <si>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</si>
  <si>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</si>
  <si>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</si>
  <si>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</si>
  <si>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</si>
  <si>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</si>
  <si>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</si>
  <si>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</si>
  <si>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</si>
  <si>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</si>
  <si>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</si>
  <si>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</si>
  <si>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</si>
  <si>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</si>
  <si>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</si>
  <si>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</si>
  <si>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</si>
  <si>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</si>
  <si>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</si>
  <si>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</si>
  <si>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</si>
  <si>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</si>
  <si>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</si>
  <si>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</si>
  <si>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</si>
  <si>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</si>
  <si>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</si>
  <si>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</si>
  <si>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</si>
  <si>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</si>
  <si>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</si>
  <si>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</si>
  <si>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</si>
  <si>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</si>
  <si>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</si>
  <si>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</si>
  <si>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</si>
  <si>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</si>
  <si>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</si>
  <si>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</si>
  <si>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</si>
  <si>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</si>
  <si>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</si>
  <si>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</si>
  <si>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</si>
  <si>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</si>
  <si>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</si>
  <si>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</si>
  <si>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</si>
  <si>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</si>
  <si>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</si>
  <si>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</si>
  <si>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</si>
  <si>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</si>
  <si>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</si>
  <si>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</si>
  <si>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</si>
  <si>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</si>
  <si>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</si>
  <si>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</si>
  <si>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</si>
  <si>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</si>
  <si>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</si>
  <si>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</si>
  <si>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</si>
  <si>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</si>
  <si>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</si>
  <si>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</si>
  <si>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</si>
  <si>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</si>
  <si>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</si>
  <si>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</si>
  <si>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</si>
  <si>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</si>
  <si>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</si>
  <si>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</si>
  <si>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</si>
  <si>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</si>
  <si>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</si>
  <si>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</si>
  <si>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</si>
  <si>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</si>
  <si>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</si>
  <si>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</si>
  <si>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</si>
  <si>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</si>
  <si>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</si>
  <si>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</si>
  <si>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</si>
  <si>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</si>
  <si>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</si>
  <si>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</si>
  <si>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</si>
  <si>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</si>
  <si>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</si>
  <si>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</si>
  <si>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</si>
  <si>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</si>
  <si>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</si>
  <si>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</si>
  <si>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</si>
  <si>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</si>
  <si>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</si>
  <si>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</si>
  <si>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</si>
  <si>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</si>
  <si>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</si>
  <si>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</si>
  <si>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</si>
  <si>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</si>
  <si>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</si>
  <si>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</si>
  <si>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</si>
  <si>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</si>
  <si>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</si>
  <si>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</si>
  <si>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</si>
  <si>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</si>
  <si>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</si>
  <si>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</si>
  <si>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</si>
  <si>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</si>
  <si>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</si>
  <si>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</si>
  <si>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</si>
  <si>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</si>
  <si>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</si>
  <si>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</si>
  <si>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</si>
  <si>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</si>
  <si>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</si>
  <si>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</si>
  <si>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</si>
  <si>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</si>
  <si>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</si>
  <si>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</si>
  <si>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</si>
  <si>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</si>
  <si>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</si>
  <si>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</si>
  <si>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</si>
  <si>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</si>
  <si>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</si>
  <si>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</si>
  <si>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</si>
  <si>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</si>
  <si>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</si>
  <si>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</si>
  <si>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</si>
  <si>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</si>
  <si>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</si>
  <si>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</si>
  <si>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</si>
  <si>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</si>
  <si>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</si>
  <si>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</si>
  <si>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</si>
  <si>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</si>
  <si>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</si>
  <si>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</si>
  <si>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</si>
  <si>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</si>
  <si>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</si>
  <si>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</si>
  <si>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</si>
  <si>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</si>
  <si>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</si>
  <si>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</si>
  <si>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</si>
  <si>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</si>
  <si>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</si>
  <si>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</si>
  <si>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</si>
  <si>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</si>
  <si>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</si>
  <si>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</si>
  <si>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</si>
  <si>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</si>
  <si>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</si>
  <si>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</si>
  <si>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</si>
  <si>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</si>
  <si>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</si>
  <si>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</si>
  <si>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</si>
  <si>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</si>
  <si>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</si>
  <si>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</si>
  <si>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</si>
  <si>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</si>
  <si>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</si>
  <si>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</si>
  <si>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</si>
  <si>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</si>
  <si>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</si>
  <si>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</si>
  <si>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</si>
  <si>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</si>
  <si>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</si>
  <si>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</si>
  <si>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</si>
  <si>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</si>
  <si>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</si>
  <si>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</si>
  <si>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</si>
  <si>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</si>
  <si>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</si>
  <si>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</si>
  <si>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</si>
  <si>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</si>
  <si>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</si>
  <si>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</si>
  <si>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</si>
  <si>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</si>
  <si>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</si>
  <si>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</si>
  <si>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</si>
  <si>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</si>
  <si>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</si>
  <si>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</si>
  <si>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</si>
  <si>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</si>
  <si>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</si>
  <si>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</si>
  <si>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</si>
  <si>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</si>
  <si>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</si>
  <si>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</si>
  <si>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</si>
  <si>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</si>
  <si>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</si>
  <si>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</si>
  <si>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</si>
  <si>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</si>
  <si>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</si>
  <si>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</si>
  <si>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</si>
  <si>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</si>
  <si>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</si>
  <si>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</si>
  <si>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</si>
  <si>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</si>
  <si>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</si>
  <si>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</si>
  <si>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</si>
  <si>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</si>
  <si>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</si>
  <si>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</si>
  <si>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</si>
  <si>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</si>
  <si>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</si>
  <si>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</si>
  <si>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</si>
  <si>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</si>
  <si>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</si>
  <si>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</si>
  <si>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</si>
  <si>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</si>
  <si>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</si>
  <si>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</si>
  <si>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</si>
  <si>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</si>
  <si>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</si>
  <si>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</si>
  <si>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</si>
  <si>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</si>
  <si>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</si>
  <si>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</si>
  <si>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</si>
  <si>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</si>
  <si>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</si>
  <si>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</si>
  <si>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</si>
  <si>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</si>
  <si>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</si>
  <si>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</si>
  <si>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</si>
  <si>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</si>
  <si>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</si>
  <si>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</si>
  <si>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</si>
  <si>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</si>
  <si>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</si>
  <si>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</si>
  <si>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</si>
  <si>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</si>
  <si>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</si>
  <si>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</si>
  <si>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</si>
  <si>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</si>
  <si>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</si>
  <si>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</si>
  <si>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</si>
  <si>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</si>
  <si>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</si>
  <si>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</si>
  <si>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</si>
  <si>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</si>
  <si>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</si>
  <si>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</si>
  <si>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</si>
  <si>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</si>
  <si>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</si>
  <si>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</si>
  <si>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</si>
  <si>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</si>
  <si>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</si>
  <si>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</si>
  <si>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</si>
  <si>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</si>
  <si>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</si>
  <si>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</si>
  <si>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</si>
  <si>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</si>
  <si>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</si>
  <si>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</si>
  <si>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</si>
  <si>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</si>
  <si>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</si>
  <si>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</si>
  <si>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</si>
  <si>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</si>
  <si>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</si>
  <si>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</si>
  <si>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</si>
  <si>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</si>
  <si>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</si>
  <si>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</si>
  <si>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</si>
  <si>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</si>
  <si>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</si>
  <si>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</si>
  <si>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</si>
  <si>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</si>
  <si>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</si>
  <si>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</si>
  <si>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</si>
  <si>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</si>
  <si>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</si>
  <si>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</si>
  <si>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</si>
  <si>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</si>
  <si>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</si>
  <si>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</si>
  <si>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</si>
  <si>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</si>
  <si>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</si>
  <si>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</si>
  <si>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</si>
  <si>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</si>
  <si>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</si>
  <si>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</si>
  <si>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</si>
  <si>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</si>
  <si>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</si>
  <si>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</si>
  <si>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</si>
  <si>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</si>
  <si>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</si>
  <si>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</si>
  <si>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</si>
  <si>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</si>
  <si>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</si>
  <si>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</si>
  <si>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</si>
  <si>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</si>
  <si>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</si>
  <si>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</si>
  <si>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</si>
  <si>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</si>
  <si>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</si>
  <si>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</si>
  <si>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</si>
  <si>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</si>
  <si>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</si>
  <si>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</si>
  <si>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</si>
  <si>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</si>
  <si>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</si>
  <si>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</si>
  <si>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</si>
  <si>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</si>
  <si>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</si>
  <si>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</si>
  <si>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</si>
  <si>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</si>
  <si>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</si>
  <si>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</si>
  <si>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</si>
  <si>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</si>
  <si>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</si>
  <si>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</si>
  <si>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</si>
  <si>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</si>
  <si>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</si>
  <si>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</si>
  <si>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</si>
  <si>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</si>
  <si>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</si>
  <si>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</si>
  <si>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</si>
  <si>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</si>
  <si>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</si>
  <si>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</si>
  <si>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</si>
  <si>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</si>
  <si>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</si>
  <si>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</si>
  <si>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</si>
  <si>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</si>
  <si>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</si>
  <si>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</si>
  <si>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</si>
  <si>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</si>
  <si>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</si>
  <si>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</si>
  <si>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</si>
  <si>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</si>
  <si>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</si>
  <si>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</si>
  <si>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</si>
  <si>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</si>
  <si>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</si>
  <si>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</si>
  <si>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</si>
  <si>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</si>
  <si>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</si>
  <si>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</si>
  <si>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</si>
  <si>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</si>
  <si>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</si>
  <si>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</si>
  <si>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</si>
  <si>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</si>
  <si>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</si>
  <si>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</si>
  <si>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</si>
  <si>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</si>
  <si>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</si>
  <si>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</si>
  <si>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</si>
  <si>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</si>
  <si>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</si>
  <si>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</si>
  <si>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</si>
  <si>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</si>
  <si>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</si>
  <si>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</si>
  <si>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</si>
  <si>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</si>
  <si>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</si>
  <si>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</si>
  <si>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</si>
  <si>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</si>
  <si>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</si>
  <si>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</si>
  <si>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</si>
  <si>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</si>
  <si>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</si>
  <si>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</si>
  <si>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</si>
  <si>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</si>
  <si>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</si>
  <si>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</si>
  <si>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</si>
  <si>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</si>
  <si>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</si>
  <si>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</si>
  <si>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</si>
  <si>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</si>
  <si>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</si>
  <si>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</si>
  <si>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</si>
  <si>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</si>
  <si>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</si>
  <si>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</si>
  <si>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</si>
  <si>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</si>
  <si>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</si>
  <si>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</si>
  <si>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</si>
  <si>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</si>
  <si>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</si>
  <si>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</si>
  <si>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</si>
  <si>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</si>
  <si>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</si>
  <si>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</si>
  <si>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</si>
  <si>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</si>
  <si>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</si>
  <si>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</si>
  <si>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</si>
  <si>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</si>
  <si>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</si>
  <si>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</si>
  <si>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</si>
  <si>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</si>
  <si>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</si>
  <si>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</si>
  <si>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</si>
  <si>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</si>
  <si>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</si>
  <si>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</si>
  <si>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</si>
  <si>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</si>
  <si>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</si>
  <si>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</si>
  <si>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</si>
  <si>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</si>
  <si>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</si>
  <si>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</si>
  <si>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</si>
  <si>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</si>
  <si>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</si>
  <si>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</si>
  <si>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</si>
  <si>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</si>
  <si>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</si>
  <si>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</si>
  <si>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</si>
  <si>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</si>
  <si>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</si>
  <si>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</si>
  <si>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</si>
  <si>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</si>
  <si>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</si>
  <si>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</si>
  <si>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</si>
  <si>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</si>
  <si>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</si>
  <si>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</si>
  <si>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</si>
  <si>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</si>
  <si>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</si>
  <si>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</si>
  <si>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</si>
  <si>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</si>
  <si>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</si>
  <si>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</si>
  <si>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</si>
  <si>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</si>
  <si>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</si>
  <si>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</si>
  <si>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</si>
  <si>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</si>
  <si>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</si>
  <si>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</si>
  <si>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</si>
  <si>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</si>
  <si>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</si>
  <si>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</si>
  <si>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</si>
  <si>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</si>
  <si>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</si>
  <si>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</si>
  <si>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</si>
  <si>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</si>
  <si>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</si>
  <si>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</si>
  <si>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</si>
  <si>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</si>
  <si>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</si>
  <si>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</si>
  <si>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</si>
  <si>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</si>
  <si>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</si>
  <si>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</si>
  <si>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</si>
  <si>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</si>
  <si>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</si>
  <si>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</si>
  <si>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</si>
  <si>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</si>
  <si>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</si>
  <si>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</si>
  <si>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</si>
  <si>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</si>
  <si>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</si>
  <si>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</si>
  <si>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</si>
  <si>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</si>
  <si>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</si>
  <si>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</si>
  <si>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</si>
  <si>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</si>
  <si>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</si>
  <si>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</si>
  <si>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</si>
  <si>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</si>
  <si>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</si>
  <si>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</si>
  <si>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</si>
  <si>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</si>
  <si>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</si>
  <si>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</si>
  <si>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</si>
  <si>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</si>
  <si>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</si>
  <si>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</si>
  <si>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</si>
  <si>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</si>
  <si>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</si>
  <si>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</si>
  <si>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</si>
  <si>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</si>
  <si>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</si>
  <si>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</si>
  <si>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</si>
  <si>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</si>
  <si>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</si>
  <si>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</si>
  <si>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</si>
  <si>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</si>
  <si>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</si>
  <si>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</si>
  <si>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</si>
  <si>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</si>
  <si>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</si>
  <si>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</si>
  <si>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</si>
  <si>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</si>
  <si>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</si>
  <si>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</si>
  <si>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</si>
  <si>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</si>
  <si>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</si>
  <si>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</si>
  <si>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</si>
  <si>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</si>
  <si>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</si>
  <si>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</si>
  <si>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</si>
  <si>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</si>
  <si>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</si>
  <si>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</si>
  <si>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</si>
  <si>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</si>
  <si>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</si>
  <si>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</si>
  <si>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</si>
  <si>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</si>
  <si>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</si>
  <si>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</si>
  <si>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</si>
  <si>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</si>
  <si>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</si>
  <si>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</si>
  <si>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</si>
  <si>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</si>
  <si>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</si>
  <si>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</si>
  <si>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</si>
  <si>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</si>
  <si>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</si>
  <si>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</si>
  <si>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</si>
  <si>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</si>
  <si>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</si>
  <si>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</si>
  <si>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</si>
  <si>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</si>
  <si>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</si>
  <si>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</si>
  <si>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</si>
  <si>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</si>
  <si>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</si>
  <si>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</si>
  <si>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</si>
  <si>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</si>
  <si>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</si>
  <si>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</si>
  <si>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</si>
  <si>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</si>
  <si>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</si>
  <si>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</si>
  <si>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</si>
  <si>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</si>
  <si>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</si>
  <si>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</si>
  <si>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</si>
  <si>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</si>
  <si>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</si>
  <si>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</si>
  <si>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</si>
  <si>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</si>
  <si>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</si>
  <si>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</si>
  <si>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</si>
  <si>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</si>
  <si>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</si>
  <si>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</si>
  <si>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</si>
  <si>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</si>
  <si>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</si>
  <si>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</si>
  <si>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</si>
  <si>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</si>
  <si>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</si>
  <si>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</si>
  <si>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</si>
  <si>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</si>
  <si>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</si>
  <si>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</si>
  <si>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</si>
  <si>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</si>
  <si>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</si>
  <si>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</si>
  <si>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</si>
  <si>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</si>
  <si>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</si>
  <si>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</si>
  <si>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</si>
  <si>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</si>
  <si>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</si>
  <si>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</si>
  <si>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</si>
  <si>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</si>
  <si>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</si>
  <si>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</si>
  <si>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</si>
  <si>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</si>
  <si>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</si>
  <si>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</si>
  <si>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</si>
  <si>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</si>
  <si>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</si>
  <si>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</si>
  <si>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</si>
  <si>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</si>
  <si>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</si>
  <si>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</si>
  <si>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</si>
  <si>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</si>
  <si>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</si>
  <si>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</si>
  <si>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</si>
  <si>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</si>
  <si>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</si>
  <si>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</si>
  <si>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</si>
  <si>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</si>
  <si>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</si>
  <si>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</si>
  <si>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</si>
  <si>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</si>
  <si>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</si>
  <si>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</si>
  <si>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</si>
  <si>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</si>
  <si>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</si>
  <si>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</si>
  <si>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</si>
  <si>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</si>
  <si>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</si>
  <si>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</si>
  <si>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</si>
  <si>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</si>
  <si>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</si>
  <si>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</si>
  <si>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</si>
  <si>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</si>
  <si>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</si>
  <si>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</si>
  <si>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</si>
  <si>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</si>
  <si>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</si>
  <si>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</si>
  <si>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</si>
  <si>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</si>
  <si>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</si>
  <si>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</si>
  <si>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</si>
  <si>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</si>
  <si>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</si>
  <si>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</si>
  <si>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</si>
  <si>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</si>
  <si>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</si>
  <si>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</si>
  <si>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</si>
  <si>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</si>
  <si>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</si>
  <si>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</si>
  <si>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</si>
  <si>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</si>
  <si>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</si>
  <si>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</si>
  <si>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</si>
  <si>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</si>
  <si>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</si>
  <si>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</si>
  <si>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</si>
  <si>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</si>
  <si>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</si>
  <si>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</si>
  <si>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</si>
  <si>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</si>
  <si>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</si>
  <si>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</si>
  <si>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</si>
  <si>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</si>
  <si>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</si>
  <si>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</si>
  <si>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</si>
  <si>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</si>
  <si>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</si>
  <si>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</si>
  <si>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</si>
  <si>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</si>
  <si>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</si>
  <si>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</si>
  <si>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</si>
  <si>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</si>
  <si>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</si>
  <si>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</si>
  <si>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</si>
  <si>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</si>
  <si>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</si>
  <si>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</si>
  <si>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</si>
  <si>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</si>
  <si>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</si>
  <si>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</si>
  <si>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</si>
  <si>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</si>
  <si>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</si>
  <si>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</si>
  <si>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</si>
  <si>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</si>
  <si>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</si>
  <si>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</si>
  <si>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</si>
  <si>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</si>
  <si>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</si>
  <si>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</si>
  <si>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</si>
  <si>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</si>
  <si>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</si>
  <si>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</si>
  <si>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</si>
  <si>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</si>
  <si>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</si>
  <si>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</si>
  <si>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</si>
  <si>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</si>
  <si>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</si>
  <si>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</si>
  <si>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</si>
  <si>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</si>
  <si>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</si>
  <si>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</si>
  <si>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</si>
  <si>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</si>
  <si>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</si>
  <si>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</si>
  <si>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</si>
  <si>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</si>
  <si>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</si>
  <si>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</si>
  <si>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</si>
  <si>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</si>
  <si>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</si>
  <si>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</si>
  <si>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</si>
  <si>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</si>
  <si>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</si>
  <si>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</si>
  <si>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</si>
  <si>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</si>
  <si>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</si>
  <si>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</si>
  <si>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</si>
  <si>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</si>
  <si>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</si>
  <si>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</si>
  <si>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</si>
  <si>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</si>
  <si>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</si>
  <si>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</si>
  <si>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</si>
  <si>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</si>
  <si>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</si>
  <si>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</si>
  <si>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</si>
  <si>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</si>
  <si>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</si>
  <si>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</si>
  <si>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</si>
  <si>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</si>
  <si>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</si>
  <si>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</si>
  <si>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</si>
  <si>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</si>
  <si>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</si>
  <si>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</si>
  <si>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</si>
  <si>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</si>
  <si>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</si>
  <si>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</si>
  <si>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</si>
  <si>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</si>
  <si>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</si>
  <si>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</si>
  <si>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</si>
  <si>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</si>
  <si>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</si>
  <si>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</si>
  <si>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</si>
  <si>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</si>
  <si>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</si>
  <si>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</si>
  <si>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</si>
  <si>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</si>
  <si>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</si>
  <si>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</si>
  <si>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</si>
  <si>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</si>
  <si>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</si>
  <si>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</si>
  <si>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</si>
  <si>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</si>
  <si>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</si>
  <si>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</si>
  <si>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</si>
  <si>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</si>
  <si>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</si>
  <si>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</si>
  <si>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</si>
  <si>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</si>
  <si>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</si>
  <si>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</si>
  <si>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</si>
  <si>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</si>
  <si>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</si>
  <si>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</si>
  <si>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</si>
  <si>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</si>
  <si>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</si>
  <si>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</si>
  <si>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</si>
  <si>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</si>
  <si>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</si>
  <si>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</si>
  <si>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</si>
  <si>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</si>
  <si>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</si>
  <si>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</si>
  <si>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</si>
  <si>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</si>
  <si>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</si>
  <si>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</si>
  <si>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</si>
  <si>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</si>
  <si>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</si>
  <si>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</si>
  <si>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</si>
  <si>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</si>
  <si>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</si>
  <si>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</si>
  <si>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</si>
  <si>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</si>
  <si>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</si>
  <si>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</si>
  <si>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</si>
  <si>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</si>
  <si>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</si>
  <si>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</si>
  <si>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</si>
  <si>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</si>
  <si>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</si>
  <si>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</si>
  <si>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</si>
  <si>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</si>
  <si>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</si>
  <si>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</si>
  <si>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</si>
  <si>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</si>
  <si>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</si>
  <si>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</si>
  <si>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</si>
  <si>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</si>
  <si>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</si>
  <si>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</si>
  <si>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</si>
  <si>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</si>
  <si>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</si>
  <si>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</si>
  <si>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</si>
  <si>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</si>
  <si>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</si>
  <si>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</si>
  <si>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</si>
  <si>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</si>
  <si>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</si>
  <si>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</si>
  <si>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</si>
  <si>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</si>
  <si>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</si>
  <si>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</si>
  <si>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</si>
  <si>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</si>
  <si>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</si>
  <si>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</si>
  <si>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</si>
  <si>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</si>
  <si>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</si>
  <si>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</si>
  <si>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</si>
  <si>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</si>
  <si>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</si>
  <si>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</si>
  <si>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</si>
  <si>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</si>
  <si>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</si>
  <si>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</si>
  <si>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</si>
  <si>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</si>
  <si>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</si>
  <si>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</si>
  <si>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</si>
  <si>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</si>
  <si>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</si>
  <si>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</si>
  <si>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</si>
  <si>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</si>
  <si>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</si>
  <si>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</si>
  <si>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</si>
  <si>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</si>
  <si>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</si>
  <si>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</si>
  <si>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</si>
  <si>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</si>
  <si>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</si>
  <si>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</si>
  <si>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</si>
  <si>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</si>
  <si>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</si>
  <si>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</si>
  <si>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</si>
  <si>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</si>
  <si>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</si>
  <si>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</si>
  <si>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</si>
  <si>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</si>
  <si>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</si>
  <si>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</si>
  <si>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</si>
  <si>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</si>
  <si>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</si>
  <si>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</si>
  <si>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</si>
  <si>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</si>
  <si>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</si>
  <si>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</si>
  <si>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</si>
  <si>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</si>
  <si>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</si>
  <si>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</si>
  <si>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</si>
  <si>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</si>
  <si>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</si>
  <si>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</si>
  <si>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</si>
  <si>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</si>
  <si>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</si>
  <si>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</si>
  <si>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</si>
  <si>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</si>
  <si>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</si>
  <si>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</si>
  <si>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</si>
  <si>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</si>
  <si>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</si>
  <si>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</si>
  <si>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</si>
  <si>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</si>
  <si>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</si>
  <si>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</si>
  <si>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</si>
  <si>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</si>
  <si>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</si>
  <si>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</si>
  <si>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</si>
  <si>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</si>
  <si>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</si>
  <si>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</si>
  <si>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</si>
  <si>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</si>
  <si>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</si>
  <si>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</si>
  <si>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</si>
  <si>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</si>
  <si>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</si>
  <si>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</si>
  <si>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</si>
  <si>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</si>
  <si>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</si>
  <si>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</si>
  <si>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</si>
  <si>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</si>
  <si>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</si>
  <si>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</si>
  <si>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</si>
  <si>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</si>
  <si>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</si>
  <si>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</si>
  <si>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</si>
  <si>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</si>
  <si>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</si>
  <si>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</si>
  <si>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</si>
  <si>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</si>
  <si>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</si>
  <si>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</si>
  <si>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</si>
  <si>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</si>
  <si>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</si>
  <si>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</si>
  <si>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</si>
  <si>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</si>
  <si>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</si>
  <si>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</si>
  <si>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</si>
  <si>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</si>
  <si>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</si>
  <si>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</si>
  <si>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</si>
  <si>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</si>
  <si>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</si>
  <si>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</si>
  <si>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</si>
  <si>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</si>
  <si>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</si>
  <si>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</si>
  <si>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</si>
  <si>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</si>
  <si>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</si>
  <si>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</si>
  <si>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</si>
  <si>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</si>
  <si>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</si>
  <si>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</si>
  <si>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</si>
  <si>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</si>
  <si>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</si>
  <si>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</si>
  <si>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</si>
  <si>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</si>
  <si>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</si>
  <si>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</si>
  <si>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</si>
  <si>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</si>
  <si>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</si>
  <si>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</si>
  <si>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</si>
  <si>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</si>
  <si>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</si>
  <si>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</si>
  <si>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</si>
  <si>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</si>
  <si>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</si>
  <si>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</si>
  <si>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</si>
  <si>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</si>
  <si>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</si>
  <si>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</si>
  <si>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</si>
  <si>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</si>
  <si>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</si>
  <si>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</si>
  <si>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</si>
  <si>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</si>
  <si>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</si>
  <si>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</si>
  <si>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</si>
  <si>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</si>
  <si>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</si>
  <si>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</si>
  <si>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</si>
  <si>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</si>
  <si>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</si>
  <si>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</si>
  <si>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</si>
  <si>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</si>
  <si>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</si>
  <si>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</si>
  <si>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</si>
  <si>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</si>
  <si>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</si>
  <si>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</si>
  <si>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</si>
  <si>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</si>
  <si>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</si>
  <si>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</si>
  <si>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</si>
  <si>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</si>
  <si>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</si>
  <si>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</si>
  <si>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</si>
  <si>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</si>
  <si>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</si>
  <si>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</si>
  <si>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</si>
  <si>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</si>
  <si>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</si>
  <si>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</si>
  <si>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</si>
  <si>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</si>
  <si>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</si>
  <si>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</si>
  <si>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</si>
  <si>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</si>
  <si>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</si>
  <si>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</si>
  <si>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</si>
  <si>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</si>
  <si>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</si>
  <si>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</si>
  <si>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</si>
  <si>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</si>
  <si>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</si>
  <si>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</si>
  <si>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</si>
  <si>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</si>
  <si>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</si>
  <si>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</si>
  <si>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</si>
  <si>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</si>
  <si>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</si>
  <si>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</si>
  <si>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</si>
  <si>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</si>
  <si>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</si>
  <si>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</si>
  <si>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</si>
  <si>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</si>
  <si>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</si>
  <si>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</si>
  <si>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</si>
  <si>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</si>
  <si>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</si>
  <si>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</si>
  <si>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</si>
  <si>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</si>
  <si>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</si>
  <si>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</si>
  <si>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</si>
  <si>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</si>
  <si>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</si>
  <si>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</si>
  <si>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</si>
  <si>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</si>
  <si>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</si>
  <si>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</si>
  <si>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</si>
  <si>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</si>
  <si>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</si>
  <si>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</si>
  <si>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</si>
  <si>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</si>
  <si>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</si>
  <si>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</si>
  <si>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</si>
  <si>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</si>
  <si>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</si>
  <si>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</si>
  <si>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</si>
  <si>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</si>
  <si>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</si>
  <si>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</si>
  <si>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</si>
  <si>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</si>
  <si>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</si>
  <si>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</si>
  <si>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</si>
  <si>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</si>
  <si>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</si>
  <si>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</si>
  <si>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</si>
  <si>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</si>
  <si>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</si>
  <si>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</si>
  <si>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</si>
  <si>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</si>
  <si>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</si>
  <si>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</si>
  <si>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</si>
  <si>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</si>
  <si>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</si>
  <si>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</si>
  <si>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</si>
  <si>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</si>
  <si>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</si>
  <si>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</si>
  <si>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</si>
  <si>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</si>
  <si>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</si>
  <si>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</si>
  <si>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</si>
  <si>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</si>
  <si>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</si>
  <si>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</si>
  <si>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</si>
  <si>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</si>
  <si>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</si>
  <si>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</si>
  <si>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</si>
  <si>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</si>
  <si>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</si>
  <si>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</si>
  <si>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</si>
  <si>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</si>
  <si>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</si>
  <si>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</si>
  <si>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</si>
  <si>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</si>
  <si>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</si>
  <si>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</si>
  <si>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</si>
  <si>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</si>
  <si>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</si>
  <si>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</si>
  <si>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</si>
  <si>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</si>
  <si>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</si>
  <si>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</si>
  <si>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</si>
  <si>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</si>
  <si>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</si>
  <si>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</si>
  <si>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</si>
  <si>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</si>
  <si>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</si>
  <si>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</si>
  <si>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</si>
  <si>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</si>
  <si>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</si>
  <si>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</si>
  <si>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</si>
  <si>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</si>
  <si>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</si>
  <si>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</si>
  <si>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</si>
  <si>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</si>
  <si>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</si>
  <si>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</si>
  <si>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</si>
  <si>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</si>
  <si>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</si>
  <si>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</si>
  <si>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</si>
  <si>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</si>
  <si>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</si>
  <si>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</si>
  <si>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</si>
  <si>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</si>
  <si>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</si>
  <si>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</si>
  <si>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</si>
  <si>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</si>
  <si>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</si>
  <si>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</si>
  <si>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</si>
  <si>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</si>
  <si>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</si>
  <si>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</si>
  <si>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</si>
  <si>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</si>
  <si>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</si>
  <si>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</si>
  <si>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</si>
  <si>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</si>
  <si>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</si>
  <si>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</si>
  <si>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</si>
  <si>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</si>
  <si>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</si>
  <si>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</si>
  <si>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</si>
  <si>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</si>
  <si>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</si>
  <si>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</si>
  <si>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</si>
  <si>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</si>
  <si>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</si>
  <si>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</si>
  <si>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</si>
  <si>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</si>
  <si>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</si>
  <si>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</si>
  <si>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</si>
  <si>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</si>
  <si>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</si>
  <si>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</si>
  <si>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</si>
  <si>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</si>
  <si>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</si>
  <si>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</si>
  <si>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</si>
  <si>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</si>
  <si>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</si>
  <si>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</si>
  <si>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</si>
  <si>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</si>
  <si>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</si>
  <si>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</si>
  <si>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</si>
  <si>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</si>
  <si>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</si>
  <si>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</si>
  <si>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</si>
  <si>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</si>
  <si>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</si>
  <si>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</si>
  <si>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</si>
  <si>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</si>
  <si>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</si>
  <si>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</si>
  <si>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</si>
  <si>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</si>
  <si>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</si>
  <si>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</si>
  <si>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</si>
  <si>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</si>
  <si>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</si>
  <si>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</si>
  <si>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</si>
  <si>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</si>
  <si>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</si>
  <si>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</si>
  <si>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</si>
  <si>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</si>
  <si>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</si>
  <si>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</si>
  <si>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</si>
  <si>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</si>
  <si>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</si>
  <si>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</si>
  <si>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</si>
  <si>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</si>
  <si>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</si>
  <si>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</si>
  <si>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</si>
  <si>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</si>
  <si>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</si>
  <si>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</si>
  <si>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</si>
  <si>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</si>
  <si>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</si>
  <si>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</si>
  <si>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</si>
  <si>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</si>
  <si>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</si>
  <si>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</si>
  <si>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</si>
  <si>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</si>
  <si>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</si>
  <si>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</si>
  <si>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</si>
  <si>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</si>
  <si>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</si>
  <si>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</si>
  <si>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</si>
  <si>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</si>
  <si>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</si>
  <si>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</si>
  <si>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</si>
  <si>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</si>
  <si>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</si>
  <si>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</si>
  <si>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</si>
  <si>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</si>
  <si>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</si>
  <si>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</si>
  <si>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</si>
  <si>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</si>
  <si>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</si>
  <si>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</si>
  <si>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</si>
  <si>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</si>
  <si>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</si>
  <si>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</si>
  <si>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</si>
  <si>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</si>
  <si>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</si>
  <si>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</si>
  <si>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</si>
  <si>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</si>
  <si>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</si>
  <si>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</si>
  <si>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</si>
  <si>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</si>
  <si>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</si>
  <si>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</si>
  <si>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</si>
  <si>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</si>
  <si>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</si>
  <si>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</si>
  <si>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</si>
  <si>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</si>
  <si>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</si>
  <si>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</si>
  <si>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</si>
  <si>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</si>
  <si>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</si>
  <si>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</si>
  <si>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</si>
  <si>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</si>
  <si>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</si>
  <si>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</si>
  <si>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</si>
  <si>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</si>
  <si>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</si>
  <si>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</si>
  <si>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</si>
  <si>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</si>
  <si>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</si>
  <si>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</si>
  <si>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</si>
  <si>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</si>
  <si>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</si>
  <si>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</si>
  <si>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</si>
  <si>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</si>
  <si>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</si>
  <si>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</si>
  <si>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</si>
  <si>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</si>
  <si>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</si>
  <si>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</si>
  <si>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</si>
  <si>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</si>
  <si>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</si>
  <si>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</si>
  <si>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</si>
  <si>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</si>
  <si>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</si>
  <si>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</si>
  <si>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</si>
  <si>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</si>
  <si>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</si>
  <si>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</si>
  <si>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</si>
  <si>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</si>
  <si>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</si>
  <si>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</si>
  <si>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</si>
  <si>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</si>
  <si>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</si>
  <si>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</si>
  <si>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</si>
  <si>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</si>
  <si>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</si>
  <si>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</si>
  <si>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</si>
  <si>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</si>
  <si>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</si>
  <si>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</si>
  <si>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</si>
  <si>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</si>
  <si>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</si>
  <si>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</si>
  <si>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</si>
  <si>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</si>
  <si>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</si>
  <si>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</si>
  <si>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</si>
  <si>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</si>
  <si>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</si>
  <si>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</si>
  <si>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</si>
  <si>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</si>
  <si>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</si>
  <si>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</si>
  <si>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</si>
  <si>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</si>
  <si>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</si>
  <si>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</si>
  <si>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</si>
  <si>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</si>
  <si>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</si>
  <si>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</si>
  <si>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</si>
  <si>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</si>
  <si>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</si>
  <si>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</si>
  <si>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</si>
  <si>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</si>
  <si>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</si>
  <si>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</si>
  <si>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</si>
  <si>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</si>
  <si>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</si>
  <si>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</si>
  <si>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</si>
  <si>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</si>
  <si>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</si>
  <si>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</si>
  <si>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</si>
  <si>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</si>
  <si>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</si>
  <si>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</si>
  <si>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</si>
  <si>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</si>
  <si>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</si>
  <si>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</si>
  <si>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</si>
  <si>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</si>
  <si>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</si>
  <si>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</si>
  <si>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</si>
  <si>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</si>
  <si>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</si>
  <si>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</si>
  <si>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</si>
  <si>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</si>
  <si>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</si>
  <si>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</si>
  <si>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</si>
  <si>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</si>
  <si>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</si>
  <si>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</si>
  <si>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</si>
  <si>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</si>
  <si>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</si>
  <si>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</si>
  <si>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</si>
  <si>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</si>
  <si>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</si>
  <si>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</si>
  <si>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</si>
  <si>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</si>
  <si>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</si>
  <si>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</si>
  <si>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</si>
  <si>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</si>
  <si>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</si>
  <si>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</si>
  <si>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</si>
  <si>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</si>
  <si>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</si>
  <si>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</si>
  <si>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</si>
  <si>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</si>
  <si>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</si>
  <si>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</si>
  <si>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</si>
  <si>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</si>
  <si>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</si>
  <si>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</si>
  <si>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</si>
  <si>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</si>
  <si>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</si>
  <si>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</si>
  <si>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</si>
  <si>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</si>
  <si>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</si>
  <si>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</si>
  <si>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</si>
  <si>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</si>
  <si>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</si>
  <si>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</si>
  <si>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</si>
  <si>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</si>
  <si>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</si>
  <si>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</si>
  <si>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</si>
  <si>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</si>
  <si>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</si>
  <si>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</si>
  <si>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</si>
  <si>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</si>
  <si>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</si>
  <si>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</si>
  <si>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</si>
  <si>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</si>
  <si>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</si>
  <si>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</si>
  <si>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</si>
  <si>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</si>
  <si>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</si>
  <si>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</si>
  <si>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</si>
  <si>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</si>
  <si>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</si>
  <si>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</si>
  <si>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</si>
  <si>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</si>
  <si>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</si>
  <si>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</si>
  <si>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</si>
  <si>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</si>
  <si>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</si>
  <si>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</si>
  <si>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</si>
  <si>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</si>
  <si>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</si>
  <si>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</si>
  <si>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</si>
  <si>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</si>
  <si>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</si>
  <si>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</si>
  <si>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</si>
  <si>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</si>
  <si>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</si>
  <si>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</si>
  <si>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</si>
  <si>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</si>
  <si>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</si>
  <si>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</si>
  <si>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</si>
  <si>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</si>
  <si>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</si>
  <si>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</si>
  <si>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</si>
  <si>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</si>
  <si>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</si>
  <si>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</si>
  <si>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</si>
  <si>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</si>
  <si>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</si>
  <si>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</si>
  <si>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</si>
  <si>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</si>
  <si>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</si>
  <si>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</si>
  <si>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</si>
  <si>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</si>
  <si>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</si>
  <si>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</si>
  <si>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</si>
  <si>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</si>
  <si>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</si>
  <si>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</si>
  <si>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</si>
  <si>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</si>
  <si>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</si>
  <si>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</si>
  <si>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</si>
  <si>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</si>
  <si>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</si>
  <si>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</si>
  <si>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</si>
  <si>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</si>
  <si>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</si>
  <si>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</si>
  <si>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</si>
  <si>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</si>
  <si>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</si>
  <si>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</si>
  <si>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</si>
  <si>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</si>
  <si>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</si>
  <si>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</si>
  <si>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</si>
  <si>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</si>
  <si>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</si>
  <si>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</si>
  <si>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</si>
  <si>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</si>
  <si>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</si>
  <si>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</si>
  <si>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</si>
  <si>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</si>
  <si>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</si>
  <si>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</si>
  <si>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</si>
  <si>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</si>
  <si>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</si>
  <si>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</si>
  <si>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</si>
  <si>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</si>
  <si>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</si>
  <si>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</si>
  <si>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</si>
  <si>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</si>
  <si>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</si>
  <si>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</si>
  <si>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</si>
  <si>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</si>
  <si>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</si>
  <si>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</si>
  <si>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</si>
  <si>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</si>
  <si>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</si>
  <si>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</si>
  <si>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</si>
  <si>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</si>
  <si>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</si>
  <si>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</si>
  <si>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</si>
  <si>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</si>
  <si>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</si>
  <si>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</si>
  <si>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</si>
  <si>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</si>
  <si>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</si>
  <si>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</si>
  <si>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</si>
  <si>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</si>
  <si>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</si>
  <si>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</si>
  <si>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</si>
  <si>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</si>
  <si>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</si>
  <si>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</si>
  <si>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</si>
  <si>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</si>
  <si>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</si>
  <si>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</si>
  <si>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</si>
  <si>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</si>
  <si>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</si>
  <si>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</si>
  <si>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</si>
  <si>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</si>
  <si>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</si>
  <si>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</si>
  <si>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</si>
  <si>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</si>
  <si>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</si>
  <si>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</si>
  <si>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</si>
  <si>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</si>
  <si>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</si>
  <si>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</si>
  <si>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</si>
  <si>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</si>
  <si>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</si>
  <si>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</si>
  <si>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</si>
  <si>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</si>
  <si>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</si>
  <si>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</si>
  <si>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</si>
  <si>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</si>
  <si>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</si>
  <si>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</si>
  <si>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</si>
  <si>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</si>
  <si>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</si>
  <si>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</si>
  <si>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</si>
  <si>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</si>
  <si>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</si>
  <si>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</si>
  <si>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</si>
  <si>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</si>
  <si>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</si>
  <si>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</si>
  <si>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</si>
  <si>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</si>
  <si>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</si>
  <si>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</si>
  <si>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</si>
  <si>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</si>
  <si>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</si>
  <si>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</si>
  <si>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</si>
  <si>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</si>
  <si>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</si>
  <si>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</si>
  <si>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</si>
  <si>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</si>
  <si>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</si>
  <si>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</si>
  <si>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</si>
  <si>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</si>
  <si>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</si>
  <si>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</si>
  <si>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</si>
  <si>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</si>
  <si>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</si>
  <si>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</si>
  <si>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</si>
  <si>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</si>
  <si>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</si>
  <si>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</si>
  <si>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</si>
  <si>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</si>
  <si>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</si>
  <si>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</si>
  <si>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</si>
  <si>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</si>
  <si>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</si>
  <si>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</si>
  <si>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</si>
  <si>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</si>
  <si>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</si>
  <si>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</si>
  <si>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</si>
  <si>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</si>
  <si>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</si>
  <si>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</si>
  <si>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</si>
  <si>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</si>
  <si>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</si>
  <si>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</si>
  <si>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</si>
  <si>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</si>
  <si>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</si>
  <si>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</si>
  <si>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</si>
  <si>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</si>
  <si>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</si>
  <si>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</si>
  <si>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</si>
  <si>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</si>
  <si>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</si>
  <si>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</si>
  <si>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</si>
  <si>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</si>
  <si>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</si>
  <si>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</si>
  <si>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</si>
  <si>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</si>
  <si>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</si>
  <si>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</si>
  <si>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</si>
  <si>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</si>
  <si>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</si>
  <si>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</si>
  <si>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</si>
  <si>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</si>
  <si>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</si>
  <si>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</si>
  <si>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</si>
  <si>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</si>
  <si>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</si>
  <si>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</si>
  <si>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</si>
  <si>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</si>
  <si>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</si>
  <si>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</si>
  <si>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</si>
  <si>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</si>
  <si>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</si>
  <si>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</si>
  <si>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</si>
  <si>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</si>
  <si>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</si>
  <si>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</si>
  <si>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</si>
  <si>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</si>
  <si>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</si>
  <si>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</si>
  <si>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</si>
  <si>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</si>
  <si>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</si>
  <si>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</si>
  <si>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</si>
  <si>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</si>
  <si>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</si>
  <si>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</si>
  <si>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</si>
  <si>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</si>
  <si>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</si>
  <si>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</si>
  <si>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</si>
  <si>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</si>
  <si>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</si>
  <si>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</si>
  <si>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</si>
  <si>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</si>
  <si>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</si>
  <si>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</si>
  <si>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</si>
  <si>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</si>
  <si>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</si>
  <si>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</si>
  <si>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</si>
  <si>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</si>
  <si>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</si>
  <si>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</si>
  <si>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</si>
  <si>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</si>
  <si>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</si>
  <si>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</si>
  <si>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</si>
  <si>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</si>
  <si>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</si>
  <si>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</si>
  <si>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</si>
  <si>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</si>
  <si>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</si>
  <si>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</si>
  <si>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</si>
  <si>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</si>
  <si>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</si>
  <si>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</si>
  <si>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</si>
  <si>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</si>
  <si>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</si>
  <si>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</si>
  <si>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</si>
  <si>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</si>
  <si>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</si>
  <si>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</si>
  <si>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</si>
  <si>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</si>
  <si>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</si>
  <si>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</si>
  <si>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</si>
  <si>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</si>
  <si>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</si>
  <si>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</si>
  <si>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</si>
  <si>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</si>
  <si>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</si>
  <si>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</si>
  <si>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</si>
  <si>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</si>
  <si>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</si>
  <si>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</si>
  <si>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</si>
  <si>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</si>
  <si>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</si>
  <si>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</si>
  <si>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</si>
  <si>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</si>
  <si>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</si>
  <si>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</si>
  <si>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</si>
  <si>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</si>
  <si>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</si>
  <si>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</si>
  <si>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</si>
  <si>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</si>
  <si>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</si>
  <si>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</si>
  <si>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</si>
  <si>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</si>
  <si>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</si>
  <si>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</si>
  <si>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</si>
  <si>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</si>
  <si>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</si>
  <si>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</si>
  <si>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</si>
  <si>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</si>
  <si>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</si>
  <si>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</si>
  <si>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</si>
  <si>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</si>
  <si>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</si>
  <si>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</si>
  <si>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</si>
  <si>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</si>
  <si>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</si>
  <si>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</si>
  <si>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</si>
  <si>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</si>
  <si>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</si>
  <si>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</si>
  <si>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</si>
  <si>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</si>
  <si>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</si>
  <si>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</si>
  <si>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</si>
  <si>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</si>
  <si>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</si>
  <si>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</si>
  <si>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</si>
  <si>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</si>
  <si>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</si>
  <si>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</si>
  <si>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</si>
  <si>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</si>
  <si>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</si>
  <si>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</si>
  <si>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</si>
  <si>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</si>
  <si>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</si>
  <si>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</si>
  <si>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</si>
  <si>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</si>
  <si>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</si>
  <si>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</si>
  <si>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</si>
  <si>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</si>
  <si>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</si>
  <si>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</si>
  <si>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</si>
  <si>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</si>
  <si>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</si>
  <si>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</si>
  <si>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</si>
  <si>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</si>
  <si>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</si>
  <si>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</si>
  <si>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</si>
  <si>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</si>
  <si>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</si>
  <si>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</si>
  <si>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</si>
  <si>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</si>
  <si>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</si>
  <si>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</si>
  <si>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</si>
  <si>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</si>
  <si>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</si>
  <si>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</si>
  <si>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</si>
  <si>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</si>
  <si>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</si>
  <si>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</si>
  <si>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</si>
  <si>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</si>
  <si>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</si>
  <si>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</si>
  <si>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</si>
  <si>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</si>
  <si>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</si>
  <si>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</si>
  <si>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</si>
  <si>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</si>
  <si>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</si>
  <si>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</si>
  <si>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</si>
  <si>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</si>
  <si>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</si>
  <si>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</si>
  <si>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</si>
  <si>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</si>
  <si>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</si>
  <si>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</si>
  <si>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</si>
  <si>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</si>
  <si>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</si>
  <si>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</si>
  <si>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</si>
  <si>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</si>
  <si>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</si>
  <si>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</si>
  <si>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</si>
  <si>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</si>
  <si>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</si>
  <si>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</si>
  <si>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</si>
  <si>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</si>
  <si>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</si>
  <si>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</si>
  <si>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</si>
  <si>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</si>
  <si>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</si>
  <si>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</si>
  <si>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</si>
  <si>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</si>
  <si>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</si>
  <si>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</si>
  <si>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</si>
  <si>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</si>
  <si>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</si>
  <si>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</si>
  <si>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</si>
  <si>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</si>
  <si>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</si>
  <si>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</si>
  <si>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</si>
  <si>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</si>
  <si>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</si>
  <si>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</si>
  <si>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</si>
  <si>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</si>
  <si>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</si>
  <si>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</si>
  <si>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</si>
  <si>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</si>
  <si>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</si>
  <si>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</si>
  <si>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</si>
  <si>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</si>
  <si>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</si>
  <si>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</si>
  <si>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</si>
  <si>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</si>
  <si>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</si>
  <si>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</si>
  <si>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</si>
  <si>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</si>
  <si>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</si>
  <si>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</si>
  <si>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</si>
  <si>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</si>
  <si>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</si>
  <si>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</si>
  <si>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</si>
  <si>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</si>
  <si>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</si>
  <si>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</si>
  <si>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</si>
  <si>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</si>
  <si>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</si>
  <si>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</si>
  <si>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</si>
  <si>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</si>
  <si>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</si>
  <si>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</si>
  <si>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</si>
  <si>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</si>
  <si>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</si>
  <si>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</si>
  <si>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</si>
  <si>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</si>
  <si>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</si>
  <si>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</si>
  <si>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</si>
  <si>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</si>
  <si>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</si>
  <si>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</si>
  <si>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</si>
  <si>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</si>
  <si>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</si>
  <si>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</si>
  <si>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</si>
  <si>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</si>
  <si>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</si>
  <si>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</si>
  <si>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</si>
  <si>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</si>
  <si>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</si>
  <si>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</si>
  <si>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</si>
  <si>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</si>
  <si>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</si>
  <si>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</si>
  <si>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</si>
  <si>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</si>
  <si>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</si>
  <si>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</si>
  <si>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</si>
  <si>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</si>
  <si>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</si>
  <si>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</si>
  <si>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</si>
  <si>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</si>
  <si>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</si>
  <si>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</si>
  <si>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</si>
  <si>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</si>
  <si>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</si>
  <si>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</si>
  <si>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</si>
  <si>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</si>
  <si>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</si>
  <si>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</si>
  <si>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</si>
  <si>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</si>
  <si>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</si>
  <si>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</si>
  <si>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</si>
  <si>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</si>
  <si>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</si>
  <si>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</si>
  <si>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</si>
  <si>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</si>
  <si>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</si>
  <si>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</si>
  <si>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</si>
  <si>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</si>
  <si>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</si>
  <si>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</si>
  <si>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</si>
  <si>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</si>
  <si>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</si>
  <si>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</si>
  <si>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</si>
  <si>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</si>
  <si>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</si>
  <si>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</si>
  <si>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</si>
  <si>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</si>
  <si>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</si>
  <si>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</si>
  <si>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</si>
  <si>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</si>
  <si>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</si>
  <si>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</si>
  <si>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</si>
  <si>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</si>
  <si>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</si>
  <si>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</si>
  <si>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</si>
  <si>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</si>
  <si>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</si>
  <si>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</si>
  <si>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</si>
  <si>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</si>
  <si>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</si>
  <si>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</si>
  <si>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</si>
  <si>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</si>
  <si>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</si>
  <si>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</si>
  <si>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</si>
  <si>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</si>
  <si>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</si>
  <si>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</si>
  <si>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</si>
  <si>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</si>
  <si>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</si>
  <si>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</si>
  <si>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</si>
  <si>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</si>
  <si>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</si>
  <si>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</si>
  <si>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</si>
  <si>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</si>
  <si>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</si>
  <si>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</si>
  <si>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</si>
  <si>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</si>
  <si>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</si>
  <si>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</si>
  <si>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</si>
  <si>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</si>
  <si>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</si>
  <si>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</si>
  <si>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</si>
  <si>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</si>
  <si>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</si>
  <si>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</si>
  <si>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</si>
  <si>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</si>
  <si>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</si>
  <si>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</si>
  <si>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</si>
  <si>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</si>
  <si>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</si>
  <si>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</si>
  <si>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</si>
  <si>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</si>
  <si>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</si>
  <si>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</si>
  <si>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</si>
  <si>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</si>
  <si>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</si>
  <si>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</si>
  <si>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</si>
  <si>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</si>
  <si>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</si>
  <si>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</si>
  <si>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</si>
  <si>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</si>
  <si>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</si>
  <si>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</si>
  <si>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</si>
  <si>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</si>
  <si>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</si>
  <si>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</si>
  <si>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</si>
  <si>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</si>
  <si>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</si>
  <si>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</si>
  <si>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</si>
  <si>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</si>
  <si>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</si>
  <si>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</si>
  <si>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</si>
  <si>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</si>
  <si>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</si>
  <si>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</si>
  <si>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</si>
  <si>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</si>
  <si>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</si>
  <si>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</si>
  <si>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</si>
  <si>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</si>
  <si>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</si>
  <si>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</si>
  <si>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</si>
  <si>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</si>
  <si>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</si>
  <si>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</si>
  <si>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</si>
  <si>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</si>
  <si>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</si>
  <si>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</si>
  <si>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</si>
  <si>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</si>
  <si>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</si>
  <si>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</si>
  <si>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</si>
  <si>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</si>
  <si>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</si>
  <si>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</si>
  <si>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</si>
  <si>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</si>
  <si>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</si>
  <si>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</si>
  <si>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</si>
  <si>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</si>
  <si>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</si>
  <si>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</si>
  <si>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</si>
  <si>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</si>
  <si>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</si>
  <si>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</si>
  <si>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</si>
  <si>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</si>
  <si>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</si>
  <si>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</si>
  <si>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</si>
  <si>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</si>
  <si>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</si>
  <si>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</si>
  <si>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</si>
  <si>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</si>
  <si>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</si>
  <si>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</si>
  <si>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</si>
  <si>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</si>
  <si>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</si>
  <si>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</si>
  <si>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</si>
  <si>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</si>
  <si>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</si>
  <si>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</si>
  <si>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</si>
  <si>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</si>
  <si>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</si>
  <si>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</si>
  <si>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</si>
  <si>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</si>
  <si>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</si>
  <si>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</si>
  <si>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</si>
  <si>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</si>
  <si>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</si>
  <si>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</si>
  <si>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</si>
  <si>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</si>
  <si>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</si>
  <si>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</si>
  <si>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</si>
  <si>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</si>
  <si>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</si>
  <si>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</si>
  <si>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</si>
  <si>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</si>
  <si>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</si>
  <si>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</si>
  <si>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</si>
  <si>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</si>
  <si>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</si>
  <si>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</si>
  <si>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</si>
  <si>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</si>
  <si>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</si>
  <si>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</si>
  <si>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</si>
  <si>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</si>
  <si>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</si>
  <si>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</si>
  <si>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</si>
  <si>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</si>
  <si>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</si>
  <si>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</si>
  <si>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</si>
  <si>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</si>
  <si>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</si>
  <si>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</si>
  <si>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</si>
  <si>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</si>
  <si>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</si>
  <si>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</si>
  <si>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</si>
  <si>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</si>
  <si>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</si>
  <si>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</si>
  <si>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</si>
  <si>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</si>
  <si>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</si>
  <si>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</si>
  <si>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</si>
  <si>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</si>
  <si>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</si>
  <si>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</si>
  <si>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</si>
  <si>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</si>
  <si>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</si>
  <si>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</si>
  <si>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</si>
  <si>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</si>
  <si>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</si>
  <si>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</si>
  <si>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</si>
  <si>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</si>
  <si>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</si>
  <si>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</si>
  <si>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</si>
  <si>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</si>
  <si>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</si>
  <si>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</si>
  <si>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</si>
  <si>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</si>
  <si>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</si>
  <si>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</si>
  <si>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</si>
  <si>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</si>
  <si>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</si>
  <si>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</si>
  <si>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</si>
  <si>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</si>
  <si>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</si>
  <si>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</si>
  <si>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</si>
  <si>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</si>
  <si>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</si>
  <si>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</si>
  <si>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</si>
  <si>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</si>
  <si>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</si>
  <si>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</si>
  <si>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</si>
  <si>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</si>
  <si>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</si>
  <si>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</si>
  <si>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</si>
  <si>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</si>
  <si>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</si>
  <si>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</si>
  <si>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</si>
  <si>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</si>
  <si>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</si>
  <si>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</si>
  <si>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</si>
  <si>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</si>
  <si>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</si>
  <si>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</si>
  <si>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</si>
  <si>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</si>
  <si>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</si>
  <si>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</si>
  <si>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</si>
  <si>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</si>
  <si>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</si>
  <si>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</si>
  <si>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</si>
  <si>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</si>
  <si>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</si>
  <si>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</si>
  <si>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</si>
  <si>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</si>
  <si>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</si>
  <si>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</si>
  <si>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</si>
  <si>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</si>
  <si>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</si>
  <si>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</si>
  <si>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</si>
  <si>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</si>
  <si>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</si>
  <si>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</si>
  <si>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</si>
  <si>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</si>
  <si>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</si>
  <si>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</si>
  <si>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</si>
  <si>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</si>
  <si>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</si>
  <si>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</si>
  <si>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</si>
  <si>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</si>
  <si>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</si>
  <si>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</si>
  <si>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</si>
  <si>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</si>
  <si>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</si>
  <si>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</si>
  <si>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</si>
  <si>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</si>
  <si>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</si>
  <si>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</si>
  <si>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</si>
  <si>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</si>
  <si>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</si>
  <si>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</si>
  <si>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</si>
  <si>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</si>
  <si>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</si>
  <si>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</si>
  <si>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</si>
  <si>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</si>
  <si>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</si>
  <si>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</si>
  <si>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</si>
  <si>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</si>
  <si>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</si>
  <si>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</si>
  <si>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</si>
  <si>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</si>
  <si>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</si>
  <si>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</si>
  <si>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</si>
  <si>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</si>
  <si>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</si>
  <si>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</si>
  <si>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</si>
  <si>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</si>
  <si>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</si>
  <si>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</si>
  <si>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</si>
  <si>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</si>
  <si>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</si>
  <si>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</si>
  <si>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</si>
  <si>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</si>
  <si>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</si>
  <si>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</si>
  <si>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</si>
  <si>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</si>
  <si>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</si>
  <si>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</si>
  <si>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</si>
  <si>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</si>
  <si>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</si>
  <si>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</si>
  <si>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</si>
  <si>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</si>
  <si>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</si>
  <si>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</si>
  <si>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</si>
  <si>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</si>
  <si>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</si>
  <si>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</si>
  <si>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</si>
  <si>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</si>
  <si>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</si>
  <si>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</si>
  <si>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</si>
  <si>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</si>
  <si>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</si>
  <si>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</si>
  <si>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</si>
  <si>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</si>
  <si>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</si>
  <si>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</si>
  <si>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</si>
  <si>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</si>
  <si>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</si>
  <si>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</si>
  <si>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</si>
  <si>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</si>
  <si>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</si>
  <si>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</si>
  <si>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</si>
  <si>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</si>
  <si>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</si>
  <si>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</si>
  <si>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</si>
  <si>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</si>
  <si>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</si>
  <si>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</si>
  <si>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</si>
  <si>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</si>
  <si>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</si>
  <si>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</si>
  <si>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</si>
  <si>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</si>
  <si>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</si>
  <si>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</si>
  <si>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</si>
  <si>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</si>
  <si>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</si>
  <si>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</si>
  <si>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</si>
  <si>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</si>
  <si>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</si>
  <si>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</si>
  <si>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</si>
  <si>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</si>
  <si>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</si>
  <si>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</si>
  <si>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</si>
  <si>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</si>
  <si>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</si>
  <si>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</si>
  <si>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</si>
  <si>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</si>
  <si>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</si>
  <si>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</si>
  <si>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</si>
  <si>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</si>
  <si>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</si>
  <si>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</si>
  <si>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</si>
  <si>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</si>
  <si>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</si>
  <si>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</si>
  <si>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</si>
  <si>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</si>
  <si>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</si>
  <si>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</si>
  <si>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</si>
  <si>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</si>
  <si>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</si>
  <si>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</si>
  <si>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</si>
  <si>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</si>
  <si>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</si>
  <si>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</si>
  <si>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</si>
  <si>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</si>
  <si>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</si>
  <si>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</si>
  <si>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</si>
  <si>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</si>
  <si>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</si>
  <si>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</si>
  <si>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</si>
  <si>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</si>
  <si>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</si>
  <si>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</si>
  <si>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</si>
  <si>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</si>
  <si>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</si>
  <si>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</si>
  <si>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</si>
  <si>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</si>
  <si>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</si>
  <si>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</si>
  <si>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</si>
  <si>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</si>
  <si>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</si>
  <si>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</si>
  <si>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</si>
  <si>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</si>
  <si>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</si>
  <si>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</si>
  <si>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</si>
  <si>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</si>
  <si>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</si>
  <si>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</si>
  <si>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</si>
  <si>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</si>
  <si>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</si>
  <si>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</si>
  <si>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</si>
  <si>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</si>
  <si>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</si>
  <si>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</si>
  <si>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</si>
  <si>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</si>
  <si>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</si>
  <si>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</si>
  <si>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</si>
  <si>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</si>
  <si>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</si>
  <si>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</si>
  <si>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</si>
  <si>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</si>
  <si>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</si>
  <si>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</si>
  <si>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</si>
  <si>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</si>
  <si>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</si>
  <si>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</si>
  <si>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</si>
  <si>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</si>
  <si>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</si>
  <si>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</si>
  <si>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</si>
  <si>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</si>
  <si>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</si>
  <si>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</si>
  <si>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</si>
  <si>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</si>
  <si>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</si>
  <si>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</si>
  <si>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</si>
  <si>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</si>
  <si>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</si>
  <si>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</si>
  <si>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</si>
  <si>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</si>
  <si>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</si>
  <si>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</si>
  <si>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</si>
  <si>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</si>
  <si>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</si>
  <si>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</si>
  <si>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</si>
  <si>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</si>
  <si>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</si>
  <si>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</si>
  <si>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</si>
  <si>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</si>
  <si>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</si>
  <si>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</si>
  <si>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</si>
  <si>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</si>
  <si>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</si>
  <si>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</si>
  <si>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</si>
  <si>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</si>
  <si>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</si>
  <si>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</si>
  <si>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</si>
  <si>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</si>
  <si>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</si>
  <si>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</si>
  <si>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</si>
  <si>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</si>
  <si>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</si>
  <si>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</si>
  <si>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</si>
  <si>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</si>
  <si>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</si>
  <si>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</si>
  <si>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</si>
  <si>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</si>
  <si>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</si>
  <si>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</si>
  <si>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</si>
  <si>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</si>
  <si>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</si>
  <si>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</si>
  <si>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</si>
  <si>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</si>
  <si>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</si>
  <si>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</si>
  <si>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</si>
  <si>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</si>
  <si>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</si>
  <si>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</si>
  <si>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</si>
  <si>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</si>
  <si>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</si>
  <si>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</si>
  <si>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</si>
  <si>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</si>
  <si>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</si>
  <si>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</si>
  <si>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</si>
  <si>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</si>
  <si>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</si>
  <si>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</si>
  <si>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</si>
  <si>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</si>
  <si>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</si>
  <si>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</si>
  <si>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</si>
  <si>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</si>
  <si>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</si>
  <si>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</si>
  <si>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</si>
  <si>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</si>
  <si>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</si>
  <si>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</si>
  <si>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</si>
  <si>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</si>
  <si>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</si>
  <si>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</si>
  <si>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</si>
  <si>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</si>
  <si>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</si>
  <si>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</si>
  <si>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</si>
  <si>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</si>
  <si>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</si>
  <si>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</si>
  <si>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</si>
  <si>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</si>
  <si>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</si>
  <si>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</si>
  <si>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</si>
  <si>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</si>
  <si>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</si>
  <si>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</si>
  <si>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</si>
  <si>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</si>
  <si>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</si>
  <si>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</si>
  <si>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</si>
  <si>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</si>
  <si>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</si>
  <si>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</si>
  <si>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</si>
  <si>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</si>
  <si>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</si>
  <si>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</si>
  <si>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</si>
  <si>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</si>
  <si>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</si>
  <si>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</si>
  <si>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</si>
  <si>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</si>
  <si>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</si>
  <si>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</si>
  <si>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</si>
  <si>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</si>
  <si>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</si>
  <si>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</si>
  <si>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</si>
  <si>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</si>
  <si>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</si>
  <si>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</si>
  <si>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</si>
  <si>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</si>
  <si>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</si>
  <si>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</si>
  <si>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</si>
  <si>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</si>
  <si>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</si>
  <si>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</si>
  <si>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</si>
  <si>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</si>
  <si>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</si>
  <si>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</si>
  <si>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</si>
  <si>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</si>
  <si>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</si>
  <si>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</si>
  <si>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</si>
  <si>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</si>
  <si>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</si>
  <si>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</si>
  <si>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</si>
  <si>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</si>
  <si>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</si>
  <si>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</si>
  <si>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</si>
  <si>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</si>
  <si>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</si>
  <si>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</si>
  <si>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</si>
  <si>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</si>
  <si>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</si>
  <si>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</si>
  <si>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</si>
  <si>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</si>
  <si>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</si>
  <si>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</si>
  <si>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</si>
  <si>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</si>
  <si>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</si>
  <si>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</si>
  <si>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</si>
  <si>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</si>
  <si>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</si>
  <si>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</si>
  <si>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</si>
  <si>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</si>
  <si>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</si>
  <si>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</si>
  <si>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</si>
  <si>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</si>
  <si>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</si>
  <si>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</si>
  <si>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</si>
  <si>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</si>
  <si>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</si>
  <si>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</si>
  <si>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</si>
  <si>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</si>
  <si>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</si>
  <si>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</si>
  <si>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</si>
  <si>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</si>
  <si>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</si>
  <si>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</si>
  <si>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</si>
  <si>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</si>
  <si>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</si>
  <si>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</si>
  <si>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</si>
  <si>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</si>
  <si>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</si>
  <si>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</si>
  <si>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</si>
  <si>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</si>
  <si>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</si>
  <si>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</si>
  <si>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</si>
  <si>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</si>
  <si>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</si>
  <si>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</si>
  <si>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</si>
  <si>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</si>
  <si>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</si>
  <si>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</si>
  <si>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</si>
  <si>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</si>
  <si>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</si>
  <si>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</si>
  <si>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</si>
  <si>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</si>
  <si>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</si>
  <si>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</si>
  <si>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</si>
  <si>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</si>
  <si>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</si>
  <si>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</si>
  <si>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</si>
  <si>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</si>
  <si>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</si>
  <si>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</si>
  <si>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</si>
  <si>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</si>
  <si>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</si>
  <si>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</si>
  <si>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</si>
  <si>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</si>
  <si>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</si>
  <si>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</si>
  <si>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</si>
  <si>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</si>
  <si>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</si>
  <si>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</si>
  <si>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</si>
  <si>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</si>
  <si>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</si>
  <si>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</si>
  <si>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</si>
  <si>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</si>
  <si>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</si>
  <si>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</si>
  <si>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</si>
  <si>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</si>
  <si>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</si>
  <si>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</si>
  <si>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</si>
  <si>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</si>
  <si>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</si>
  <si>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</si>
  <si>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</si>
  <si>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</si>
  <si>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</si>
  <si>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</si>
  <si>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</si>
  <si>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</si>
  <si>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</si>
  <si>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</si>
  <si>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</si>
  <si>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</si>
  <si>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</si>
  <si>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</si>
  <si>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</si>
  <si>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</si>
  <si>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</si>
  <si>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</si>
  <si>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</si>
  <si>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</si>
  <si>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</si>
  <si>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</si>
  <si>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</si>
  <si>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</si>
  <si>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</si>
  <si>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</si>
  <si>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</si>
  <si>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</si>
  <si>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</si>
  <si>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</si>
  <si>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</si>
  <si>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</si>
  <si>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</si>
  <si>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</si>
  <si>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</si>
  <si>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</si>
  <si>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</si>
  <si>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</si>
  <si>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</si>
  <si>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</si>
  <si>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</si>
  <si>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</si>
  <si>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</si>
  <si>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</si>
  <si>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</si>
  <si>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</si>
  <si>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</si>
  <si>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</si>
  <si>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</si>
  <si>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</si>
  <si>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</si>
  <si>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</si>
  <si>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</si>
  <si>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</si>
  <si>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</si>
  <si>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</si>
  <si>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</si>
  <si>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</si>
  <si>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</si>
  <si>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</si>
  <si>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</si>
  <si>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</si>
  <si>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</si>
  <si>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</si>
  <si>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</si>
  <si>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</si>
  <si>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</si>
  <si>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</si>
  <si>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</si>
  <si>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</si>
  <si>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</si>
  <si>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</si>
  <si>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</si>
  <si>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</si>
  <si>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</si>
  <si>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</si>
  <si>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</si>
  <si>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</si>
  <si>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</si>
  <si>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</si>
  <si>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</si>
  <si>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</si>
  <si>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</si>
  <si>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</si>
  <si>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</si>
  <si>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</si>
  <si>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</si>
  <si>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</si>
  <si>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</si>
  <si>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</si>
  <si>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</si>
  <si>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</si>
  <si>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</si>
  <si>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</si>
  <si>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</si>
  <si>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</si>
  <si>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</si>
  <si>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</si>
  <si>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</si>
  <si>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</si>
  <si>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</si>
  <si>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</si>
  <si>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</si>
  <si>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</si>
  <si>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</si>
  <si>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</si>
  <si>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</si>
  <si>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</si>
  <si>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</si>
  <si>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</si>
  <si>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</si>
  <si>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</si>
  <si>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</si>
  <si>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</si>
  <si>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</si>
  <si>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</si>
  <si>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</si>
  <si>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</si>
  <si>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</si>
  <si>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</si>
  <si>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</si>
  <si>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</si>
  <si>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</si>
  <si>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</si>
  <si>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</si>
  <si>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</si>
  <si>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</si>
  <si>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</si>
  <si>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</si>
  <si>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</si>
  <si>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</si>
  <si>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</si>
  <si>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</si>
  <si>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</si>
  <si>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</si>
  <si>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</si>
  <si>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</si>
  <si>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</si>
  <si>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</si>
  <si>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</si>
  <si>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</si>
  <si>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</si>
  <si>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</si>
  <si>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</si>
  <si>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</si>
  <si>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</si>
  <si>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</si>
  <si>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</si>
  <si>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</si>
  <si>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</si>
  <si>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</si>
  <si>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</si>
  <si>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</si>
  <si>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</si>
  <si>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</si>
  <si>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</si>
  <si>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</si>
  <si>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</si>
  <si>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</si>
  <si>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</si>
  <si>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</si>
  <si>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</si>
  <si>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</si>
  <si>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</si>
  <si>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</si>
  <si>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</si>
  <si>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</si>
  <si>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</si>
  <si>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</si>
  <si>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</si>
  <si>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</si>
  <si>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</si>
  <si>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</si>
  <si>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</si>
  <si>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</si>
  <si>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</si>
  <si>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</si>
  <si>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</si>
  <si>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</si>
  <si>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</si>
  <si>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</si>
  <si>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</si>
  <si>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</si>
  <si>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</si>
  <si>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</si>
  <si>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</si>
  <si>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</si>
  <si>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</si>
  <si>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</si>
  <si>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</si>
  <si>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</si>
  <si>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</si>
  <si>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</si>
  <si>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</si>
  <si>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</si>
  <si>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</si>
  <si>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</si>
  <si>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</si>
  <si>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</si>
  <si>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</si>
  <si>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</si>
  <si>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</si>
  <si>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</si>
  <si>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</si>
  <si>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</si>
  <si>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</si>
  <si>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</si>
  <si>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</si>
  <si>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</si>
  <si>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</si>
  <si>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</si>
  <si>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</si>
  <si>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</si>
  <si>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</si>
  <si>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</si>
  <si>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</si>
  <si>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</si>
  <si>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</si>
  <si>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</si>
  <si>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</si>
  <si>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</si>
  <si>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</si>
  <si>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</si>
  <si>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</si>
  <si>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</si>
  <si>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</si>
  <si>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</si>
  <si>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</si>
  <si>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</si>
  <si>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</si>
  <si>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</si>
  <si>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</si>
  <si>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</si>
  <si>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</si>
  <si>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</si>
  <si>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</si>
  <si>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</si>
  <si>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</si>
  <si>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</si>
  <si>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</si>
  <si>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</si>
  <si>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</si>
  <si>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</si>
  <si>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</si>
  <si>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</si>
  <si>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</si>
  <si>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</si>
  <si>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</si>
  <si>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</si>
  <si>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</si>
  <si>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</si>
  <si>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</si>
  <si>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</si>
  <si>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</si>
  <si>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</si>
  <si>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</si>
  <si>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</si>
  <si>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</si>
  <si>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</si>
  <si>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</si>
  <si>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</si>
  <si>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</si>
  <si>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</si>
  <si>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</si>
  <si>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</si>
  <si>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</si>
  <si>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</si>
  <si>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</si>
  <si>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</si>
  <si>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</si>
  <si>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</si>
  <si>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</si>
  <si>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</si>
  <si>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</si>
  <si>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</si>
  <si>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</si>
  <si>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</si>
  <si>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</si>
  <si>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</si>
  <si>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</si>
  <si>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</si>
  <si>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</si>
  <si>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</si>
  <si>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</si>
  <si>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</si>
  <si>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</si>
  <si>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</si>
  <si>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</si>
  <si>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</si>
  <si>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</si>
  <si>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</si>
  <si>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</si>
  <si>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</si>
  <si>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</si>
  <si>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</si>
  <si>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</si>
  <si>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</si>
  <si>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</si>
  <si>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</si>
  <si>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</si>
  <si>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</si>
  <si>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</si>
  <si>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</si>
  <si>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</si>
  <si>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</si>
  <si>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</si>
  <si>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</si>
  <si>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</si>
  <si>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</si>
  <si>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</si>
  <si>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</si>
  <si>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</si>
  <si>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</si>
  <si>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</si>
  <si>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</si>
  <si>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</si>
  <si>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</si>
  <si>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</si>
  <si>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</si>
  <si>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</si>
  <si>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</si>
  <si>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</si>
  <si>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</si>
  <si>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</si>
  <si>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</si>
  <si>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</si>
  <si>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</si>
  <si>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</si>
  <si>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</si>
  <si>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</si>
  <si>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</si>
  <si>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</si>
  <si>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</si>
  <si>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</si>
  <si>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</si>
  <si>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</si>
  <si>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</si>
  <si>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</si>
  <si>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</si>
  <si>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</si>
  <si>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</si>
  <si>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</si>
  <si>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</si>
  <si>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</si>
  <si>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</si>
  <si>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</si>
  <si>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</si>
  <si>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</si>
  <si>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</si>
  <si>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</si>
  <si>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</si>
  <si>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</si>
  <si>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</si>
  <si>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</si>
  <si>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</si>
  <si>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</si>
  <si>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</si>
  <si>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</si>
  <si>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</si>
  <si>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</si>
  <si>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</si>
  <si>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</si>
  <si>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</si>
  <si>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</si>
  <si>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</si>
  <si>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</si>
  <si>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</si>
  <si>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</si>
  <si>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</si>
  <si>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</si>
  <si>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</si>
  <si>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</si>
  <si>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</si>
  <si>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</si>
  <si>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</si>
  <si>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</si>
  <si>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</si>
  <si>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</si>
  <si>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</si>
  <si>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</si>
  <si>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</si>
  <si>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</si>
  <si>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</si>
  <si>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</si>
  <si>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</si>
  <si>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</si>
  <si>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</si>
  <si>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</si>
  <si>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</si>
  <si>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</si>
  <si>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</si>
  <si>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</si>
  <si>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</si>
  <si>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</si>
  <si>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</si>
  <si>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</si>
  <si>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</si>
  <si>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</si>
  <si>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</si>
  <si>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</si>
  <si>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</si>
  <si>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</si>
  <si>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</si>
  <si>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</si>
  <si>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</si>
  <si>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</si>
  <si>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</si>
  <si>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</si>
  <si>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</si>
  <si>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</si>
  <si>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</si>
  <si>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</si>
  <si>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</si>
  <si>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</si>
  <si>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</si>
  <si>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</si>
  <si>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</si>
  <si>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</si>
  <si>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</si>
  <si>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</si>
  <si>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</si>
  <si>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</si>
  <si>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</si>
  <si>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</si>
  <si>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</si>
  <si>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</si>
  <si>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</si>
  <si>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</si>
  <si>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</si>
  <si>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</si>
  <si>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</si>
  <si>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</si>
  <si>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</si>
  <si>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</si>
  <si>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</si>
  <si>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</si>
  <si>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</si>
  <si>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</si>
  <si>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</si>
  <si>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</si>
  <si>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</si>
  <si>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</si>
  <si>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</si>
  <si>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</si>
  <si>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</si>
  <si>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</si>
  <si>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</si>
  <si>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</si>
  <si>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</si>
  <si>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</si>
  <si>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</si>
  <si>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</si>
  <si>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</si>
  <si>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</si>
  <si>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</si>
  <si>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</si>
  <si>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</si>
  <si>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</si>
  <si>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</si>
  <si>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</si>
  <si>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</si>
  <si>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</si>
  <si>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</si>
  <si>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</si>
  <si>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</si>
  <si>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</si>
  <si>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</si>
  <si>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</si>
  <si>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</si>
  <si>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</si>
  <si>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</si>
  <si>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</si>
  <si>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</si>
  <si>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</si>
  <si>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</si>
  <si>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</si>
  <si>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</si>
  <si>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</si>
  <si>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</si>
  <si>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</si>
  <si>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</si>
  <si>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</si>
  <si>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</si>
  <si>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</si>
  <si>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</si>
  <si>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</si>
  <si>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</si>
  <si>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</si>
  <si>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</si>
  <si>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</si>
  <si>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</si>
  <si>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</si>
  <si>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</si>
  <si>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</si>
  <si>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</si>
  <si>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</si>
  <si>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</si>
  <si>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</si>
  <si>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</si>
  <si>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</si>
  <si>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</si>
  <si>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</si>
  <si>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</si>
  <si>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</si>
  <si>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</si>
  <si>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</si>
  <si>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</si>
  <si>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</si>
  <si>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</si>
  <si>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</si>
  <si>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</si>
  <si>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</si>
  <si>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</si>
  <si>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</si>
  <si>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</si>
  <si>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</si>
  <si>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</si>
  <si>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</si>
  <si>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</si>
  <si>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</si>
  <si>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</si>
  <si>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</si>
  <si>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</si>
  <si>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</si>
  <si>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</si>
  <si>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</si>
  <si>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</si>
  <si>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</si>
  <si>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</si>
  <si>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</si>
  <si>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</si>
  <si>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</si>
  <si>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</si>
  <si>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</si>
  <si>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</si>
  <si>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</si>
  <si>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</si>
  <si>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</si>
  <si>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</si>
  <si>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</si>
  <si>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</si>
  <si>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</si>
  <si>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</si>
  <si>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</si>
  <si>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</si>
  <si>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</si>
  <si>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</si>
  <si>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</si>
  <si>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</si>
  <si>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</si>
  <si>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</si>
  <si>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</si>
  <si>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</si>
  <si>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</si>
  <si>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</si>
  <si>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</si>
  <si>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</si>
  <si>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</si>
  <si>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</si>
  <si>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</si>
  <si>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</si>
  <si>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</si>
  <si>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</si>
  <si>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</si>
  <si>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</si>
  <si>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</si>
  <si>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</si>
  <si>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</si>
  <si>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</si>
  <si>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</si>
  <si>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</si>
  <si>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</si>
  <si>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</si>
  <si>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</si>
  <si>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</si>
  <si>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</si>
  <si>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</si>
  <si>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</si>
  <si>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</si>
  <si>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</si>
  <si>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</si>
  <si>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</si>
  <si>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</si>
  <si>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</si>
  <si>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</si>
  <si>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</si>
  <si>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</si>
  <si>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</si>
  <si>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</si>
  <si>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</si>
  <si>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</si>
  <si>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</si>
  <si>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</si>
  <si>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</si>
  <si>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</si>
  <si>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</si>
  <si>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</si>
  <si>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</si>
  <si>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</si>
  <si>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</si>
  <si>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</si>
  <si>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</si>
  <si>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</si>
  <si>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</si>
  <si>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</si>
  <si>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</si>
  <si>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</si>
  <si>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</si>
  <si>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</si>
  <si>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</si>
  <si>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</si>
  <si>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</si>
  <si>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</si>
  <si>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</si>
  <si>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</si>
  <si>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</si>
  <si>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</si>
  <si>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</si>
  <si>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</si>
  <si>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</si>
  <si>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</si>
  <si>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</si>
  <si>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</si>
  <si>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</si>
  <si>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</si>
  <si>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</si>
  <si>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</si>
  <si>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</si>
  <si>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</si>
  <si>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</si>
  <si>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</si>
  <si>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</si>
  <si>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</si>
  <si>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</si>
  <si>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</si>
  <si>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</si>
  <si>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</si>
  <si>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</si>
  <si>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</si>
  <si>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</si>
  <si>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</si>
  <si>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</si>
  <si>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</si>
  <si>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</si>
  <si>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</si>
  <si>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</si>
  <si>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</si>
  <si>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</si>
  <si>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</si>
  <si>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</si>
  <si>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</si>
  <si>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</si>
  <si>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</si>
  <si>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</si>
  <si>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</si>
  <si>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</si>
  <si>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</si>
  <si>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</si>
  <si>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</si>
  <si>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</si>
  <si>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</si>
  <si>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</si>
  <si>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</si>
  <si>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</si>
  <si>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</si>
  <si>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</si>
  <si>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</si>
  <si>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</si>
  <si>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</si>
  <si>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</si>
  <si>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</si>
  <si>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</si>
  <si>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</si>
  <si>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</si>
  <si>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</si>
  <si>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</si>
  <si>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</si>
  <si>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</si>
  <si>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</si>
  <si>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</si>
  <si>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</si>
  <si>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</si>
  <si>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</si>
  <si>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</si>
  <si>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</si>
  <si>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</si>
  <si>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</si>
  <si>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</si>
  <si>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</si>
  <si>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</si>
  <si>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</si>
  <si>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</si>
  <si>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</si>
  <si>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</si>
  <si>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</si>
  <si>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</si>
  <si>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</si>
  <si>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</si>
  <si>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</si>
  <si>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</si>
  <si>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</si>
  <si>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</si>
  <si>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</si>
  <si>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</si>
  <si>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</si>
  <si>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</si>
  <si>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</si>
  <si>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</si>
  <si>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</si>
  <si>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</si>
  <si>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</si>
  <si>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</si>
  <si>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</si>
  <si>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</si>
  <si>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</si>
  <si>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</si>
  <si>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</si>
  <si>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</si>
  <si>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</si>
  <si>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</si>
  <si>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</si>
  <si>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</si>
  <si>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</si>
  <si>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</si>
  <si>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</si>
  <si>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</si>
  <si>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</si>
  <si>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</si>
  <si>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</si>
  <si>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</si>
  <si>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</si>
  <si>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</si>
  <si>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</si>
  <si>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</si>
  <si>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</si>
  <si>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</si>
  <si>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</si>
  <si>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</si>
  <si>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</si>
  <si>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</si>
  <si>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</si>
  <si>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</si>
  <si>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</si>
  <si>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</si>
  <si>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</si>
  <si>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</si>
  <si>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</si>
  <si>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</si>
  <si>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</si>
  <si>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</si>
  <si>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</si>
  <si>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</si>
  <si>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</si>
  <si>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</si>
  <si>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</si>
  <si>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</si>
  <si>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</si>
  <si>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</si>
  <si>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</si>
  <si>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</si>
  <si>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</si>
  <si>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</si>
  <si>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</si>
  <si>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</si>
  <si>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</si>
  <si>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</si>
  <si>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</si>
  <si>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</si>
  <si>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</si>
  <si>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</si>
  <si>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</si>
  <si>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</si>
  <si>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</si>
  <si>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</si>
  <si>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</si>
  <si>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</si>
  <si>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</si>
  <si>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</si>
  <si>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</si>
  <si>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</si>
  <si>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</si>
  <si>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</si>
  <si>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</si>
  <si>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</si>
  <si>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</si>
  <si>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</si>
  <si>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</si>
  <si>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</si>
  <si>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</si>
  <si>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</si>
  <si>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</si>
  <si>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</si>
  <si>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</si>
  <si>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</si>
  <si>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</si>
  <si>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</si>
  <si>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</si>
  <si>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</si>
  <si>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</si>
  <si>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</si>
  <si>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</si>
  <si>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</si>
  <si>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</si>
  <si>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</si>
  <si>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</si>
  <si>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</si>
  <si>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</si>
  <si>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</si>
  <si>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</si>
  <si>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</si>
  <si>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</si>
  <si>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</si>
  <si>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</si>
  <si>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</si>
  <si>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</si>
  <si>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</si>
  <si>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</si>
  <si>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</si>
  <si>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</si>
  <si>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</si>
  <si>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</si>
  <si>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</si>
  <si>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</si>
  <si>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</si>
  <si>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</si>
  <si>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</si>
  <si>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</si>
  <si>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</si>
  <si>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</si>
  <si>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</si>
  <si>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</si>
  <si>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</si>
  <si>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</si>
  <si>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</si>
  <si>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</si>
  <si>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</si>
  <si>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</si>
  <si>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</si>
  <si>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</si>
  <si>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</si>
  <si>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</si>
  <si>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</si>
  <si>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</si>
  <si>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</si>
  <si>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</si>
  <si>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</si>
  <si>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</si>
  <si>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</si>
  <si>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</si>
  <si>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</si>
  <si>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</si>
  <si>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</si>
  <si>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</si>
  <si>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</si>
  <si>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</si>
  <si>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</si>
  <si>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</si>
  <si>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</si>
  <si>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</si>
  <si>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</si>
  <si>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</si>
  <si>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</si>
  <si>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</si>
  <si>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</si>
  <si>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</si>
  <si>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</si>
  <si>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</si>
  <si>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</si>
  <si>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</si>
  <si>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</si>
  <si>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</si>
  <si>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</si>
  <si>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</si>
  <si>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</si>
  <si>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</si>
  <si>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</si>
  <si>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</si>
  <si>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</si>
  <si>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</si>
  <si>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</si>
  <si>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</si>
  <si>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</si>
  <si>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</si>
  <si>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</si>
  <si>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</si>
  <si>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</si>
  <si>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</si>
  <si>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</si>
  <si>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</si>
  <si>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</si>
  <si>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</si>
  <si>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</si>
  <si>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</si>
  <si>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</si>
  <si>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</si>
  <si>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</si>
  <si>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</si>
  <si>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</si>
  <si>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</si>
  <si>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</si>
  <si>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</si>
  <si>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</si>
  <si>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</si>
  <si>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</si>
  <si>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</si>
  <si>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</si>
  <si>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</si>
  <si>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</si>
  <si>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</si>
  <si>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</si>
  <si>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</si>
  <si>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</si>
  <si>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</si>
  <si>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</si>
  <si>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</si>
  <si>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</si>
  <si>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</si>
  <si>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</si>
  <si>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</si>
  <si>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</si>
  <si>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</si>
  <si>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</si>
  <si>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</si>
  <si>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</si>
  <si>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</si>
  <si>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</si>
  <si>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</si>
  <si>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</si>
  <si>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</si>
  <si>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</si>
  <si>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</si>
  <si>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</si>
  <si>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</si>
  <si>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</si>
  <si>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</si>
  <si>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</si>
  <si>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</si>
  <si>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</si>
  <si>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</si>
  <si>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</si>
  <si>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</si>
  <si>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</si>
  <si>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</si>
  <si>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</si>
  <si>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</si>
  <si>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</si>
  <si>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</si>
  <si>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</si>
  <si>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</si>
  <si>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</si>
  <si>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</si>
  <si>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</si>
  <si>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</si>
  <si>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</si>
  <si>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</si>
  <si>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</si>
  <si>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</si>
  <si>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</si>
  <si>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</si>
  <si>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</si>
  <si>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</si>
  <si>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</si>
  <si>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</si>
  <si>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</si>
  <si>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</si>
  <si>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</si>
  <si>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</si>
  <si>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</si>
  <si>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</si>
  <si>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</si>
  <si>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</si>
  <si>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</si>
  <si>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</si>
  <si>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</si>
  <si>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</si>
  <si>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</si>
  <si>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</si>
  <si>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</si>
  <si>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</si>
  <si>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</si>
  <si>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</si>
  <si>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</si>
  <si>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</si>
  <si>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</si>
  <si>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</si>
  <si>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</si>
  <si>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</si>
  <si>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</si>
  <si>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</si>
  <si>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</si>
  <si>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</si>
  <si>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</si>
  <si>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</si>
  <si>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</si>
  <si>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</si>
  <si>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</si>
  <si>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</si>
  <si>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</si>
  <si>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</si>
  <si>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</si>
  <si>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</si>
  <si>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</si>
  <si>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</si>
  <si>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</si>
  <si>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</si>
  <si>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</si>
  <si>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</si>
  <si>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</si>
  <si>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</si>
  <si>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</si>
  <si>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</si>
  <si>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</si>
  <si>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</si>
  <si>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</si>
  <si>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</si>
  <si>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</si>
  <si>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</si>
  <si>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</si>
  <si>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</si>
  <si>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</si>
  <si>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</si>
  <si>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</si>
  <si>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</si>
  <si>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</si>
  <si>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</si>
  <si>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</si>
  <si>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</si>
  <si>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</si>
  <si>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</si>
  <si>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</si>
  <si>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</si>
  <si>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</si>
  <si>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</si>
  <si>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</si>
  <si>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</si>
  <si>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</si>
  <si>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</si>
  <si>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</si>
  <si>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</si>
  <si>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</si>
  <si>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</si>
  <si>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</si>
  <si>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</si>
  <si>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</si>
  <si>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</si>
  <si>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</si>
  <si>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</si>
  <si>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</si>
  <si>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</si>
  <si>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</si>
  <si>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</si>
  <si>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</si>
  <si>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</si>
  <si>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</si>
  <si>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</si>
  <si>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</si>
  <si>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</si>
  <si>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</si>
  <si>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</si>
  <si>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</si>
  <si>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</si>
  <si>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</si>
  <si>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</si>
  <si>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</si>
  <si>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</si>
  <si>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</si>
  <si>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</si>
  <si>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</si>
  <si>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</si>
  <si>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</si>
  <si>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</si>
  <si>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</si>
  <si>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</si>
  <si>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</si>
  <si>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</si>
  <si>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</si>
  <si>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</si>
  <si>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</si>
  <si>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</si>
  <si>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</si>
  <si>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</si>
  <si>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</si>
  <si>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</si>
  <si>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</si>
  <si>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</si>
  <si>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</si>
  <si>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</si>
  <si>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</si>
  <si>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</si>
  <si>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</si>
  <si>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</si>
  <si>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</si>
  <si>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</si>
  <si>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</si>
  <si>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</si>
  <si>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</si>
  <si>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</si>
  <si>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</si>
  <si>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</si>
  <si>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</si>
  <si>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</si>
  <si>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</si>
  <si>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</si>
  <si>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</si>
  <si>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</si>
  <si>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</si>
  <si>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</si>
  <si>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</si>
  <si>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</si>
  <si>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</si>
  <si>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</si>
  <si>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</si>
  <si>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</si>
  <si>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</si>
  <si>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</si>
  <si>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</si>
  <si>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</si>
  <si>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</si>
  <si>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</si>
  <si>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</si>
  <si>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</si>
  <si>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</si>
  <si>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</si>
  <si>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</si>
  <si>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</si>
  <si>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</si>
  <si>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</si>
  <si>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</si>
  <si>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</si>
  <si>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</si>
  <si>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</si>
  <si>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</si>
  <si>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</si>
  <si>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</si>
  <si>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</si>
  <si>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</si>
  <si>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</si>
  <si>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</si>
  <si>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</si>
  <si>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</si>
  <si>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</si>
  <si>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</si>
  <si>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</si>
  <si>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</si>
  <si>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</si>
  <si>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</si>
  <si>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</si>
  <si>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</si>
  <si>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</si>
  <si>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</si>
  <si>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</si>
  <si>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</si>
  <si>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</si>
  <si>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</si>
  <si>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</si>
  <si>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</si>
  <si>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</si>
  <si>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</si>
  <si>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</si>
  <si>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</si>
  <si>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</si>
  <si>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</si>
  <si>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</si>
  <si>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</si>
  <si>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</si>
  <si>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</si>
  <si>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</si>
  <si>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</si>
  <si>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</si>
  <si>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</si>
  <si>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</si>
  <si>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</si>
  <si>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</si>
  <si>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</si>
  <si>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</si>
  <si>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</si>
  <si>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</si>
  <si>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</si>
  <si>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</si>
  <si>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</si>
  <si>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</si>
  <si>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</si>
  <si>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</si>
  <si>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</si>
  <si>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</si>
  <si>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</si>
  <si>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</si>
  <si>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</si>
  <si>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</si>
  <si>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</si>
  <si>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</si>
  <si>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</si>
  <si>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</si>
  <si>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</si>
  <si>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</si>
  <si>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</si>
  <si>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</si>
  <si>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</si>
  <si>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</si>
  <si>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</si>
  <si>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</si>
  <si>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</si>
  <si>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</si>
  <si>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</si>
  <si>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</si>
  <si>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</si>
  <si>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</si>
  <si>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</si>
  <si>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</si>
  <si>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</si>
  <si>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</si>
  <si>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</si>
  <si>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</si>
  <si>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</si>
  <si>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</si>
  <si>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</si>
  <si>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</si>
  <si>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</si>
  <si>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</si>
  <si>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</si>
  <si>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</si>
  <si>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</si>
  <si>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</si>
  <si>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</si>
  <si>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</si>
  <si>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</si>
  <si>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</si>
  <si>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</si>
  <si>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</si>
  <si>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</si>
  <si>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</si>
  <si>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</si>
  <si>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</si>
  <si>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</si>
  <si>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</si>
  <si>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</si>
  <si>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</si>
  <si>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</si>
  <si>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</si>
  <si>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</si>
  <si>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</si>
  <si>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</si>
  <si>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</si>
  <si>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</si>
  <si>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</si>
  <si>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</si>
  <si>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</si>
  <si>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</si>
  <si>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</si>
  <si>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</si>
  <si>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</si>
  <si>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</si>
  <si>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</si>
  <si>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</si>
  <si>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</si>
  <si>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</si>
  <si>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</si>
  <si>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</si>
  <si>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</si>
  <si>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</si>
  <si>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</si>
  <si>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</si>
  <si>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</si>
  <si>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</si>
  <si>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</si>
  <si>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</si>
  <si>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</si>
  <si>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</si>
  <si>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</si>
  <si>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</si>
  <si>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</si>
  <si>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</si>
  <si>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</si>
  <si>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</si>
  <si>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</si>
  <si>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</si>
  <si>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</si>
  <si>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</si>
  <si>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</si>
  <si>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</si>
  <si>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</si>
  <si>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</si>
  <si>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</si>
  <si>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</si>
  <si>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</si>
  <si>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</si>
  <si>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</si>
  <si>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</si>
  <si>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</si>
  <si>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</si>
  <si>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</si>
  <si>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</si>
  <si>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</si>
  <si>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</si>
  <si>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</si>
  <si>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</si>
  <si>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</si>
  <si>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</si>
  <si>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</si>
  <si>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</si>
  <si>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</si>
  <si>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</si>
  <si>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</si>
  <si>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</si>
  <si>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</si>
  <si>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</si>
  <si>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</si>
  <si>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</si>
  <si>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</si>
  <si>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</si>
  <si>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</si>
  <si>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</si>
  <si>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</si>
  <si>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</si>
  <si>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</si>
  <si>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</si>
  <si>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</si>
  <si>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</si>
  <si>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</si>
  <si>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</si>
  <si>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</si>
  <si>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</si>
  <si>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</si>
  <si>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</si>
  <si>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</si>
  <si>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</si>
  <si>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</si>
  <si>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</si>
  <si>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</si>
  <si>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</si>
  <si>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</si>
  <si>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</si>
  <si>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</si>
  <si>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</si>
  <si>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</si>
  <si>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</si>
  <si>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</si>
  <si>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</si>
  <si>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</si>
  <si>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</si>
  <si>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</si>
  <si>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</si>
  <si>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</si>
  <si>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</si>
  <si>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</si>
  <si>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</si>
  <si>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</si>
  <si>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</si>
  <si>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</si>
  <si>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</si>
  <si>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</si>
  <si>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</si>
  <si>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</si>
  <si>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</si>
  <si>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</si>
  <si>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</si>
  <si>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</si>
  <si>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</si>
  <si>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</si>
  <si>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</si>
  <si>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</si>
  <si>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</si>
  <si>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</si>
  <si>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</si>
  <si>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</si>
  <si>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</si>
  <si>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</si>
  <si>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</si>
  <si>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</si>
  <si>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</si>
  <si>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</si>
  <si>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</si>
  <si>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</si>
  <si>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</si>
  <si>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</si>
  <si>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</si>
  <si>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</si>
  <si>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</si>
  <si>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</si>
  <si>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</si>
  <si>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</si>
  <si>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</si>
  <si>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</si>
  <si>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</si>
  <si>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</si>
  <si>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</si>
  <si>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</si>
  <si>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</si>
  <si>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</si>
  <si>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</si>
  <si>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</si>
  <si>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</si>
  <si>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</si>
  <si>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</si>
  <si>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</si>
  <si>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</si>
  <si>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</si>
  <si>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</si>
  <si>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</si>
  <si>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</si>
  <si>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</si>
  <si>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</si>
  <si>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</si>
  <si>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</si>
  <si>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</si>
  <si>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</si>
  <si>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</si>
  <si>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</si>
  <si>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</si>
  <si>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</si>
  <si>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</si>
  <si>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</si>
  <si>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</si>
  <si>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</si>
  <si>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</si>
  <si>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</si>
  <si>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</si>
  <si>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</si>
  <si>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</si>
  <si>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</si>
  <si>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</si>
  <si>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</si>
  <si>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</si>
  <si>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</si>
  <si>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</si>
  <si>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</si>
  <si>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</si>
  <si>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</si>
  <si>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</si>
  <si>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</si>
  <si>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</si>
  <si>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</si>
  <si>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</si>
  <si>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</si>
  <si>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</si>
  <si>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</si>
  <si>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</si>
  <si>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</si>
  <si>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</si>
  <si>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</si>
  <si>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</si>
  <si>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</si>
  <si>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</si>
  <si>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</si>
  <si>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</si>
  <si>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</si>
  <si>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</si>
  <si>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</si>
  <si>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</si>
  <si>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</si>
  <si>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</si>
  <si>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</si>
  <si>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</si>
  <si>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</si>
  <si>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</si>
  <si>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</si>
  <si>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</si>
  <si>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</si>
  <si>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</si>
  <si>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</si>
  <si>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</si>
  <si>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</si>
  <si>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</si>
  <si>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</si>
  <si>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</si>
  <si>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</si>
  <si>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</si>
  <si>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</si>
  <si>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</si>
  <si>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</si>
  <si>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</si>
  <si>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</si>
  <si>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</si>
  <si>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</si>
  <si>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</si>
  <si>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</si>
  <si>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</si>
  <si>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</si>
  <si>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</si>
  <si>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</si>
  <si>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</si>
  <si>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</si>
  <si>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</si>
  <si>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</si>
  <si>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</si>
  <si>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</si>
  <si>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</si>
  <si>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</si>
  <si>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</si>
  <si>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</si>
  <si>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</si>
  <si>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</si>
  <si>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</si>
  <si>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</si>
  <si>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</si>
  <si>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</si>
  <si>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</si>
  <si>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</si>
  <si>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</si>
  <si>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</si>
  <si>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</si>
  <si>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</si>
  <si>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</si>
  <si>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</si>
  <si>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</si>
  <si>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</si>
  <si>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</si>
  <si>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</si>
  <si>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</si>
  <si>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</si>
  <si>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</si>
  <si>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</si>
  <si>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</si>
  <si>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</si>
  <si>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</si>
  <si>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</si>
  <si>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</si>
  <si>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</si>
  <si>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</si>
  <si>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</si>
  <si>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</si>
  <si>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</si>
  <si>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</si>
  <si>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</si>
  <si>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</si>
  <si>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</si>
  <si>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</si>
  <si>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</si>
  <si>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</si>
  <si>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</si>
  <si>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</si>
  <si>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</si>
  <si>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</si>
  <si>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</si>
  <si>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</si>
  <si>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</si>
  <si>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</si>
  <si>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</si>
  <si>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</si>
  <si>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</si>
  <si>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</si>
  <si>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</si>
  <si>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</si>
  <si>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</si>
  <si>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</si>
  <si>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</si>
  <si>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</si>
  <si>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</si>
  <si>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</si>
  <si>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</si>
  <si>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</si>
  <si>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</si>
  <si>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</si>
  <si>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</si>
  <si>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</si>
  <si>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</si>
  <si>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</si>
  <si>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</si>
  <si>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</si>
  <si>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</si>
  <si>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</si>
  <si>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</si>
  <si>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</si>
  <si>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</si>
  <si>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</si>
  <si>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</si>
  <si>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</si>
  <si>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</si>
  <si>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</si>
  <si>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</si>
  <si>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</si>
  <si>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</si>
  <si>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</si>
  <si>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</si>
  <si>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</si>
  <si>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</si>
  <si>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</si>
  <si>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</si>
  <si>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</si>
  <si>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</si>
  <si>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</si>
  <si>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</si>
  <si>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</si>
  <si>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</si>
  <si>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</si>
  <si>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</si>
  <si>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</si>
  <si>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</si>
  <si>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</si>
  <si>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</si>
  <si>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</si>
  <si>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</si>
  <si>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</si>
  <si>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</si>
  <si>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</si>
  <si>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</si>
  <si>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</si>
  <si>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</si>
  <si>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</si>
  <si>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</si>
  <si>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</si>
  <si>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</si>
  <si>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</si>
  <si>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</si>
  <si>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</si>
  <si>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</si>
  <si>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</si>
  <si>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</si>
  <si>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</si>
  <si>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</si>
  <si>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</si>
  <si>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</si>
  <si>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</si>
  <si>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</si>
  <si>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</si>
  <si>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</si>
  <si>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</si>
  <si>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</si>
  <si>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</si>
  <si>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</si>
  <si>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</si>
  <si>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</si>
  <si>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</si>
  <si>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</si>
  <si>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</si>
  <si>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</si>
  <si>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</si>
  <si>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</si>
  <si>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</si>
  <si>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</si>
  <si>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</si>
  <si>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</si>
  <si>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</si>
  <si>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</si>
  <si>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</si>
  <si>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</si>
  <si>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</si>
  <si>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</si>
  <si>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</si>
  <si>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</si>
  <si>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</si>
  <si>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</si>
  <si>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</si>
  <si>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</si>
  <si>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</si>
  <si>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</si>
  <si>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</si>
  <si>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</si>
  <si>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</si>
  <si>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</si>
  <si>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</si>
  <si>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</si>
  <si>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</si>
  <si>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</si>
  <si>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</si>
  <si>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</si>
  <si>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</si>
  <si>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</si>
  <si>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</si>
  <si>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</si>
  <si>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</si>
  <si>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</si>
  <si>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</si>
  <si>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</si>
  <si>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</si>
  <si>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</si>
  <si>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</si>
  <si>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</si>
  <si>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</si>
  <si>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</si>
  <si>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</si>
  <si>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</si>
  <si>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</si>
  <si>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</si>
  <si>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</si>
  <si>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</si>
  <si>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</si>
  <si>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</si>
  <si>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</si>
  <si>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</si>
  <si>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</si>
  <si>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</si>
  <si>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</si>
  <si>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</si>
  <si>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</si>
  <si>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</si>
  <si>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</si>
  <si>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</si>
  <si>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</si>
  <si>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</si>
  <si>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</si>
  <si>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</si>
  <si>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</si>
  <si>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</si>
  <si>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</si>
  <si>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</si>
  <si>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</si>
  <si>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</si>
  <si>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</si>
  <si>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</si>
  <si>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</si>
  <si>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</si>
  <si>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</si>
  <si>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</si>
  <si>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</si>
  <si>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</si>
  <si>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</si>
  <si>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</si>
  <si>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</si>
  <si>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</si>
  <si>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</si>
  <si>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</si>
  <si>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</si>
  <si>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</si>
  <si>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</si>
  <si>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</si>
  <si>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</si>
  <si>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</si>
  <si>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</si>
  <si>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</si>
  <si>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</si>
  <si>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</si>
  <si>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</si>
  <si>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</si>
  <si>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</si>
  <si>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</si>
  <si>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</si>
  <si>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</si>
  <si>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</si>
  <si>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</si>
  <si>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</si>
  <si>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</si>
  <si>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</si>
  <si>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</si>
  <si>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</si>
  <si>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</si>
  <si>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</si>
  <si>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</si>
  <si>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</si>
  <si>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</si>
  <si>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</si>
  <si>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</si>
  <si>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</si>
  <si>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</si>
  <si>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</si>
  <si>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</si>
  <si>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</si>
  <si>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</si>
  <si>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</si>
  <si>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</si>
  <si>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</si>
  <si>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</si>
  <si>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</si>
  <si>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</si>
  <si>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</si>
  <si>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</si>
  <si>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</si>
  <si>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</si>
  <si>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</si>
  <si>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</si>
  <si>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</si>
  <si>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</si>
  <si>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</si>
  <si>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</si>
  <si>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</si>
  <si>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</si>
  <si>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</si>
  <si>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</si>
  <si>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</si>
  <si>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</si>
  <si>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</si>
  <si>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</si>
  <si>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</si>
  <si>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</si>
  <si>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</si>
  <si>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</si>
  <si>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</si>
  <si>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</si>
  <si>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</si>
  <si>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</si>
  <si>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</si>
  <si>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</si>
  <si>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</si>
  <si>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</si>
  <si>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</si>
  <si>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</si>
  <si>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</si>
  <si>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</si>
  <si>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</si>
  <si>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</si>
  <si>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</si>
  <si>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</si>
  <si>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</si>
  <si>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</si>
  <si>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</si>
  <si>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</si>
  <si>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</si>
  <si>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</si>
  <si>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</si>
  <si>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</si>
  <si>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</si>
  <si>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</si>
  <si>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</si>
  <si>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</si>
  <si>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</si>
  <si>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</si>
  <si>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</si>
  <si>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</si>
  <si>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</si>
  <si>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</si>
  <si>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</si>
  <si>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</si>
  <si>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</si>
  <si>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</si>
  <si>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</si>
  <si>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</si>
  <si>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</si>
  <si>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</si>
  <si>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</si>
  <si>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</si>
  <si>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</si>
  <si>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</si>
  <si>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</si>
  <si>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</si>
  <si>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</si>
  <si>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</si>
  <si>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</si>
  <si>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</si>
  <si>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</si>
  <si>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</si>
  <si>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</si>
  <si>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</si>
  <si>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</si>
  <si>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</si>
  <si>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</si>
  <si>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</si>
  <si>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</si>
  <si>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</si>
  <si>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</si>
  <si>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</si>
  <si>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</si>
  <si>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</si>
  <si>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</si>
  <si>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</si>
  <si>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</si>
  <si>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</si>
  <si>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</si>
  <si>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</si>
  <si>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</si>
  <si>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</si>
  <si>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</si>
  <si>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</si>
  <si>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</si>
  <si>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</si>
  <si>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</si>
  <si>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</si>
  <si>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</si>
  <si>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</si>
  <si>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</si>
  <si>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</si>
  <si>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</si>
  <si>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</si>
  <si>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</si>
  <si>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</si>
  <si>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</si>
  <si>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</si>
  <si>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</si>
  <si>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</si>
  <si>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</si>
  <si>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</si>
  <si>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</si>
  <si>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</si>
  <si>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</si>
  <si>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</si>
  <si>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</si>
  <si>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</si>
  <si>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</si>
  <si>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</si>
  <si>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</si>
  <si>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</si>
  <si>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</si>
  <si>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</si>
  <si>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</si>
  <si>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</si>
  <si>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</si>
  <si>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</si>
  <si>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</si>
  <si>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</si>
  <si>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</si>
  <si>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</si>
  <si>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</si>
  <si>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</si>
  <si>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</si>
  <si>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</si>
  <si>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</si>
  <si>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</si>
  <si>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</si>
  <si>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</si>
  <si>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</si>
  <si>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</si>
  <si>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</si>
  <si>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</si>
  <si>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</si>
  <si>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</si>
  <si>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</si>
  <si>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</si>
  <si>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</si>
  <si>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</si>
  <si>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</si>
  <si>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</si>
  <si>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</si>
  <si>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</si>
  <si>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</si>
  <si>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</si>
  <si>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</si>
  <si>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</si>
  <si>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</si>
  <si>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</si>
  <si>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</si>
  <si>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</si>
  <si>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</si>
  <si>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</si>
  <si>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</si>
  <si>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</si>
  <si>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</si>
  <si>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</si>
  <si>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</si>
  <si>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</si>
  <si>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</si>
  <si>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</si>
  <si>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</si>
  <si>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</si>
  <si>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</si>
  <si>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</si>
  <si>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</si>
  <si>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</si>
  <si>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</si>
  <si>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</si>
  <si>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</si>
  <si>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</si>
  <si>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</si>
  <si>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</si>
  <si>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</si>
  <si>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</si>
  <si>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</si>
  <si>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</si>
  <si>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</si>
  <si>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</si>
  <si>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</si>
  <si>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</si>
  <si>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</si>
  <si>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</si>
  <si>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</si>
  <si>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</si>
  <si>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</si>
  <si>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</si>
  <si>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</si>
  <si>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</si>
  <si>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</si>
  <si>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</si>
  <si>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</si>
  <si>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</si>
  <si>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</si>
  <si>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</si>
  <si>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</si>
  <si>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</si>
  <si>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</si>
  <si>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</si>
  <si>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</si>
  <si>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</si>
  <si>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</si>
  <si>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</si>
  <si>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</si>
  <si>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</si>
  <si>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</si>
  <si>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</si>
  <si>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</si>
  <si>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</si>
  <si>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</si>
  <si>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</si>
  <si>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</si>
  <si>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</si>
  <si>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</si>
  <si>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</si>
  <si>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</si>
  <si>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</si>
  <si>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</si>
  <si>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</si>
  <si>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</si>
  <si>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</si>
  <si>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</si>
  <si>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</si>
  <si>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</si>
  <si>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</si>
  <si>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</si>
  <si>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</si>
  <si>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</si>
  <si>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</si>
  <si>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</si>
  <si>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</si>
  <si>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</si>
  <si>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</si>
  <si>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</si>
  <si>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</si>
  <si>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</si>
  <si>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</si>
  <si>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</si>
  <si>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</si>
  <si>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</si>
  <si>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</si>
  <si>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</si>
  <si>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</si>
  <si>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</si>
  <si>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</si>
  <si>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</si>
  <si>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</si>
  <si>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</si>
  <si>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</si>
  <si>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</si>
  <si>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</si>
  <si>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</si>
  <si>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</si>
  <si>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</si>
  <si>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</si>
  <si>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</si>
  <si>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</si>
  <si>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</si>
  <si>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</si>
  <si>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</si>
  <si>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</si>
  <si>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</si>
  <si>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</si>
  <si>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</si>
  <si>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</si>
  <si>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</si>
  <si>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</si>
  <si>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</si>
  <si>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</si>
  <si>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</si>
  <si>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</si>
  <si>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</si>
  <si>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</si>
  <si>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</si>
  <si>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</si>
  <si>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</si>
  <si>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</si>
  <si>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</si>
  <si>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</si>
  <si>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</si>
  <si>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</si>
  <si>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</si>
  <si>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</si>
  <si>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</si>
  <si>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</si>
  <si>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</si>
  <si>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</si>
  <si>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</si>
  <si>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</si>
  <si>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</si>
  <si>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</si>
  <si>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</si>
  <si>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</si>
  <si>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</si>
  <si>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</si>
  <si>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</si>
  <si>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</si>
  <si>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</si>
  <si>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</si>
  <si>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</si>
  <si>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</si>
  <si>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</si>
  <si>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</si>
  <si>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</si>
  <si>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</si>
  <si>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</si>
  <si>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</si>
  <si>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</si>
  <si>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</si>
  <si>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</si>
  <si>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</si>
  <si>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</si>
  <si>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</si>
  <si>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</si>
  <si>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</si>
  <si>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</si>
  <si>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</si>
  <si>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</si>
  <si>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</si>
  <si>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</si>
  <si>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</si>
  <si>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</si>
  <si>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</si>
  <si>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</si>
  <si>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</si>
  <si>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</si>
  <si>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</si>
  <si>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</si>
  <si>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</si>
  <si>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</si>
  <si>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</si>
  <si>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</si>
  <si>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</si>
  <si>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</si>
  <si>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</si>
  <si>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</si>
  <si>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</si>
  <si>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</si>
  <si>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</si>
  <si>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</si>
  <si>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</si>
  <si>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</si>
  <si>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</si>
  <si>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</si>
  <si>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</si>
  <si>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</si>
  <si>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</si>
  <si>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</si>
  <si>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</si>
  <si>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</si>
  <si>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</si>
  <si>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</si>
  <si>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</si>
  <si>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</si>
  <si>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</si>
  <si>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</si>
  <si>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</si>
  <si>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</si>
  <si>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</si>
  <si>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</si>
  <si>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</si>
  <si>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</si>
  <si>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</si>
  <si>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</si>
  <si>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</si>
  <si>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</si>
  <si>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</si>
  <si>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</si>
  <si>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</si>
  <si>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</si>
  <si>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</si>
  <si>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</si>
  <si>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</si>
  <si>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</si>
  <si>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</si>
  <si>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</si>
  <si>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</si>
  <si>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</si>
  <si>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</si>
  <si>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</si>
  <si>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</si>
  <si>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</si>
  <si>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</si>
  <si>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</si>
  <si>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</si>
  <si>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</si>
  <si>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</si>
  <si>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</si>
  <si>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</si>
  <si>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</si>
  <si>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</si>
  <si>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</si>
  <si>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</si>
  <si>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</si>
  <si>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</si>
  <si>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</si>
  <si>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</si>
  <si>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</si>
  <si>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</si>
  <si>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</si>
  <si>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</si>
  <si>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</si>
  <si>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</si>
  <si>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</si>
  <si>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</si>
  <si>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</si>
  <si>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</si>
  <si>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</si>
  <si>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</si>
  <si>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</si>
  <si>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</si>
  <si>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</si>
  <si>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</si>
  <si>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</si>
  <si>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</si>
  <si>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</si>
  <si>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</si>
  <si>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</si>
  <si>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</si>
  <si>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</si>
  <si>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</si>
  <si>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</si>
  <si>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</si>
  <si>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</si>
  <si>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</si>
  <si>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</si>
  <si>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</si>
  <si>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</si>
  <si>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</si>
  <si>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</si>
  <si>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</si>
  <si>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</si>
  <si>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</si>
  <si>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</si>
  <si>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</si>
  <si>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</si>
  <si>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</si>
  <si>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</si>
  <si>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</si>
  <si>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</si>
  <si>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</si>
  <si>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</si>
  <si>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</si>
  <si>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</si>
  <si>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</si>
  <si>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</si>
  <si>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</si>
  <si>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</si>
  <si>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</si>
  <si>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</si>
  <si>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</si>
  <si>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</si>
  <si>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</si>
  <si>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</si>
  <si>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</si>
  <si>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</si>
  <si>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</si>
  <si>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</si>
  <si>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</si>
  <si>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</si>
  <si>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</si>
  <si>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</si>
  <si>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</si>
  <si>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</si>
  <si>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</si>
  <si>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</si>
  <si>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</si>
  <si>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</si>
  <si>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</si>
  <si>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</si>
  <si>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</si>
  <si>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</si>
  <si>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</si>
  <si>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</si>
  <si>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</si>
  <si>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</si>
  <si>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</si>
  <si>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</si>
  <si>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</si>
  <si>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</si>
  <si>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</si>
  <si>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</si>
  <si>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</si>
  <si>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</si>
  <si>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</si>
  <si>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</si>
  <si>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</si>
  <si>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</si>
  <si>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</si>
  <si>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</si>
  <si>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</si>
  <si>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</si>
  <si>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</si>
  <si>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</si>
  <si>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</si>
  <si>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</si>
  <si>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</si>
  <si>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</si>
  <si>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</si>
  <si>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</si>
  <si>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</si>
  <si>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</si>
  <si>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</si>
  <si>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</si>
  <si>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</si>
  <si>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</si>
  <si>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</si>
  <si>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</si>
  <si>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</si>
  <si>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</si>
  <si>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</si>
  <si>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</si>
  <si>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</si>
  <si>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</si>
  <si>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</si>
  <si>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</si>
  <si>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</si>
  <si>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</si>
  <si>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</si>
  <si>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</si>
  <si>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</si>
  <si>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</si>
  <si>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</si>
  <si>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</si>
  <si>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</si>
  <si>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</si>
  <si>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</si>
  <si>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</si>
  <si>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</si>
  <si>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</si>
  <si>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</si>
  <si>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</si>
  <si>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</si>
  <si>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</si>
  <si>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</si>
  <si>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</si>
  <si>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</si>
  <si>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</si>
  <si>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</si>
  <si>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</si>
  <si>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</si>
  <si>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</si>
  <si>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</si>
  <si>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</si>
  <si>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</si>
  <si>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</si>
  <si>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</si>
  <si>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</si>
  <si>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</si>
  <si>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</si>
  <si>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</si>
  <si>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</si>
  <si>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</si>
  <si>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</si>
  <si>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</si>
  <si>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</si>
  <si>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</si>
  <si>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</si>
  <si>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</si>
  <si>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</si>
  <si>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</si>
  <si>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</si>
  <si>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</si>
  <si>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</si>
  <si>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</si>
  <si>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</si>
  <si>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</si>
  <si>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</si>
  <si>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</si>
  <si>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</si>
  <si>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</si>
  <si>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</si>
  <si>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</si>
  <si>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</si>
  <si>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</si>
  <si>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</si>
  <si>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</si>
  <si>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</si>
  <si>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</si>
  <si>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</si>
  <si>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</si>
  <si>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</si>
  <si>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</si>
  <si>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</si>
  <si>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</si>
  <si>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</si>
  <si>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</si>
  <si>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</si>
  <si>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</si>
  <si>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</si>
  <si>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</si>
  <si>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</si>
  <si>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</si>
  <si>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</si>
  <si>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</si>
  <si>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</si>
  <si>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</si>
  <si>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</si>
  <si>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</si>
  <si>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</si>
  <si>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</si>
  <si>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</si>
  <si>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</si>
  <si>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</si>
  <si>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</si>
  <si>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</si>
  <si>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</si>
  <si>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</si>
  <si>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</si>
  <si>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</si>
  <si>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</si>
  <si>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</si>
  <si>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</si>
  <si>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</si>
  <si>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</si>
  <si>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</si>
  <si>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</si>
  <si>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</si>
  <si>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</si>
  <si>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</si>
  <si>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</si>
  <si>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</si>
  <si>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</si>
  <si>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</si>
  <si>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</si>
  <si>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</si>
  <si>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</si>
  <si>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</si>
  <si>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</si>
  <si>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</si>
  <si>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</si>
  <si>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</si>
  <si>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</si>
  <si>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</si>
  <si>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</si>
  <si>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</si>
  <si>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</si>
  <si>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</si>
  <si>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</si>
  <si>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</si>
  <si>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</si>
  <si>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</si>
  <si>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</si>
  <si>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</si>
  <si>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</si>
  <si>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</si>
  <si>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</si>
  <si>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</si>
  <si>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</si>
  <si>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</si>
  <si>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</si>
  <si>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</si>
  <si>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</si>
  <si>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</si>
  <si>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</si>
  <si>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</si>
  <si>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</si>
  <si>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</si>
  <si>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</si>
  <si>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</si>
  <si>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</si>
  <si>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</si>
  <si>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</si>
  <si>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</si>
  <si>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</si>
  <si>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</si>
  <si>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</si>
  <si>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</si>
  <si>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</si>
  <si>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</si>
  <si>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</si>
  <si>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</si>
  <si>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</si>
  <si>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</si>
  <si>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</si>
  <si>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</si>
  <si>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</si>
  <si>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</si>
  <si>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</si>
  <si>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</si>
  <si>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</si>
  <si>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</si>
  <si>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</si>
  <si>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</si>
  <si>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</si>
  <si>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</si>
  <si>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</si>
  <si>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</si>
  <si>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</si>
  <si>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</si>
  <si>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</si>
  <si>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</si>
  <si>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</si>
  <si>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</si>
  <si>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</si>
  <si>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</si>
  <si>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</si>
  <si>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</si>
  <si>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</si>
  <si>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</si>
  <si>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</si>
  <si>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</si>
  <si>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</si>
  <si>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</si>
  <si>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</si>
  <si>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</si>
  <si>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</si>
  <si>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</si>
  <si>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</si>
  <si>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</si>
  <si>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</si>
  <si>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</si>
  <si>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</si>
  <si>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</si>
  <si>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</si>
  <si>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</si>
  <si>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</si>
  <si>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</si>
  <si>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</si>
  <si>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</si>
  <si>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</si>
  <si>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</si>
  <si>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</si>
  <si>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</si>
  <si>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</si>
  <si>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</si>
  <si>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</si>
  <si>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</si>
  <si>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</si>
  <si>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</si>
  <si>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</si>
  <si>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</si>
  <si>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</si>
  <si>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</si>
  <si>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</si>
  <si>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</si>
  <si>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</si>
  <si>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</si>
  <si>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</si>
  <si>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</si>
  <si>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</si>
  <si>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</si>
  <si>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</si>
  <si>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</si>
  <si>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</si>
  <si>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</si>
  <si>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</si>
  <si>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</si>
  <si>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</si>
  <si>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</si>
  <si>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</si>
  <si>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</si>
  <si>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</si>
  <si>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</si>
  <si>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</si>
  <si>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</si>
  <si>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</si>
  <si>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</si>
  <si>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</si>
  <si>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</si>
  <si>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</si>
  <si>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</si>
  <si>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</si>
  <si>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</si>
  <si>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</si>
  <si>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</si>
  <si>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</si>
  <si>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</si>
  <si>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</si>
  <si>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</si>
  <si>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</si>
  <si>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</si>
  <si>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</si>
  <si>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</si>
  <si>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</si>
  <si>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</si>
  <si>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</si>
  <si>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</si>
  <si>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</si>
  <si>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</si>
  <si>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</si>
  <si>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</si>
  <si>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</si>
  <si>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</si>
  <si>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</si>
  <si>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</si>
  <si>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</si>
  <si>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</si>
  <si>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</si>
  <si>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</si>
  <si>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</si>
  <si>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</si>
  <si>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</si>
  <si>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</si>
  <si>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</si>
  <si>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</si>
  <si>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</si>
  <si>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</si>
  <si>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</si>
  <si>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</si>
  <si>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</si>
  <si>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</si>
  <si>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</si>
  <si>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</si>
  <si>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</si>
  <si>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</si>
  <si>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</si>
  <si>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</si>
  <si>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</si>
  <si>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</si>
  <si>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</si>
  <si>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</si>
  <si>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</si>
  <si>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</si>
  <si>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</si>
  <si>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</si>
  <si>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</si>
  <si>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</si>
  <si>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</si>
  <si>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</si>
  <si>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</si>
  <si>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</si>
  <si>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</si>
  <si>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</si>
  <si>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</si>
  <si>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</si>
  <si>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</si>
  <si>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</si>
  <si>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</si>
  <si>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</si>
  <si>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</si>
  <si>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</si>
  <si>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</si>
  <si>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</si>
  <si>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</si>
  <si>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</si>
  <si>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</si>
  <si>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</si>
  <si>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</si>
  <si>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</si>
  <si>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</si>
  <si>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</si>
  <si>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</si>
  <si>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</si>
  <si>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</si>
  <si>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</si>
  <si>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</si>
  <si>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</si>
  <si>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</si>
  <si>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</si>
  <si>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</si>
  <si>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</si>
  <si>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</si>
  <si>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</si>
  <si>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</si>
  <si>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</si>
  <si>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</si>
  <si>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</si>
  <si>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</si>
  <si>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</si>
  <si>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</si>
  <si>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</si>
  <si>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</si>
  <si>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</si>
  <si>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</si>
  <si>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</si>
  <si>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</si>
  <si>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</si>
  <si>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</si>
  <si>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</si>
  <si>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</si>
  <si>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</si>
  <si>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</si>
  <si>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</si>
  <si>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</si>
  <si>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</si>
  <si>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</si>
  <si>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</si>
  <si>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</si>
  <si>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</si>
  <si>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</si>
  <si>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</si>
  <si>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</si>
  <si>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</si>
  <si>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</si>
  <si>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</si>
  <si>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</si>
  <si>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</si>
  <si>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</si>
  <si>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</si>
  <si>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</si>
  <si>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</si>
  <si>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</si>
  <si>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</si>
  <si>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</si>
  <si>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</si>
  <si>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</si>
  <si>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</si>
  <si>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</si>
  <si>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</si>
  <si>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</si>
  <si>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</si>
  <si>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</si>
  <si>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</si>
  <si>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</si>
  <si>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</si>
  <si>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</si>
  <si>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</si>
  <si>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</si>
  <si>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</si>
  <si>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</si>
  <si>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</si>
  <si>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</si>
  <si>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</si>
  <si>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</si>
  <si>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</si>
  <si>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</si>
  <si>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</si>
  <si>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</si>
  <si>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</si>
  <si>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</si>
  <si>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</si>
  <si>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</si>
  <si>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</si>
  <si>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</si>
  <si>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</si>
  <si>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</si>
  <si>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</si>
  <si>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</si>
  <si>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</si>
  <si>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</si>
  <si>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</si>
  <si>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</si>
  <si>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</si>
  <si>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</si>
  <si>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</si>
  <si>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</si>
  <si>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</si>
  <si>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</si>
  <si>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</si>
  <si>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</si>
  <si>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</si>
  <si>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</si>
  <si>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</si>
  <si>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</si>
  <si>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</si>
  <si>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</si>
  <si>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</si>
  <si>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</si>
  <si>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</si>
  <si>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</si>
  <si>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</si>
  <si>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</si>
  <si>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</si>
  <si>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</si>
  <si>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</si>
  <si>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</si>
  <si>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</si>
  <si>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</si>
  <si>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</si>
  <si>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</si>
  <si>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</si>
  <si>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</si>
  <si>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</si>
  <si>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</si>
  <si>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</si>
  <si>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</si>
  <si>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</si>
  <si>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</si>
  <si>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</si>
  <si>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</si>
  <si>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</si>
  <si>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</si>
  <si>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</si>
  <si>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</si>
  <si>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</si>
  <si>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</si>
  <si>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</si>
  <si>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</si>
  <si>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</si>
  <si>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</si>
  <si>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</si>
  <si>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</si>
  <si>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</si>
  <si>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</si>
  <si>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</si>
  <si>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</si>
  <si>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</si>
  <si>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</si>
  <si>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</si>
  <si>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</si>
  <si>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</si>
  <si>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</si>
  <si>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</si>
  <si>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</si>
  <si>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</si>
  <si>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</si>
  <si>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</si>
  <si>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</si>
  <si>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</si>
  <si>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</si>
  <si>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</si>
  <si>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</si>
  <si>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</si>
  <si>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</si>
  <si>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</si>
  <si>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</si>
  <si>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</si>
  <si>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</si>
  <si>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</si>
  <si>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</si>
  <si>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</si>
  <si>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</si>
  <si>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</si>
  <si>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</si>
  <si>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</si>
  <si>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</si>
  <si>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</si>
  <si>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</si>
  <si>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</si>
  <si>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</si>
  <si>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</si>
  <si>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</si>
  <si>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</si>
  <si>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</si>
  <si>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</si>
  <si>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</si>
  <si>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</si>
  <si>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</si>
  <si>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</si>
  <si>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</si>
  <si>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</si>
  <si>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</si>
  <si>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</si>
  <si>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</si>
  <si>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</si>
  <si>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</si>
  <si>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</si>
  <si>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</si>
  <si>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</si>
  <si>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</si>
  <si>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</si>
  <si>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</si>
  <si>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</si>
  <si>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</si>
  <si>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</si>
  <si>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</si>
  <si>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</si>
  <si>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</si>
  <si>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</si>
  <si>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</si>
  <si>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</si>
  <si>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</si>
  <si>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</si>
  <si>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</si>
  <si>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</si>
  <si>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</si>
  <si>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</si>
  <si>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</si>
  <si>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</si>
  <si>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</si>
  <si>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</si>
  <si>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</si>
  <si>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</si>
  <si>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</si>
  <si>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</si>
  <si>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</si>
  <si>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</si>
  <si>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</si>
  <si>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</si>
  <si>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</si>
  <si>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</si>
  <si>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</si>
  <si>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</si>
  <si>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</si>
  <si>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</si>
  <si>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</si>
  <si>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</si>
  <si>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</si>
  <si>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</si>
  <si>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</si>
  <si>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</si>
  <si>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</si>
  <si>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</si>
  <si>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</si>
  <si>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</si>
  <si>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</si>
  <si>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</si>
  <si>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</si>
  <si>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</si>
  <si>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</si>
  <si>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</si>
  <si>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</si>
  <si>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</si>
  <si>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</si>
  <si>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</si>
  <si>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</si>
  <si>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</si>
  <si>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</si>
  <si>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</si>
  <si>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</si>
  <si>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</si>
  <si>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</si>
  <si>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</si>
  <si>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</si>
  <si>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</si>
  <si>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</si>
  <si>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</si>
  <si>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</si>
  <si>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</si>
  <si>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</si>
  <si>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</si>
  <si>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</si>
  <si>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</si>
  <si>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</si>
  <si>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</si>
  <si>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</si>
  <si>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</si>
  <si>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</si>
  <si>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</si>
  <si>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</si>
  <si>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</si>
  <si>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</si>
  <si>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</si>
  <si>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</si>
  <si>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</si>
  <si>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</si>
  <si>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</si>
  <si>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</si>
  <si>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</si>
  <si>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</si>
  <si>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</si>
  <si>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</si>
  <si>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</si>
  <si>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</si>
  <si>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</si>
  <si>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</si>
  <si>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</si>
  <si>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</si>
  <si>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</si>
  <si>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</si>
  <si>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</si>
  <si>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</si>
  <si>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</si>
  <si>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</si>
  <si>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</si>
  <si>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</si>
  <si>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</si>
  <si>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</si>
  <si>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</si>
  <si>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</si>
  <si>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</si>
  <si>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</si>
  <si>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</si>
  <si>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</si>
  <si>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</si>
  <si>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</si>
  <si>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</si>
  <si>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</si>
  <si>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</si>
  <si>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</si>
  <si>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</si>
  <si>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</si>
  <si>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</si>
  <si>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</si>
  <si>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</si>
  <si>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</si>
  <si>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</si>
  <si>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</si>
  <si>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</si>
  <si>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</si>
  <si>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</si>
  <si>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</si>
  <si>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</si>
  <si>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</si>
  <si>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</si>
  <si>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</si>
  <si>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</si>
  <si>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</si>
  <si>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</si>
  <si>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</si>
  <si>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</si>
  <si>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</si>
  <si>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</si>
  <si>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</si>
  <si>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</si>
  <si>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</si>
  <si>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</si>
  <si>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</si>
  <si>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</si>
  <si>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</si>
  <si>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</si>
  <si>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</si>
  <si>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</si>
  <si>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</si>
  <si>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</si>
  <si>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</si>
  <si>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</si>
  <si>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</si>
  <si>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</si>
  <si>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</si>
  <si>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</si>
  <si>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</si>
  <si>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</si>
  <si>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</si>
  <si>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</si>
  <si>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</si>
  <si>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</si>
  <si>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</si>
  <si>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</si>
  <si>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</si>
  <si>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</si>
  <si>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</si>
  <si>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</si>
  <si>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</si>
  <si>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</si>
  <si>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</si>
  <si>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</si>
  <si>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</si>
  <si>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</si>
  <si>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</si>
  <si>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</si>
  <si>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</si>
  <si>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</si>
  <si>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</si>
  <si>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</si>
  <si>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</si>
  <si>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</si>
  <si>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</si>
  <si>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</si>
  <si>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</si>
  <si>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</si>
  <si>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</si>
  <si>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</si>
  <si>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</si>
  <si>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</si>
  <si>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</si>
  <si>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</si>
  <si>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</si>
  <si>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</si>
  <si>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</si>
  <si>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</si>
  <si>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</si>
  <si>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</si>
  <si>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</si>
  <si>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</si>
  <si>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</si>
  <si>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</si>
  <si>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</si>
  <si>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</si>
  <si>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</si>
  <si>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</si>
  <si>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</si>
  <si>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</si>
  <si>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</si>
  <si>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</si>
  <si>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</si>
  <si>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</si>
  <si>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</si>
  <si>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</si>
  <si>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</si>
  <si>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</si>
  <si>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</si>
  <si>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</si>
  <si>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</si>
  <si>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</si>
  <si>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</si>
  <si>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</si>
  <si>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</si>
  <si>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</si>
  <si>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</si>
  <si>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</si>
  <si>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</si>
  <si>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</si>
  <si>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</si>
  <si>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</si>
  <si>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</si>
  <si>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</si>
  <si>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</si>
  <si>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</si>
  <si>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</si>
  <si>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</si>
  <si>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</si>
  <si>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</si>
  <si>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</si>
  <si>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</si>
  <si>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</si>
  <si>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</si>
  <si>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</si>
  <si>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</si>
  <si>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</si>
  <si>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</si>
  <si>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</si>
  <si>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</si>
  <si>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</si>
  <si>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</si>
  <si>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</si>
  <si>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</si>
  <si>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</si>
  <si>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</si>
  <si>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</si>
  <si>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</si>
  <si>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</si>
  <si>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</si>
  <si>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</si>
  <si>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</si>
  <si>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</si>
  <si>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</si>
  <si>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</si>
  <si>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</si>
  <si>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</si>
  <si>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</si>
  <si>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</si>
  <si>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</si>
  <si>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</si>
  <si>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</si>
  <si>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</si>
  <si>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</si>
  <si>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</si>
  <si>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</si>
  <si>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</si>
  <si>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</si>
  <si>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</si>
  <si>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</si>
  <si>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</si>
  <si>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</si>
  <si>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</si>
  <si>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</si>
  <si>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</si>
  <si>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</si>
  <si>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</si>
  <si>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</si>
  <si>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</si>
  <si>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</si>
  <si>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</si>
  <si>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</si>
  <si>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</si>
  <si>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</si>
  <si>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</si>
  <si>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</si>
  <si>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</si>
  <si>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</si>
  <si>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</si>
  <si>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</si>
  <si>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</si>
  <si>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</si>
  <si>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</si>
  <si>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</si>
  <si>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</si>
  <si>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</si>
  <si>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</si>
  <si>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</si>
  <si>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</si>
  <si>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</si>
  <si>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</si>
  <si>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</si>
  <si>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</si>
  <si>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</si>
  <si>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</si>
  <si>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</si>
  <si>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</si>
  <si>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</si>
  <si>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</si>
  <si>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</si>
  <si>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</si>
  <si>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</si>
  <si>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</si>
  <si>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</si>
  <si>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</si>
  <si>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</si>
  <si>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</si>
  <si>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</si>
  <si>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</si>
  <si>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</si>
  <si>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</si>
  <si>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</si>
  <si>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</si>
  <si>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</si>
  <si>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</si>
  <si>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</si>
  <si>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</si>
  <si>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</si>
  <si>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</si>
  <si>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</si>
  <si>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</si>
  <si>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</si>
  <si>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</si>
  <si>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</si>
  <si>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</si>
  <si>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</si>
  <si>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</si>
  <si>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</si>
  <si>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</si>
  <si>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</si>
  <si>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</si>
  <si>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</si>
  <si>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</si>
  <si>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</si>
  <si>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</si>
  <si>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</si>
  <si>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</si>
  <si>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</si>
  <si>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</si>
  <si>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</si>
  <si>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</si>
  <si>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</si>
  <si>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</si>
  <si>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</si>
  <si>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</si>
  <si>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</si>
  <si>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</si>
  <si>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</si>
  <si>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</si>
  <si>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</si>
  <si>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</si>
  <si>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</si>
  <si>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</si>
  <si>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</si>
  <si>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</si>
  <si>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</si>
  <si>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</si>
  <si>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</si>
  <si>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</si>
  <si>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</si>
  <si>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</si>
  <si>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</si>
  <si>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</si>
  <si>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</si>
  <si>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</si>
  <si>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</si>
  <si>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</si>
  <si>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</si>
  <si>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</si>
  <si>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</si>
  <si>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</si>
  <si>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</si>
  <si>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</si>
  <si>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</si>
  <si>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</si>
  <si>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</si>
  <si>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</si>
  <si>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</si>
  <si>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</si>
  <si>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</si>
  <si>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</si>
  <si>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</si>
  <si>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</si>
  <si>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</si>
  <si>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</si>
  <si>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</si>
  <si>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</si>
  <si>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</si>
  <si>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</si>
  <si>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</si>
  <si>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</si>
  <si>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</si>
  <si>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</si>
  <si>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</si>
  <si>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</si>
  <si>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</si>
  <si>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</si>
  <si>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</si>
  <si>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</si>
  <si>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</si>
  <si>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</si>
  <si>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</si>
  <si>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</si>
  <si>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</si>
  <si>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</si>
  <si>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</si>
  <si>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</si>
  <si>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</si>
  <si>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</si>
  <si>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</si>
  <si>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</si>
  <si>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</si>
  <si>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</si>
  <si>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</si>
  <si>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</si>
  <si>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</si>
  <si>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</si>
  <si>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</si>
  <si>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</si>
  <si>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</si>
  <si>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</si>
  <si>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</si>
  <si>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</si>
  <si>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</si>
  <si>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</si>
  <si>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</si>
  <si>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</si>
  <si>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</si>
  <si>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</si>
  <si>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</si>
  <si>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</si>
  <si>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</si>
  <si>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</si>
  <si>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</si>
  <si>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</si>
  <si>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</si>
  <si>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</si>
  <si>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</si>
  <si>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</si>
  <si>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</si>
  <si>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</si>
  <si>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</si>
  <si>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</si>
  <si>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</si>
  <si>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</si>
  <si>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</si>
  <si>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</si>
  <si>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</si>
  <si>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</si>
  <si>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</si>
  <si>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</si>
  <si>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</si>
  <si>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</si>
  <si>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</si>
  <si>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</si>
  <si>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</si>
  <si>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</si>
  <si>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</si>
  <si>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</si>
  <si>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</si>
  <si>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</si>
  <si>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</si>
  <si>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</si>
  <si>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</si>
  <si>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</si>
  <si>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</si>
  <si>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</si>
  <si>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</si>
  <si>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</si>
  <si>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</si>
  <si>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</si>
  <si>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</si>
  <si>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</si>
  <si>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</si>
  <si>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</si>
  <si>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</si>
  <si>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</si>
  <si>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</si>
  <si>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</si>
  <si>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</si>
  <si>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</si>
  <si>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</si>
  <si>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</si>
  <si>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</si>
  <si>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</si>
  <si>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</si>
  <si>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</si>
  <si>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</si>
  <si>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</si>
  <si>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</si>
  <si>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</si>
  <si>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</si>
  <si>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</si>
  <si>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</si>
  <si>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</si>
  <si>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</si>
  <si>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</si>
  <si>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</si>
  <si>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</si>
  <si>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</si>
  <si>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</si>
  <si>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</si>
  <si>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</si>
  <si>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</si>
  <si>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</si>
  <si>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</si>
  <si>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</si>
  <si>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</si>
  <si>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</si>
  <si>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</si>
  <si>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</si>
  <si>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</si>
  <si>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</si>
  <si>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</si>
  <si>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</si>
  <si>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</si>
  <si>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</si>
  <si>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</si>
  <si>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</si>
  <si>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</si>
  <si>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</si>
  <si>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</si>
  <si>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</si>
  <si>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</si>
  <si>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</si>
  <si>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</si>
  <si>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</si>
  <si>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</si>
  <si>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</si>
  <si>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</si>
  <si>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</si>
  <si>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</si>
  <si>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</si>
  <si>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</si>
  <si>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</si>
  <si>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</si>
  <si>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</si>
  <si>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</si>
  <si>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</si>
  <si>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</si>
  <si>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</si>
  <si>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</si>
  <si>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</si>
  <si>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</si>
  <si>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</si>
  <si>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</si>
  <si>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</si>
  <si>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</si>
  <si>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</si>
  <si>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</si>
  <si>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</si>
  <si>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</si>
  <si>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</si>
  <si>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</si>
  <si>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</si>
  <si>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</si>
  <si>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</si>
  <si>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</si>
  <si>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</si>
  <si>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</si>
  <si>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</si>
  <si>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</si>
  <si>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</si>
  <si>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</si>
  <si>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</si>
  <si>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</si>
  <si>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</si>
  <si>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</si>
  <si>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</si>
  <si>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</si>
  <si>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</si>
  <si>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</si>
  <si>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</si>
  <si>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</si>
  <si>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</si>
  <si>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</si>
  <si>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</si>
  <si>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</si>
  <si>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</si>
  <si>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</si>
  <si>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</si>
  <si>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</si>
  <si>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</si>
  <si>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</si>
  <si>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</si>
  <si>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</si>
  <si>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</si>
  <si>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</si>
  <si>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</si>
  <si>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</si>
  <si>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</si>
  <si>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</si>
  <si>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</si>
  <si>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</si>
  <si>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</si>
  <si>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</si>
  <si>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</si>
  <si>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</si>
  <si>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</si>
  <si>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</si>
  <si>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</si>
  <si>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</si>
  <si>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</si>
  <si>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</si>
  <si>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</si>
  <si>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</si>
  <si>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</si>
  <si>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</si>
  <si>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</si>
  <si>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</si>
  <si>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</si>
  <si>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</si>
  <si>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</si>
  <si>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</si>
  <si>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</si>
  <si>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</si>
  <si>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</si>
  <si>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</si>
  <si>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</si>
  <si>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</si>
  <si>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</si>
  <si>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</si>
  <si>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</si>
  <si>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</si>
  <si>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</si>
  <si>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</si>
  <si>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</si>
  <si>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</si>
  <si>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</si>
  <si>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</si>
  <si>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</si>
  <si>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</si>
  <si>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</si>
  <si>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</si>
  <si>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</si>
  <si>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</si>
  <si>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</si>
  <si>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</si>
  <si>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</si>
  <si>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</si>
  <si>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</si>
  <si>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</si>
  <si>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</si>
  <si>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</si>
  <si>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</si>
  <si>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</si>
  <si>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</si>
  <si>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</si>
  <si>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</si>
  <si>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</si>
  <si>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</si>
  <si>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</si>
  <si>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</si>
  <si>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</si>
  <si>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</si>
  <si>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</si>
  <si>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</si>
  <si>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</si>
  <si>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</si>
  <si>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</si>
  <si>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</si>
  <si>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</si>
  <si>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</si>
  <si>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</si>
  <si>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</si>
  <si>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</si>
  <si>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</si>
  <si>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</si>
  <si>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</si>
  <si>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</si>
  <si>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</si>
  <si>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</si>
  <si>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</si>
  <si>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</si>
  <si>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</si>
  <si>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</si>
  <si>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</si>
  <si>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</si>
  <si>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</si>
  <si>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</si>
  <si>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</si>
  <si>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</si>
  <si>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</si>
  <si>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</si>
  <si>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</si>
  <si>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</si>
  <si>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</si>
  <si>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</si>
  <si>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</si>
  <si>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</si>
  <si>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</si>
  <si>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</si>
  <si>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</si>
  <si>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</si>
  <si>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</si>
  <si>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</si>
  <si>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</si>
  <si>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</si>
  <si>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</si>
  <si>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</si>
  <si>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</si>
  <si>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</si>
  <si>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</si>
  <si>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</si>
  <si>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</si>
  <si>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</si>
  <si>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</si>
  <si>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</si>
  <si>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</si>
  <si>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</si>
  <si>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</si>
  <si>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</si>
  <si>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</si>
  <si>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</si>
  <si>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</si>
  <si>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</si>
  <si>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</si>
  <si>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</si>
  <si>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</si>
  <si>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</si>
  <si>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</si>
  <si>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</si>
  <si>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</si>
  <si>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</si>
  <si>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</si>
  <si>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</si>
  <si>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</si>
  <si>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</si>
  <si>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</si>
  <si>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</si>
  <si>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</si>
  <si>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</si>
  <si>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</si>
  <si>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</si>
  <si>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</si>
  <si>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</si>
  <si>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</si>
  <si>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</si>
  <si>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</si>
  <si>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</si>
  <si>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</si>
  <si>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</si>
  <si>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</si>
  <si>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</si>
  <si>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</si>
  <si>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</si>
  <si>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</si>
  <si>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</si>
  <si>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</si>
  <si>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</si>
  <si>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</si>
  <si>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</si>
  <si>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</si>
  <si>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</si>
  <si>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</si>
  <si>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</si>
  <si>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</si>
  <si>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</si>
  <si>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</si>
  <si>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</si>
  <si>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</si>
  <si>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</si>
  <si>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</si>
  <si>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</si>
  <si>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</si>
  <si>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</si>
  <si>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</si>
  <si>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</si>
  <si>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</si>
  <si>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</si>
  <si>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</si>
  <si>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</si>
  <si>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</si>
  <si>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</si>
  <si>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</si>
  <si>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</si>
  <si>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</si>
  <si>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</si>
  <si>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</si>
  <si>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</si>
  <si>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</si>
  <si>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</si>
  <si>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</si>
  <si>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</si>
  <si>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</si>
  <si>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</si>
  <si>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</si>
  <si>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</si>
  <si>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</si>
  <si>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</si>
  <si>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</si>
  <si>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</si>
  <si>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</si>
  <si>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</si>
  <si>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</si>
  <si>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</si>
  <si>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</si>
  <si>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</si>
  <si>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</si>
  <si>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</si>
  <si>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</si>
  <si>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</si>
  <si>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</si>
  <si>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</si>
  <si>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</si>
  <si>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</si>
  <si>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</si>
  <si>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</si>
  <si>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</si>
  <si>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</si>
  <si>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</si>
  <si>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</si>
  <si>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</si>
  <si>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</si>
  <si>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</si>
  <si>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</si>
  <si>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</si>
  <si>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</si>
  <si>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</si>
  <si>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</si>
  <si>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</si>
  <si>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</si>
  <si>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</si>
  <si>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</si>
  <si>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</si>
  <si>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</si>
  <si>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</si>
  <si>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</si>
  <si>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</si>
  <si>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</si>
  <si>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</si>
  <si>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</si>
  <si>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</si>
  <si>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</si>
  <si>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</si>
  <si>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</si>
  <si>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</si>
  <si>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</si>
  <si>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</si>
  <si>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</si>
  <si>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</si>
  <si>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</si>
  <si>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</si>
  <si>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</si>
  <si>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</si>
  <si>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</si>
  <si>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</si>
  <si>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</si>
  <si>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</si>
  <si>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</si>
  <si>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</si>
  <si>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</si>
  <si>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</si>
  <si>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</si>
  <si>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</si>
  <si>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</si>
  <si>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</si>
  <si>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</si>
  <si>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</si>
  <si>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</si>
  <si>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</si>
  <si>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</si>
  <si>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</si>
  <si>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</si>
  <si>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</si>
  <si>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</si>
  <si>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</si>
  <si>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</si>
  <si>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</si>
  <si>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</si>
  <si>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</si>
  <si>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</si>
  <si>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</si>
  <si>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</si>
  <si>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</si>
  <si>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</si>
  <si>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</si>
  <si>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</si>
  <si>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</si>
  <si>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</si>
  <si>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</si>
  <si>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</si>
  <si>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</si>
  <si>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</si>
  <si>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</si>
  <si>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</si>
  <si>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</si>
  <si>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</si>
  <si>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</si>
  <si>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</si>
  <si>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</si>
  <si>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</si>
  <si>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</si>
  <si>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</si>
  <si>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</si>
  <si>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</si>
  <si>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</si>
  <si>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</si>
  <si>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</si>
  <si>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</si>
  <si>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</si>
  <si>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</si>
  <si>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</si>
  <si>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</si>
  <si>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</si>
  <si>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</si>
  <si>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</si>
  <si>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</si>
  <si>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</si>
  <si>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</si>
  <si>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</si>
  <si>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</si>
  <si>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</si>
  <si>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</si>
  <si>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</si>
  <si>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</si>
  <si>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</si>
  <si>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</si>
  <si>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</si>
  <si>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</si>
  <si>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</si>
  <si>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</si>
  <si>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</si>
  <si>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</si>
  <si>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</si>
  <si>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</si>
  <si>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</si>
  <si>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</si>
  <si>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</si>
  <si>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</si>
  <si>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</si>
  <si>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</si>
  <si>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</si>
  <si>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</si>
  <si>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</si>
  <si>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</si>
  <si>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</si>
  <si>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</si>
  <si>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</si>
  <si>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</si>
  <si>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</si>
  <si>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</si>
  <si>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</si>
  <si>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</si>
  <si>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</si>
  <si>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</si>
  <si>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</si>
  <si>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</si>
  <si>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</si>
  <si>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</si>
  <si>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</si>
  <si>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</si>
  <si>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</si>
  <si>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</si>
  <si>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</si>
  <si>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</si>
  <si>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</si>
  <si>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</si>
  <si>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</si>
  <si>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</si>
  <si>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</si>
  <si>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</si>
  <si>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</si>
  <si>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</si>
  <si>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</si>
  <si>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</si>
  <si>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</si>
  <si>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</si>
  <si>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</si>
  <si>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</si>
  <si>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</si>
  <si>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</si>
  <si>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</si>
  <si>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</si>
  <si>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</si>
  <si>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</si>
  <si>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</si>
  <si>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</si>
  <si>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</si>
  <si>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</si>
  <si>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</si>
  <si>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</si>
  <si>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</si>
  <si>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</si>
  <si>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</si>
  <si>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</si>
  <si>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</si>
  <si>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</si>
  <si>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</si>
  <si>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</si>
  <si>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</si>
  <si>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</si>
  <si>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</si>
  <si>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</si>
  <si>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</si>
  <si>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</si>
  <si>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</si>
  <si>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</si>
  <si>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</si>
  <si>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</si>
  <si>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</si>
  <si>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</si>
  <si>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</si>
  <si>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</si>
  <si>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</si>
  <si>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</si>
  <si>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</si>
  <si>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</si>
  <si>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</si>
  <si>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</si>
  <si>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</si>
  <si>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</si>
  <si>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</si>
  <si>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</si>
  <si>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</si>
  <si>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</si>
  <si>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</si>
  <si>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</si>
  <si>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</si>
  <si>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</si>
  <si>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</si>
  <si>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</si>
  <si>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</si>
  <si>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</si>
  <si>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</si>
  <si>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</si>
  <si>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</si>
  <si>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</si>
  <si>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</si>
  <si>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</si>
  <si>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</si>
  <si>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</si>
  <si>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</si>
  <si>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</si>
  <si>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</si>
  <si>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</si>
  <si>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</si>
  <si>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</si>
  <si>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</si>
  <si>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</si>
  <si>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</si>
  <si>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</si>
  <si>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</si>
  <si>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</si>
  <si>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</si>
  <si>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</si>
  <si>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</si>
  <si>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</si>
  <si>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</si>
  <si>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</si>
  <si>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</si>
  <si>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</si>
  <si>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</si>
  <si>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</si>
  <si>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</si>
  <si>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</si>
  <si>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</si>
  <si>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</si>
  <si>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</si>
  <si>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</si>
  <si>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</si>
  <si>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</si>
  <si>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</si>
  <si>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</si>
  <si>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</si>
  <si>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</si>
  <si>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</si>
  <si>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</si>
  <si>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</si>
  <si>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</si>
  <si>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</si>
  <si>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</si>
  <si>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</si>
  <si>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</si>
  <si>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</si>
  <si>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</si>
  <si>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</si>
  <si>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</si>
  <si>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</si>
  <si>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</si>
  <si>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</si>
  <si>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</si>
  <si>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</si>
  <si>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</si>
  <si>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</si>
  <si>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</si>
  <si>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</si>
  <si>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</si>
  <si>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</si>
  <si>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</si>
  <si>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</si>
  <si>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</si>
  <si>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</si>
  <si>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</si>
  <si>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</si>
  <si>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</si>
  <si>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</si>
  <si>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</si>
  <si>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</si>
  <si>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</si>
  <si>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</si>
  <si>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</si>
  <si>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</si>
  <si>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</si>
  <si>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</si>
  <si>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</si>
  <si>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</si>
  <si>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</si>
  <si>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</si>
  <si>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</si>
  <si>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</si>
  <si>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</si>
  <si>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</si>
  <si>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</si>
  <si>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</si>
  <si>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</si>
  <si>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</si>
  <si>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</si>
  <si>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</si>
  <si>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</si>
  <si>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</si>
  <si>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</si>
  <si>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</si>
  <si>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</si>
  <si>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</si>
  <si>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</si>
  <si>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</si>
  <si>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</si>
  <si>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</si>
  <si>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</si>
  <si>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</si>
  <si>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</si>
  <si>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</si>
  <si>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</si>
  <si>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</si>
  <si>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</si>
  <si>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</si>
  <si>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</si>
  <si>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</si>
  <si>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</si>
  <si>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</si>
  <si>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</si>
  <si>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</si>
  <si>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</si>
  <si>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</si>
  <si>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</si>
  <si>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</si>
  <si>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</si>
  <si>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</si>
  <si>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</si>
  <si>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</si>
  <si>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</si>
  <si>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</si>
  <si>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</si>
  <si>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</si>
  <si>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</si>
  <si>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</si>
  <si>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</si>
  <si>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</si>
  <si>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</si>
  <si>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</si>
  <si>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</si>
  <si>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</si>
  <si>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</si>
  <si>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</si>
  <si>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</si>
  <si>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</si>
  <si>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</si>
  <si>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</si>
  <si>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</si>
  <si>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</si>
  <si>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</si>
  <si>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</si>
  <si>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</si>
  <si>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</si>
  <si>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</si>
  <si>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</si>
  <si>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</si>
  <si>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</si>
  <si>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</si>
  <si>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</si>
  <si>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</si>
  <si>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</si>
  <si>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</si>
  <si>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</si>
  <si>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</si>
  <si>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</si>
  <si>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</si>
  <si>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</si>
  <si>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</si>
  <si>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</si>
  <si>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</si>
  <si>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</si>
  <si>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</si>
  <si>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</si>
  <si>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</si>
  <si>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</si>
  <si>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</si>
  <si>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</si>
  <si>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</si>
  <si>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</si>
  <si>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</si>
  <si>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</si>
  <si>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</si>
  <si>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</si>
  <si>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</si>
  <si>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</si>
  <si>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</si>
  <si>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</si>
  <si>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</si>
  <si>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</si>
  <si>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</si>
  <si>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</si>
  <si>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</si>
  <si>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</si>
  <si>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</si>
  <si>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</si>
  <si>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</si>
  <si>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</si>
  <si>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</si>
  <si>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</si>
  <si>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</si>
  <si>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</si>
  <si>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</si>
  <si>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</si>
  <si>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</si>
  <si>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</si>
  <si>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</si>
  <si>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</si>
  <si>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</si>
  <si>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</si>
  <si>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</si>
  <si>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</si>
  <si>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</si>
  <si>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</si>
  <si>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</si>
  <si>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</si>
  <si>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</si>
  <si>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</si>
  <si>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</si>
  <si>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</si>
  <si>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</si>
  <si>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</si>
  <si>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</si>
  <si>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</si>
  <si>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</si>
  <si>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</si>
  <si>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</si>
  <si>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</si>
  <si>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</si>
  <si>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</si>
  <si>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</si>
  <si>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</si>
  <si>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</si>
  <si>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</si>
  <si>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</si>
  <si>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</si>
  <si>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</si>
  <si>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</si>
  <si>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</si>
  <si>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</si>
  <si>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</si>
  <si>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</si>
  <si>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</si>
  <si>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</si>
  <si>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</si>
  <si>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</si>
  <si>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</si>
  <si>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</si>
  <si>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</si>
  <si>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</si>
  <si>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</si>
  <si>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</si>
  <si>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</si>
  <si>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</si>
  <si>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</si>
  <si>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</si>
  <si>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</si>
  <si>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</si>
  <si>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</si>
  <si>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</si>
  <si>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</si>
  <si>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</si>
  <si>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</si>
  <si>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</si>
  <si>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</si>
  <si>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</si>
  <si>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</si>
  <si>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</si>
  <si>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</si>
  <si>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</si>
  <si>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</si>
  <si>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</si>
  <si>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</si>
  <si>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</si>
  <si>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</si>
  <si>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</si>
  <si>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</si>
  <si>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</si>
  <si>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</si>
  <si>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</si>
  <si>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</si>
  <si>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</si>
  <si>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</si>
  <si>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</si>
  <si>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</si>
  <si>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</si>
  <si>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(D) Newbuild TAM by Hull Program — FY2026 ($K)</t>
  </si>
  <si>
    <t>Same funding as (B) broken down to individual hull programs.</t>
  </si>
  <si>
    <t>Hull Program</t>
  </si>
  <si>
    <t>SSN (Submarines)</t>
  </si>
  <si>
    <t>SSBN (Submarines)</t>
  </si>
  <si>
    <t>DDG (Surface Combatants)</t>
  </si>
  <si>
    <t>CVN (Aircraft Carriers)</t>
  </si>
  <si>
    <t>LSM (Expeditionary &amp; Seabasing Ships)</t>
  </si>
  <si>
    <t>T-AO (Combat Logistics Ships)</t>
  </si>
  <si>
    <t>MUSV (Unmanned Surface Vehicles)</t>
  </si>
  <si>
    <t>LPD (Amphibious Warfare Ships)</t>
  </si>
  <si>
    <t>T-AK / T-AKR (Cargo &amp; Vehicle Cargo Ships)</t>
  </si>
  <si>
    <t>LHA (Amphibious Warfare Ships)</t>
  </si>
  <si>
    <t>T-AGOS (Surveillance Ships)</t>
  </si>
  <si>
    <t>FFG (Surface Combatants)</t>
  </si>
  <si>
    <t>UUV (Unmanned Undersea Vehicles)</t>
  </si>
  <si>
    <t>T-ATS (Salvage Ships &amp; Fleet Ocean Tugs)</t>
  </si>
  <si>
    <t>WMSM (Offshore Patrol Cutter)</t>
  </si>
  <si>
    <t>WPC (Fast Response Cutters)</t>
  </si>
  <si>
    <t>WAGB (Icebreakers, Oceangoing)</t>
  </si>
  <si>
    <t>WCC (Waterways Commerce Cutters)</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</si>
  <si>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</si>
  <si>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</si>
  <si>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</si>
  <si>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</si>
  <si>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</si>
  <si>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</si>
  <si>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</si>
  <si>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</si>
  <si>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</si>
  <si>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</si>
  <si>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</si>
  <si>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</si>
  <si>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</si>
  <si>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</si>
  <si>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</si>
  <si>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</si>
  <si>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</si>
  <si>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</si>
  <si>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</si>
  <si>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</si>
  <si>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</si>
  <si>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</si>
  <si>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</si>
  <si>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</si>
  <si>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</si>
  <si>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</si>
  <si>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</si>
  <si>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</si>
  <si>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</si>
  <si>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</si>
  <si>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</si>
  <si>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</si>
  <si>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</si>
  <si>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</si>
  <si>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</si>
  <si>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</si>
  <si>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</si>
  <si>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</si>
  <si>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</si>
  <si>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</si>
  <si>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</si>
  <si>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</si>
  <si>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</si>
  <si>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</si>
  <si>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</si>
  <si>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</si>
  <si>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</si>
  <si>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</si>
  <si>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</si>
  <si>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</si>
  <si>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</si>
  <si>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</si>
  <si>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</si>
  <si>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</si>
  <si>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</si>
  <si>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</si>
  <si>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</si>
  <si>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</si>
  <si>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</si>
  <si>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</si>
  <si>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</si>
  <si>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</si>
  <si>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</si>
  <si>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</si>
  <si>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</si>
  <si>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</si>
  <si>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</si>
  <si>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(D) Newbuild TAM by Hull Program — FY2027 ($K)</t>
  </si>
  <si>
    <t>AS (Material Support Ships)</t>
  </si>
  <si>
    <t>T-AH (Hospital Ship)</t>
  </si>
  <si>
    <t>Newbuild SAM — FY2027 ($K)</t>
  </si>
  <si>
    <t>(D) Newbuild SAM by Hull Program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</si>
  <si>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</si>
  <si>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</si>
  <si>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</si>
  <si>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</si>
  <si>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</si>
  <si>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</si>
  <si>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</si>
  <si>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</si>
  <si>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</si>
  <si>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</si>
  <si>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</si>
  <si>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</si>
  <si>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</si>
  <si>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</si>
  <si>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</si>
  <si>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</si>
  <si>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</si>
  <si>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</si>
  <si>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</si>
  <si>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</si>
  <si>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</si>
  <si>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</si>
  <si>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</si>
  <si>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</si>
  <si>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</si>
  <si>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</si>
  <si>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</si>
  <si>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</si>
  <si>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</si>
  <si>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</si>
  <si>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</si>
  <si>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</si>
  <si>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</si>
  <si>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</si>
  <si>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</si>
  <si>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</si>
  <si>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</si>
  <si>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</si>
  <si>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</si>
  <si>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</si>
  <si>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</si>
  <si>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</si>
  <si>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</si>
  <si>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</si>
  <si>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</si>
  <si>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</si>
  <si>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</si>
  <si>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</si>
  <si>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</si>
  <si>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</si>
  <si>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</si>
  <si>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</si>
  <si>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</si>
  <si>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</si>
  <si>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</si>
  <si>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</si>
  <si>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</si>
  <si>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</si>
  <si>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</si>
  <si>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</si>
  <si>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</si>
  <si>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</si>
  <si>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</si>
  <si>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</si>
  <si>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</si>
  <si>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</si>
  <si>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</si>
  <si>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</si>
  <si>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</si>
  <si>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</si>
  <si>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</si>
  <si>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</si>
  <si>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</si>
  <si>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</si>
  <si>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</si>
  <si>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</si>
  <si>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</si>
  <si>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</si>
  <si>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</si>
  <si>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</si>
  <si>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</si>
  <si>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</si>
  <si>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</si>
  <si>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</si>
  <si>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</si>
  <si>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</si>
  <si>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</si>
  <si>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</si>
  <si>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</si>
  <si>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</si>
  <si>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</si>
  <si>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</si>
  <si>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</si>
  <si>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</si>
  <si>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</si>
  <si>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</si>
  <si>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</si>
  <si>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</si>
  <si>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</si>
  <si>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</si>
  <si>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</si>
  <si>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</si>
  <si>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</si>
  <si>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</si>
  <si>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</si>
  <si>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</si>
  <si>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</si>
  <si>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</si>
  <si>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</si>
  <si>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</si>
  <si>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</si>
  <si>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</si>
  <si>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</si>
  <si>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</si>
  <si>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</si>
  <si>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</si>
  <si>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</si>
  <si>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</si>
  <si>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</si>
  <si>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</si>
  <si>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</si>
  <si>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</si>
  <si>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</si>
  <si>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</si>
  <si>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</si>
  <si>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</si>
  <si>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</si>
  <si>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</si>
  <si>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</si>
  <si>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</si>
  <si>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</si>
  <si>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</si>
  <si>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</si>
  <si>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</si>
  <si>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</si>
  <si>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</si>
  <si>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</si>
  <si>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</si>
  <si>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</si>
  <si>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</si>
  <si>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</si>
  <si>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</si>
  <si>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</si>
  <si>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</si>
  <si>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</si>
  <si>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</si>
  <si>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</si>
  <si>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</si>
  <si>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</si>
  <si>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</si>
  <si>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</si>
  <si>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</si>
  <si>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</si>
  <si>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</si>
  <si>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</si>
  <si>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</si>
  <si>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</si>
  <si>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</si>
  <si>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</si>
  <si>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</si>
  <si>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</si>
  <si>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</si>
  <si>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</si>
  <si>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</si>
  <si>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</si>
  <si>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</si>
  <si>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</si>
  <si>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</si>
  <si>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</si>
  <si>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</si>
  <si>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</si>
  <si>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</si>
  <si>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</si>
  <si>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</si>
  <si>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</si>
  <si>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</si>
  <si>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</si>
  <si>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</si>
  <si>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</si>
  <si>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</si>
  <si>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</si>
  <si>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</si>
  <si>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</si>
  <si>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</si>
  <si>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</si>
  <si>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</si>
  <si>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</si>
  <si>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</si>
  <si>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</si>
  <si>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</si>
  <si>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</si>
  <si>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</si>
  <si>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</si>
  <si>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</si>
  <si>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</si>
  <si>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</si>
  <si>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</si>
  <si>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</si>
  <si>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</si>
  <si>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</si>
  <si>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</si>
  <si>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</si>
  <si>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</si>
  <si>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</si>
  <si>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</si>
  <si>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</si>
  <si>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</si>
  <si>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</si>
  <si>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</si>
  <si>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</si>
  <si>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</si>
  <si>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</si>
  <si>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</si>
  <si>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</si>
  <si>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</si>
  <si>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</si>
  <si>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</si>
  <si>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</si>
  <si>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</si>
  <si>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</si>
  <si>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</si>
  <si>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</si>
  <si>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</si>
  <si>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</si>
  <si>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</si>
  <si>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</si>
  <si>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</si>
  <si>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</si>
  <si>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</si>
  <si>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Description</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</si>
  <si>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</si>
  <si>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</si>
  <si>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</si>
  <si>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</si>
  <si>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</si>
  <si>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</si>
  <si>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</si>
  <si>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</si>
  <si>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</si>
  <si>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</si>
  <si>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</si>
  <si>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</si>
  <si>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</si>
  <si>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</si>
  <si>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</si>
  <si>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</si>
  <si>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</si>
  <si>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</si>
  <si>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</si>
  <si>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</si>
  <si>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</si>
  <si>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</si>
  <si>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</si>
  <si>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</si>
  <si>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</si>
  <si>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</si>
  <si>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</si>
  <si>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</si>
  <si>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</si>
  <si>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</si>
  <si>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</si>
  <si>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</si>
  <si>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</si>
  <si>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</si>
  <si>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</si>
  <si>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</si>
  <si>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</si>
  <si>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</si>
  <si>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</si>
  <si>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</si>
  <si>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</si>
  <si>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</si>
  <si>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</si>
  <si>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</si>
  <si>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</si>
  <si>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</si>
  <si>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</si>
  <si>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</si>
  <si>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</si>
  <si>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</si>
  <si>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</si>
  <si>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</si>
  <si>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</si>
  <si>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</si>
  <si>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</si>
  <si>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</si>
  <si>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</si>
  <si>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</si>
  <si>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</si>
  <si>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</si>
  <si>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</si>
  <si>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</si>
  <si>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</si>
  <si>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</si>
  <si>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</si>
  <si>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</si>
  <si>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</si>
  <si>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</si>
  <si>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</si>
  <si>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</si>
  <si>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</si>
  <si>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</si>
  <si>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</si>
  <si>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</si>
  <si>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</si>
  <si>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</si>
  <si>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</si>
  <si>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</si>
  <si>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</si>
  <si>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</si>
  <si>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</si>
  <si>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</si>
  <si>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</si>
  <si>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</si>
  <si>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</si>
  <si>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</si>
  <si>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</si>
  <si>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</si>
  <si>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</si>
  <si>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</si>
  <si>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</si>
  <si>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</si>
  <si>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</si>
  <si>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</si>
  <si>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</si>
  <si>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</si>
  <si>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</si>
  <si>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</si>
  <si>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</si>
  <si>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</si>
  <si>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</si>
  <si>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</si>
  <si>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</si>
  <si>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</si>
  <si>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</si>
  <si>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</si>
  <si>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</si>
  <si>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</si>
  <si>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</si>
  <si>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</si>
  <si>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</si>
  <si>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</si>
  <si>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</si>
  <si>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</si>
  <si>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</si>
  <si>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</si>
  <si>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</si>
  <si>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</si>
  <si>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</si>
  <si>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</si>
  <si>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</si>
  <si>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</si>
  <si>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</si>
  <si>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</si>
  <si>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</si>
  <si>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</si>
  <si>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</si>
  <si>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</si>
  <si>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</si>
  <si>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</si>
  <si>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</si>
  <si>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</si>
  <si>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</si>
  <si>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</si>
  <si>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</si>
  <si>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</si>
  <si>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</si>
  <si>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</si>
  <si>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</si>
  <si>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</si>
  <si>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</si>
  <si>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</si>
  <si>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</si>
  <si>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</si>
  <si>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</si>
  <si>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</si>
  <si>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</si>
  <si>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</si>
  <si>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</si>
  <si>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</si>
  <si>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</si>
  <si>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</si>
  <si>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</si>
  <si>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</si>
  <si>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</si>
  <si>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</si>
  <si>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</si>
  <si>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</si>
  <si>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</si>
  <si>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</si>
  <si>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</si>
  <si>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</si>
  <si>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</si>
  <si>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</si>
  <si>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</si>
  <si>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</si>
  <si>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</si>
  <si>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</si>
  <si>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</si>
  <si>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</si>
  <si>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</si>
  <si>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</si>
  <si>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</si>
  <si>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</si>
  <si>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</si>
  <si>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</si>
  <si>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</si>
  <si>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</si>
  <si>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</si>
  <si>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</si>
  <si>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</si>
  <si>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</si>
  <si>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</si>
  <si>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</si>
  <si>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</si>
  <si>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</si>
  <si>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</si>
  <si>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</si>
  <si>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</si>
  <si>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</si>
  <si>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</si>
  <si>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</si>
  <si>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</si>
  <si>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</si>
  <si>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</si>
  <si>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</si>
  <si>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</si>
  <si>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</si>
  <si>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</si>
  <si>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</si>
  <si>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</si>
  <si>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</si>
  <si>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</si>
  <si>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</si>
  <si>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</si>
  <si>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</si>
  <si>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</si>
  <si>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</si>
  <si>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</si>
  <si>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</si>
  <si>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</si>
  <si>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</si>
  <si>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</si>
  <si>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</si>
  <si>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</si>
  <si>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</si>
  <si>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</si>
  <si>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</si>
  <si>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</si>
  <si>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</si>
  <si>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</si>
  <si>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</si>
  <si>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</si>
  <si>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</si>
  <si>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</si>
  <si>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</si>
  <si>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</si>
  <si>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</si>
  <si>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</si>
  <si>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</si>
  <si>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</si>
  <si>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</si>
  <si>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</si>
  <si>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</si>
  <si>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</si>
  <si>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</si>
  <si>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</si>
  <si>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</si>
  <si>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</si>
  <si>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</si>
  <si>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</si>
  <si>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</si>
  <si>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</si>
  <si>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</si>
  <si>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</si>
  <si>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</si>
  <si>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</si>
  <si>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</si>
  <si>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</si>
  <si>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</si>
  <si>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</si>
  <si>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</si>
  <si>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</si>
  <si>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</si>
  <si>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</si>
  <si>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</si>
  <si>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</si>
  <si>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</si>
  <si>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</si>
  <si>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</si>
  <si>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</si>
  <si>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</si>
  <si>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</si>
  <si>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</si>
  <si>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</si>
  <si>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</si>
  <si>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</si>
  <si>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</si>
  <si>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</si>
  <si>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</si>
  <si>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</si>
  <si>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</si>
  <si>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</si>
  <si>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</si>
  <si>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</si>
  <si>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</si>
  <si>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</si>
  <si>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</si>
  <si>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</si>
  <si>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</si>
  <si>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</si>
  <si>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</si>
  <si>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</si>
  <si>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</si>
  <si>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</si>
  <si>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</si>
  <si>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</si>
  <si>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</si>
  <si>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</si>
  <si>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</si>
  <si>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</si>
  <si>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</si>
  <si>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</si>
  <si>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</si>
  <si>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</si>
  <si>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</si>
  <si>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</si>
  <si>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</si>
  <si>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</si>
  <si>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</si>
  <si>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</si>
  <si>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</si>
  <si>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</si>
  <si>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</si>
  <si>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</si>
  <si>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</si>
  <si>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</si>
  <si>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</si>
  <si>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</si>
  <si>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</si>
  <si>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</si>
  <si>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</si>
  <si>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</si>
  <si>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</si>
  <si>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</si>
  <si>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</si>
  <si>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</si>
  <si>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</si>
  <si>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</si>
  <si>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</si>
  <si>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</si>
  <si>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</si>
  <si>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</si>
  <si>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</si>
  <si>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</si>
  <si>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</si>
  <si>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</si>
  <si>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</si>
  <si>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</si>
  <si>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</si>
  <si>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</si>
  <si>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</si>
  <si>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</si>
  <si>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</si>
  <si>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</si>
  <si>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</si>
  <si>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</si>
  <si>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</si>
  <si>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</si>
  <si>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</si>
  <si>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</si>
  <si>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</si>
  <si>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</si>
  <si>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</si>
  <si>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</si>
  <si>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</si>
  <si>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</si>
  <si>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</si>
  <si>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</si>
  <si>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</si>
  <si>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</si>
  <si>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</si>
  <si>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</si>
  <si>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</si>
  <si>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</si>
  <si>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</si>
  <si>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</si>
  <si>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</si>
  <si>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</si>
  <si>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</si>
  <si>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</si>
  <si>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</si>
  <si>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</si>
  <si>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</si>
  <si>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</si>
  <si>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</si>
  <si>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</si>
  <si>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</si>
  <si>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</si>
  <si>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</si>
  <si>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</si>
  <si>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</si>
  <si>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</si>
  <si>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</si>
  <si>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</si>
  <si>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</si>
  <si>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</si>
  <si>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</si>
  <si>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</si>
  <si>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</si>
  <si>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</si>
  <si>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</si>
  <si>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</si>
  <si>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</si>
  <si>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</si>
  <si>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</si>
  <si>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</si>
  <si>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</si>
  <si>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</si>
  <si>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</si>
  <si>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</si>
  <si>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</si>
  <si>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</si>
  <si>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</si>
  <si>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</si>
  <si>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</si>
  <si>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</si>
  <si>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</si>
  <si>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</si>
  <si>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</si>
  <si>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</si>
  <si>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</si>
  <si>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</si>
  <si>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</si>
  <si>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</si>
  <si>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</si>
  <si>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</si>
  <si>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</si>
  <si>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</si>
  <si>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</si>
  <si>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</si>
  <si>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</si>
  <si>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</si>
  <si>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</si>
  <si>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</si>
  <si>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</si>
  <si>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</si>
  <si>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</si>
  <si>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</si>
  <si>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</si>
  <si>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</si>
  <si>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</si>
  <si>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</si>
  <si>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</si>
  <si>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</si>
  <si>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</si>
  <si>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</si>
  <si>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</si>
  <si>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</si>
  <si>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</si>
  <si>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</si>
  <si>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</si>
  <si>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</si>
  <si>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</si>
  <si>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</si>
  <si>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</si>
  <si>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</si>
  <si>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</si>
  <si>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</si>
  <si>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</si>
  <si>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</si>
  <si>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</si>
  <si>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</si>
  <si>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</si>
  <si>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</si>
  <si>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</si>
  <si>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</si>
  <si>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</si>
  <si>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</si>
  <si>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</si>
  <si>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</si>
  <si>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</si>
  <si>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</si>
  <si>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</si>
  <si>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</si>
  <si>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</si>
  <si>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</si>
  <si>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</si>
  <si>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</si>
  <si>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</si>
  <si>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</si>
  <si>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</si>
  <si>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</si>
  <si>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</si>
  <si>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</si>
  <si>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</si>
  <si>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</si>
  <si>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</si>
  <si>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</si>
  <si>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</si>
  <si>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</si>
  <si>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</si>
  <si>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</si>
  <si>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</si>
  <si>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</si>
  <si>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</si>
  <si>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</si>
  <si>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</si>
  <si>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</si>
  <si>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</si>
  <si>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</si>
  <si>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</si>
  <si>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</si>
  <si>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</si>
  <si>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</si>
  <si>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</si>
  <si>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</si>
  <si>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</si>
  <si>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</si>
  <si>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</si>
  <si>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</si>
  <si>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</si>
  <si>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</si>
  <si>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</si>
  <si>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</si>
  <si>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</si>
  <si>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X)</t>
  </si>
  <si>
    <t>Derived column inserted by the build script between Parent Item and Vessel Service. Populated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</si>
  <si>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</si>
  <si>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Y)</t>
  </si>
  <si>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</si>
  <si>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</si>
  <si>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NEWBUILD SAM COST CATEGORY BREAKDOWN (v4.0 — Sections D &amp; E)</t>
  </si>
  <si>
    <t>Section</t>
  </si>
  <si>
    <t>(D) P-5c Gross Cost Category Breakdown</t>
  </si>
  <si>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</si>
  <si>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</si>
  <si>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</si>
  <si>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</si>
  <si>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</si>
  <si>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</si>
  <si>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</si>
  <si>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</si>
  <si>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</si>
  <si>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</si>
  <si>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</si>
  <si>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</si>
  <si>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AJ)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</si>
  <si>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</si>
  <si>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</si>
  <si>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</si>
  <si>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</si>
  <si>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</si>
  <si>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</si>
  <si>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</si>
  <si>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</si>
  <si>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</si>
  <si>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AJ)</t>
  </si>
  <si>
    <t>Cost Element — existing column containing system names for P-8a rows (e.g., "AN/SPY-6(V)1 (AMDR)"). Shifted +2 cols due to inserted derived columns.</t>
  </si>
  <si>
    <t>Range: $AJ$5:$AJ$3381. Populated for ~385 of 415 P-8a rows.</t>
  </si>
  <si>
    <t>JB_EX (col X)</t>
  </si>
  <si>
    <t>Exhibit Level — derived column inserted between Parent Item and Vessel Service. Values: "P-5c", "P-8a", "P-35", or blank.</t>
  </si>
  <si>
    <t>Range: $X$5:$X$3381. Used in SUMIFS to filter by exhibit type.</t>
  </si>
  <si>
    <t>JB_CC (col Y)</t>
  </si>
  <si>
    <t>Cost Category — derived column inserted between Parent Item and Vessel Service. Values: P-5c cost category name or blank.</t>
  </si>
  <si>
    <t>Range: $Y$5:$Y$3381. Used in SUMIFS to filter by cost category.</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</si>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</sst>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22"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rgb="FF000000"/>
      <name val="Arial"/>
      <family val="2"/>
      <charset val="1"/>
    </font>
    <font>
      <sz val="8"/>
      <color theme="1"/>
      <name val="Arial"/>
      <family val="2"/>
    </font>
    <font>
      <b/>
      <sz val="8"/>
      <name val="Arial"/>
      <family val="2"/>
    </font>
    <font>
      <sz val="8"/>
      <name val="Arial"/>
      <family val="2"/>
    </font>
  </fonts>
  <fills count="10">
    <fill>
      <patternFill patternType="none"/>
    </fill>
    <fill>
      <patternFill patternType="gray125"/>
    </fill>
    <fill>
      <patternFill patternType="solid"/>
    </fill>
    <fill>
      <patternFill patternType="solid">
        <fgColor rgb="FFF2F4F7"/>
        <bgColor rgb="FFF2F4F7"/>
      </patternFill>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0"/>
  </cellStyleXfs>
  <cellXfs count="52">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4" borderId="0" xfId="0" applyFont="1" applyFill="1" applyAlignment="1">
      <alignment vertical="center"/>
    </xf>
    <xf numFmtId="0" fontId="0" fillId="4" borderId="0" xfId="0" applyFill="1" applyAlignment="1">
      <alignment vertical="center"/>
    </xf>
    <xf numFmtId="0" fontId="5" fillId="4"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5" xfId="0" applyFont="1" applyBorder="1" applyAlignment="1">
      <alignment vertical="center"/>
    </xf>
    <xf numFmtId="164" fontId="7" fillId="0" borderId="5" xfId="0" applyNumberFormat="1" applyFont="1" applyBorder="1" applyAlignment="1">
      <alignment vertical="center"/>
    </xf>
    <xf numFmtId="0" fontId="0" fillId="0" borderId="6" xfId="0" applyBorder="1"/>
    <xf numFmtId="0" fontId="10" fillId="5" borderId="0" xfId="0" applyFont="1" applyFill="1" applyAlignment="1">
      <alignment vertical="center"/>
    </xf>
    <xf numFmtId="164" fontId="10" fillId="5" borderId="0" xfId="0" applyNumberFormat="1" applyFont="1" applyFill="1" applyAlignment="1">
      <alignment vertical="center"/>
    </xf>
    <xf numFmtId="165" fontId="12" fillId="0" borderId="0" xfId="0" applyNumberFormat="1" applyFont="1" applyAlignment="1">
      <alignment vertical="center"/>
    </xf>
    <xf numFmtId="165" fontId="11" fillId="0" borderId="5" xfId="0" applyNumberFormat="1" applyFont="1" applyBorder="1" applyAlignment="1">
      <alignment vertical="center"/>
    </xf>
    <xf numFmtId="0" fontId="0" fillId="6" borderId="0" xfId="0" applyFill="1" applyAlignment="1">
      <alignment vertical="center"/>
    </xf>
    <xf numFmtId="0" fontId="7" fillId="6" borderId="2" xfId="0" applyFont="1" applyFill="1" applyBorder="1" applyAlignment="1">
      <alignment vertical="center"/>
    </xf>
    <xf numFmtId="0" fontId="0" fillId="6" borderId="2" xfId="0" applyFill="1" applyBorder="1" applyAlignment="1">
      <alignment vertical="center"/>
    </xf>
    <xf numFmtId="0" fontId="7" fillId="0" borderId="7" xfId="0" applyFont="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7" fillId="6" borderId="0" xfId="0" applyFont="1" applyFill="1" applyAlignment="1">
      <alignment vertical="center"/>
    </xf>
    <xf numFmtId="165" fontId="11" fillId="0" borderId="8" xfId="0" applyNumberFormat="1" applyFont="1" applyBorder="1" applyAlignment="1">
      <alignment vertical="center"/>
    </xf>
    <xf numFmtId="164" fontId="10" fillId="5" borderId="2" xfId="0" applyNumberFormat="1" applyFont="1" applyFill="1" applyBorder="1" applyAlignment="1">
      <alignment vertical="center"/>
    </xf>
    <xf numFmtId="164" fontId="13" fillId="0" borderId="0" xfId="0" applyNumberFormat="1" applyFont="1" applyAlignment="1">
      <alignment vertical="center"/>
    </xf>
    <xf numFmtId="0" fontId="14" fillId="7" borderId="0" xfId="0" applyFont="1" applyFill="1" applyAlignment="1">
      <alignment horizontal="left" vertical="center"/>
    </xf>
    <xf numFmtId="0" fontId="15" fillId="8" borderId="0" xfId="0" applyFont="1" applyFill="1" applyAlignment="1">
      <alignment horizontal="left" vertical="center"/>
    </xf>
    <xf numFmtId="0" fontId="16" fillId="8" borderId="0" xfId="0" applyFont="1" applyFill="1" applyAlignment="1">
      <alignment horizontal="left" vertical="center"/>
    </xf>
    <xf numFmtId="0" fontId="17" fillId="8" borderId="0" xfId="0" applyFont="1" applyFill="1"/>
    <xf numFmtId="0" fontId="18" fillId="0" borderId="1" xfId="0" applyFont="1" applyBorder="1" applyAlignment="1">
      <alignment horizontal="left" vertical="center"/>
    </xf>
    <xf numFmtId="0" fontId="18" fillId="9" borderId="0" xfId="0" applyFont="1" applyFill="1" applyAlignment="1">
      <alignment horizontal="left" vertical="center"/>
    </xf>
    <xf numFmtId="0" fontId="17" fillId="9" borderId="0" xfId="0" applyFont="1" applyFill="1" applyAlignment="1">
      <alignment horizontal="left" vertical="center"/>
    </xf>
    <xf numFmtId="0" fontId="17" fillId="8" borderId="0" xfId="0" applyFont="1" applyFill="1" applyAlignment="1">
      <alignment horizontal="left" vertical="center"/>
    </xf>
    <xf numFmtId="0" fontId="19" fillId="0" borderId="0" xfId="0" applyFont="1"/>
    <xf numFmtId="0" fontId="19" fillId="0" borderId="0" xfId="0" applyFont="1" applyAlignment="1">
      <alignment vertical="top" wrapText="1"/>
    </xf>
    <xf numFmtId="0" fontId="20" fillId="3" borderId="0" xfId="0" applyFont="1" applyFill="1"/>
    <xf numFmtId="0" fontId="21" fillId="0" borderId="0" xfId="0" applyFont="1"/>
    <xf numFmtId="0" fontId="2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abSelected="1" topLeftCell="H1" workbookViewId="0">
      <selection activeCell="M45" sqref="M45"/>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6"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5"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6"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6"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6"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6"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6"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6"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6"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6"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6"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6"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6"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6"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6"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6"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6"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6"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6"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6"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6"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6"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6"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6"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6"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6"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6"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6"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6"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6"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6"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6"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6"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6"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6"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6"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6"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6"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6"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6"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6"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6"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6"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6"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6"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6"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6"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6"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6"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6"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6"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6"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6"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6"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6"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6"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6"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6"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6"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6"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6"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6"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6"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6"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6"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6"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6"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6"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6"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6"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6"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6"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6"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6"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6"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6"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6"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6"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6"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6"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6"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6"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6"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6"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6"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6"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6"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6"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6"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6"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6"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6"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6"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6"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6"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6"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6"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6"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6"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6"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6"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6"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6"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6"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6"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6"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6"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6"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6"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6"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6"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6"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6"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6"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6"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6"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6"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6"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6"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6"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6"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6"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6"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6"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6"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6"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6"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6"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6"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6"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6"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6"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6"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6"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6"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6"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6"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6"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6"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6"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6"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6"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6"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6"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6"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6"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6"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6"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6"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6"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6"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6"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6"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6"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6"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6"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6"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6"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6"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6"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6"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6"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6"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6"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6"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6"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6"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6"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6"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6"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6"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6"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6"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6"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6"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6"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6"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6"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6"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6"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6"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6"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6"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6"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6"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6"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6"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6"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6"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6"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6"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6"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6"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6"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6"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6"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6"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6"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6"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6"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6"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6"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6"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6"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6"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6"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6"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6"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6"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6"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6"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6"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6"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6"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6"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6"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6"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6"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6"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6"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6"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6"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6"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6"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6"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6"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6"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6"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6"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6"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6"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6"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6"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6"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6"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6"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6"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6"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6"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6"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6"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6"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6"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6"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6"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6"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6"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6"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6"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6"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6"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6"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6"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6"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6"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6"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6"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6"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6"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6"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6"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6"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6"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6"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6"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6"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6"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6"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6"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6"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6"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6"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6"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6"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6"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6"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6"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6"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6"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6"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6"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6"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6"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6"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6"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6"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6"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6"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6"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6"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6"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6"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6"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6"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6"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6"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6"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6"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6"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6"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6"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6"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6"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6"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6"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6"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6"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6"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6"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6"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6"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6"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6"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6"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6"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6"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6"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6"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6"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6"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6"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6"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6"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6"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6"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6"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6"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6"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6"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6"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6"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6"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6"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6"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6"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6"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6"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6"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6"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6"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6"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6"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6"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6"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6"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6"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6"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6"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6"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6"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6"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6"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6"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6"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6"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6"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6"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6"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6"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6"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6"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6"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6"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6"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6"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6"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6"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6"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6"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6"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6"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6"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6"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6"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6"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6"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6"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6"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6"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6"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6"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6"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6"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6"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6"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6"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6"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6"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6"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6"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6"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6"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6"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6"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6"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6"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6"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6"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6"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6"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6"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6"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6"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6"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6"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6"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6"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6"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6"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6"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6"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6"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6"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6"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6"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6"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6"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6"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6"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6"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6"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6"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6"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6"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6"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6"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6"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6"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6"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6"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6"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6"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6"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6"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6"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6"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6"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6"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6"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6"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6"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6"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6"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6"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6"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6"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6"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6"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6"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6"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6"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6"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6"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6"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6"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6"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6"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6"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6"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6"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6"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6"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6"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6"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6"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6"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6"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6"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6"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6"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6"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6"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6"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6"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6"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6"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6"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6"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6"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6"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6"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6"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6"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6"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6"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6"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6"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6"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6"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6"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6"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6"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6"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6"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6"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6"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6"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6"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6"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6"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6"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6"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6"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6"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6"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6"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6"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6"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6"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6"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6"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6"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6"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6"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6"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6"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6"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6"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6"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6"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6"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6"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6"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6"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6"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6"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6"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6"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6"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6"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6"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6"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6"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6"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6"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6"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6"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6"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6"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6"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6"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6"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6"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6"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6"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6"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6"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6"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6"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6"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6"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6"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6"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6"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6"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6"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6"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6"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6"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6"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6"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6"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6"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6"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6"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6"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6"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6"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6"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6"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6"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6"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6"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6"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6"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6"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6"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6"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6"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6"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6"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6"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6"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6"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6"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6"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6"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6"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6"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6"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6"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6"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6"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6"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6"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6"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6"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6"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6"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6"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6"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6"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6"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6"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6"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6"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6"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6"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6"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6"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6"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6"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6"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6"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6"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6"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6"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6"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6"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6"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6"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6"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6"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6"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6"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6"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6"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6"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6"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6"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6"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6"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6"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6"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6"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6"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6"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6"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6"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6"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6"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6"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6"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6"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6"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6"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6"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6"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6"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6"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6"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6"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6"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6"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6"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6"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6"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6"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6"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6"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6"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6"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6"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6"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6"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6"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6"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6"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6"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6"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6"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6"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6"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6"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6"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6"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6"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6"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6"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6"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6"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6"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6"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6"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6"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6"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6"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6"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6"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6"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6"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6"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6"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6"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6"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6"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6"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6"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6"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6"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6"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6"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6"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6"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6"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6"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6"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6"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6"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6"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6"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6"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6"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6"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6"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6"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6"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6"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6"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6"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6"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6"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6"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6"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6"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6"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6"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6"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6"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6"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6"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6"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6"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6"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6"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6"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6"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6"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6"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6"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6"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6"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6"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6"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6"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6"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6"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6"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6"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6"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6"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6"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6"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6"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6"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6"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6"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6"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6"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6"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6"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6"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6"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6"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6"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6"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6"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6"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6"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6"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6"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6"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6"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6"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6"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6"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6"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6"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6"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6"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6"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6"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6"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6"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6"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6"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6"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6"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6"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6"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6"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6"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6"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6"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6"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6"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6"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6"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6"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6"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6"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6"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6"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6"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6"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6"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6"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6"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6"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6"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6"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6"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6"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6"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6"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6"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6"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6"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6"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6"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6"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6"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6"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6"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6"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6"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6"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6"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6"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6"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6"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6"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6"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6"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6"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6"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6"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6"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6"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6"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6"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6"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6"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6"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6"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6"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6"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6"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6"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6"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6"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6"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6"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6"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6"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6"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6"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6"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6"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6"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6"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6"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6"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6"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6"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6"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6"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6"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6"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6"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6"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6"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6"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6"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6"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6"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6"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6"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6"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6"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6"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6"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6"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6"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6"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6"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6"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6"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6"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6"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6"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6"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6"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6"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6"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6"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6"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6"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6"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6"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6"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6"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6"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6"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6"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6"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6"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6"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6"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6"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6"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6"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6"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6"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6"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6"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6"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6"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6"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6"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6"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6"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6"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6"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6"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6"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6"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6"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6"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6"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6"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6"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6"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6"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6"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6"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6"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6"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6"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6"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6"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6"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6"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6"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6"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6"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6"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6"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6"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6"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6"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6"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6"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6"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6"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6"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6"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6"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6"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6"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6"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6"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6"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6"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6"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6"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6"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6"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6"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6"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6"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6"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6"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6"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6"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6"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6"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6"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6"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6"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6"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6"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6"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6"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6"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6"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6"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6"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6"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6"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6"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6"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6"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6"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6"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6"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6"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6"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6"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6"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6"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6"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6"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6"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6"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6"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6"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6"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6"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6"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6"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6"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6"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6"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6"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6"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6"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6"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6"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6"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6"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6"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6"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6"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6"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6"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6"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6"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6"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6"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6"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6"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6"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6"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6"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6"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6"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6"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6"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6"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6"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6"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6"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6"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6"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6"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6"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6"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6"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6"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6"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6"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6"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6"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6"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6"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6"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6"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6"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6"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6"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6"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6"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6"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6"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6"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6"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6"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6"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6"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6"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6"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6"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6"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6"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6"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6"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6"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6"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6"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6"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6"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6"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6"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6"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6"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6"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6"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6"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6"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6"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6"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6"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6"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6"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6"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6"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6"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6"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6"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6"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6"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6"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6"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6"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6"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6"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6"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6"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6"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6"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6"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6"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6"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6"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6"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6"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6"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6"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6"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6"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6"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6"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6"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6"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6"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6"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6"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6"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6"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6"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6"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6"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6"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6"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6"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6"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6"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6"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6"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6"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6"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6"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6"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6"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6"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6"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6"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6"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6"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6"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6"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6"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6"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6"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6"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6"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6"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6"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6"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6"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6"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6"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6"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6"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6"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6"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6"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6"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6"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6"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6"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6"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6"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6"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6"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6"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6"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6"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6"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6"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6"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6"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6"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6"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6"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6"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6"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6"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6"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6"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6"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6"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6"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6"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6"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6"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6"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6"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6"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6"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6"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6"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6"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6"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6"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6"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6"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6"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6"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6"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6"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6"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6"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6"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6"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6"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6"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6"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6"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6"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6"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6"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6"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6"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6"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6"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6"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6"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6"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6"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6"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6"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6"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6"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6"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6"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6"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6"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6"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6"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6"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6"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6"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6"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6"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6"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6"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6"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6"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6"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6"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6"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6"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6"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6"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6"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6"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6"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6"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6"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6"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6"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6"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6"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6"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6"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6"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6"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6"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6"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6"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6"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6"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6"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6"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6"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6"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6"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6"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6"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6"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6"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6"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6"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6"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6"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6"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6"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6"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6"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6"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6"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6"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6"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6"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6"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6"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6"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6"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6"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6"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6"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6"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6"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6"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6"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6"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6"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6"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6"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6"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6"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6"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6"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6"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6"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6"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6"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6"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6"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6"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6"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6"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6"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6"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6"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6"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6"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6"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6"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6"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6"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6"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6"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6"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6"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6"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6"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6"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6"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6"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6"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6"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6"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6"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6"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6"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6"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6"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6"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6"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6"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6"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6"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6"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6"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6"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6"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6"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6"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6"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6"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6"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6"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6"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6"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6"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6"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6"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6"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6"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6"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6"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6"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6"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6"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6"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6"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6"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6"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6"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6"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6"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6"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6"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6"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6"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6"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6"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6"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6"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6"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6"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6"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6"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6"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6"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6"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6"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6"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6"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6"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6"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6"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6"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6"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6"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6"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6"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6"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6"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6"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6"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6"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6"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6"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6"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6"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6"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6"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6"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6"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6"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6"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6"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6"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6"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6"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6"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6"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6"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6"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6"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6"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6"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6"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6"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6"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6"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6"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6"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6"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6"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6"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6"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6"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6"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6"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6"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6"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6"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6"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6"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6"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6"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6"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6"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6"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6"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6"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6"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6"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6"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6"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6"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6"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6"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6"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6"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6"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6"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6"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6"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6"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6"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6"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6"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6"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6"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6"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6"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6"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6"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6"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6"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6"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6"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6"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6"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6"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6"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6"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6"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6"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6"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6"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6"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6"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6"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6"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6"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6"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6"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6"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6"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6"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6"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6"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6"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6"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6"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6"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6"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6"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6"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6"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6"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6"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6"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6"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6"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6"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6"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6"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6"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6"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6"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6"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6"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6"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6"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6"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6"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6"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6"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6"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6"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6"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6"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6"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6"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6"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6"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6"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6"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6"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6"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6"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6"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6"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6"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6"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6"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6"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6"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6"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6"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6"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6"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6"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6"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6"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6"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6"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6"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6"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6"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6"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6"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6"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6"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6"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6"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6"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6"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6"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6"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6"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6"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6"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6"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6"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6"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6"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6"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6"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6"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6"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6"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6"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6"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6"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6"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6"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6"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6"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6"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6"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6"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6"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6"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6"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6"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6"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6"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6"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6"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6"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6"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6"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6"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6"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6"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6"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6"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6"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6"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6"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6"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6"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6"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6"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6"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6"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6"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6"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6"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6"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6"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6"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6"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6"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6"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6"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6"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6"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6"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6"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6"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6"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6"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6"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6"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6"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6"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6"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6"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6"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6"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6"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6"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6"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6"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6"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6"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6"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6"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6"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6"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6"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6"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6"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6"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6"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6"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6"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6"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6"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6"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6"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6"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6"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6"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6"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6"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6"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6"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6"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6"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6"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6"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6"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6"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6"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6"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6"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6"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6"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6"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6"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6"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6"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6"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6"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6"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6"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6"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6"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6"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6"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6"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6"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6"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6"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6"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6"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6"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6"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6"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6"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6"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6"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6"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6"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6"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6"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6"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6"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6"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6"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6"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6"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6"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6"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6"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6"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6"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6"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6"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6"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6"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6"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6"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6"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6"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6"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6"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6"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6"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6"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6"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6"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6"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6"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6"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6"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6"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6"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6"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6"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6"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6"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6"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6"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6"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6"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6"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6"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6"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6"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6"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6"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6"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6"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6"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6"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6"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6"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6"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6"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6"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6"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6"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6"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6"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6"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6"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6"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6"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6"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6"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6"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6"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6"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6"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6"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6"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6"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6"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6"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6"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6"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6"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6"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6"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6"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6"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6"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6"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6"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6"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6"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6"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6"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6"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6"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6"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6"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6"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6"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6"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6"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6"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6"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6"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6"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6"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6"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6"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6"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6"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6"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6"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6"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6"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6"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6"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6"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6"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6"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6"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6"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6"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6"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6"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6"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6"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6"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6"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6"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6"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6"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6"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6"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6"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6"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6"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6"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6"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6"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6"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6"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6"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6"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6"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6"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6"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6"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6"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6"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6"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6"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6"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6"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6"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6"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6"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6"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6"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6"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6"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6"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6"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6"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6"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6"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6"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6"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6"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6"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6"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6"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6"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6"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6"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6"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6"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6"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6"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6"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6"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6"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6"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6"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6"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6"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6"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6"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6"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6"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6"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6"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6"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6"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6"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6"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6"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6"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6"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6"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6"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6"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6"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6"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6"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6"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6"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6"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6"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6"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6"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6"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6"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6"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6"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6"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6"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4696</v>
      </c>
      <c r="O1932" s="12"/>
      <c r="P1932" s="13">
        <v>40</v>
      </c>
      <c r="AC1932" s="16" t="str">
        <f t="shared" si="90"/>
        <v>ADD</v>
      </c>
      <c r="AD1932" s="17">
        <f t="shared" si="91"/>
        <v>0</v>
      </c>
      <c r="AE1932" s="17">
        <f t="shared" si="92"/>
        <v>0</v>
      </c>
      <c r="AF1932" s="10" t="s">
        <v>4697</v>
      </c>
      <c r="AG1932" s="5" t="s">
        <v>4698</v>
      </c>
      <c r="AH1932" s="5" t="s">
        <v>4699</v>
      </c>
    </row>
    <row r="1933" spans="1:36" ht="10" customHeight="1" x14ac:dyDescent="0.2">
      <c r="A1933" s="5" t="s">
        <v>4317</v>
      </c>
      <c r="B1933" s="5" t="s">
        <v>4318</v>
      </c>
      <c r="D1933" s="5" t="s">
        <v>4700</v>
      </c>
      <c r="E1933" s="12"/>
      <c r="I1933" s="11">
        <v>1</v>
      </c>
      <c r="J1933" s="5" t="s">
        <v>49</v>
      </c>
      <c r="K1933" s="10" t="s">
        <v>190</v>
      </c>
      <c r="L1933" s="5" t="s">
        <v>51</v>
      </c>
      <c r="M1933" s="5" t="s">
        <v>182</v>
      </c>
      <c r="N1933" s="5" t="s">
        <v>4701</v>
      </c>
      <c r="O1933" s="12"/>
      <c r="P1933" s="13">
        <v>31</v>
      </c>
      <c r="AC1933" s="16" t="str">
        <f t="shared" si="90"/>
        <v>ADD</v>
      </c>
      <c r="AD1933" s="17">
        <f t="shared" si="91"/>
        <v>0</v>
      </c>
      <c r="AE1933" s="17">
        <f t="shared" si="92"/>
        <v>0</v>
      </c>
      <c r="AF1933" s="10" t="s">
        <v>4702</v>
      </c>
      <c r="AG1933" s="5" t="s">
        <v>4698</v>
      </c>
      <c r="AH1933" s="5" t="s">
        <v>4699</v>
      </c>
    </row>
    <row r="1934" spans="1:36" ht="10" customHeight="1" x14ac:dyDescent="0.2">
      <c r="A1934" s="5" t="s">
        <v>4317</v>
      </c>
      <c r="B1934" s="5" t="s">
        <v>4318</v>
      </c>
      <c r="D1934" s="5" t="s">
        <v>4703</v>
      </c>
      <c r="E1934" s="12"/>
      <c r="I1934" s="11">
        <v>2</v>
      </c>
      <c r="K1934" s="10" t="s">
        <v>190</v>
      </c>
      <c r="L1934" s="5" t="s">
        <v>232</v>
      </c>
      <c r="M1934" s="5" t="s">
        <v>245</v>
      </c>
      <c r="N1934" s="5" t="s">
        <v>4696</v>
      </c>
      <c r="O1934" s="12"/>
      <c r="P1934" s="13">
        <v>28264</v>
      </c>
      <c r="AC1934" s="16" t="str">
        <f t="shared" si="90"/>
        <v>ADD</v>
      </c>
      <c r="AD1934" s="17">
        <f t="shared" si="91"/>
        <v>0</v>
      </c>
      <c r="AE1934" s="17">
        <f t="shared" si="92"/>
        <v>0</v>
      </c>
      <c r="AF1934" s="10" t="s">
        <v>4704</v>
      </c>
      <c r="AG1934" s="5" t="s">
        <v>4698</v>
      </c>
      <c r="AH1934" s="5" t="s">
        <v>4699</v>
      </c>
    </row>
    <row r="1935" spans="1:36" ht="10" customHeight="1" x14ac:dyDescent="0.2">
      <c r="A1935" s="5" t="s">
        <v>4317</v>
      </c>
      <c r="B1935" s="5" t="s">
        <v>4318</v>
      </c>
      <c r="D1935" s="5" t="s">
        <v>4705</v>
      </c>
      <c r="E1935" s="12"/>
      <c r="I1935" s="11">
        <v>4</v>
      </c>
      <c r="K1935" s="12"/>
      <c r="O1935" s="12"/>
      <c r="P1935" s="13">
        <v>6939</v>
      </c>
      <c r="AC1935" s="16" t="str">
        <f t="shared" si="90"/>
        <v>ADD</v>
      </c>
      <c r="AD1935" s="17">
        <f t="shared" si="91"/>
        <v>0</v>
      </c>
      <c r="AE1935" s="17">
        <f t="shared" si="92"/>
        <v>0</v>
      </c>
      <c r="AF1935" s="10" t="s">
        <v>4706</v>
      </c>
      <c r="AG1935" s="5" t="s">
        <v>4698</v>
      </c>
      <c r="AH1935" s="5" t="s">
        <v>4699</v>
      </c>
    </row>
    <row r="1936" spans="1:36" ht="10" customHeight="1" x14ac:dyDescent="0.2">
      <c r="A1936" s="5" t="s">
        <v>4317</v>
      </c>
      <c r="B1936" s="5" t="s">
        <v>4318</v>
      </c>
      <c r="D1936" s="5" t="s">
        <v>4707</v>
      </c>
      <c r="E1936" s="12"/>
      <c r="I1936" s="11">
        <v>6</v>
      </c>
      <c r="K1936" s="12"/>
      <c r="O1936" s="12"/>
      <c r="P1936" s="13">
        <v>310</v>
      </c>
      <c r="AC1936" s="16" t="str">
        <f t="shared" si="90"/>
        <v>ADD</v>
      </c>
      <c r="AD1936" s="17">
        <f t="shared" si="91"/>
        <v>0</v>
      </c>
      <c r="AE1936" s="17">
        <f t="shared" si="92"/>
        <v>0</v>
      </c>
      <c r="AF1936" s="10" t="s">
        <v>4708</v>
      </c>
      <c r="AG1936" s="5" t="s">
        <v>4709</v>
      </c>
      <c r="AH1936" s="5" t="s">
        <v>4699</v>
      </c>
    </row>
    <row r="1937" spans="1:35" ht="10" customHeight="1" x14ac:dyDescent="0.2">
      <c r="A1937" s="5" t="s">
        <v>4317</v>
      </c>
      <c r="B1937" s="5" t="s">
        <v>4318</v>
      </c>
      <c r="D1937" s="5" t="s">
        <v>4710</v>
      </c>
      <c r="E1937" s="10" t="s">
        <v>48</v>
      </c>
      <c r="I1937" s="11">
        <v>1</v>
      </c>
      <c r="K1937" s="12"/>
      <c r="O1937" s="12"/>
      <c r="P1937" s="13">
        <v>35584</v>
      </c>
      <c r="AC1937" s="16" t="str">
        <f t="shared" si="90"/>
        <v>ADD</v>
      </c>
      <c r="AD1937" s="17">
        <f t="shared" si="91"/>
        <v>0</v>
      </c>
      <c r="AE1937" s="17">
        <f t="shared" si="92"/>
        <v>0</v>
      </c>
      <c r="AF1937" s="10" t="s">
        <v>4711</v>
      </c>
      <c r="AG1937" s="5" t="s">
        <v>4698</v>
      </c>
      <c r="AH1937" s="5" t="s">
        <v>4699</v>
      </c>
    </row>
    <row r="1938" spans="1:35" ht="10" customHeight="1" x14ac:dyDescent="0.2">
      <c r="A1938" s="5" t="s">
        <v>4712</v>
      </c>
      <c r="B1938" s="5" t="s">
        <v>4713</v>
      </c>
      <c r="D1938" s="5" t="s">
        <v>4714</v>
      </c>
      <c r="E1938" s="10" t="s">
        <v>48</v>
      </c>
      <c r="I1938" s="11" t="s">
        <v>4715</v>
      </c>
      <c r="K1938" s="12"/>
      <c r="O1938" s="12"/>
      <c r="P1938" s="13">
        <v>11502495</v>
      </c>
      <c r="Q1938" s="13">
        <v>11763594</v>
      </c>
      <c r="S1938" s="13">
        <v>13803188</v>
      </c>
      <c r="U1938" s="13">
        <v>13803188</v>
      </c>
      <c r="W1938" s="13">
        <v>61600</v>
      </c>
      <c r="X1938" s="13">
        <v>13813188</v>
      </c>
      <c r="Y1938" s="13">
        <v>13874788</v>
      </c>
      <c r="AC1938" s="16" t="str">
        <f t="shared" si="90"/>
        <v>ADD</v>
      </c>
      <c r="AD1938" s="17">
        <f t="shared" si="91"/>
        <v>13874788</v>
      </c>
      <c r="AE1938" s="17">
        <f t="shared" si="92"/>
        <v>0</v>
      </c>
      <c r="AF1938" s="10" t="s">
        <v>4716</v>
      </c>
      <c r="AG1938" s="5" t="s">
        <v>1960</v>
      </c>
      <c r="AH1938" s="5" t="s">
        <v>4717</v>
      </c>
    </row>
    <row r="1939" spans="1:35" ht="10" customHeight="1" x14ac:dyDescent="0.2">
      <c r="A1939" s="5" t="s">
        <v>4712</v>
      </c>
      <c r="B1939" s="5" t="s">
        <v>4713</v>
      </c>
      <c r="D1939" s="5" t="s">
        <v>4718</v>
      </c>
      <c r="E1939" s="10" t="s">
        <v>349</v>
      </c>
      <c r="F1939" s="5" t="s">
        <v>4714</v>
      </c>
      <c r="I1939" s="11">
        <v>2</v>
      </c>
      <c r="K1939" s="12"/>
      <c r="O1939" s="12"/>
      <c r="P1939" s="13">
        <v>329274</v>
      </c>
      <c r="Q1939" s="13">
        <v>250497</v>
      </c>
      <c r="S1939" s="13">
        <v>250312</v>
      </c>
      <c r="U1939" s="13">
        <v>250312</v>
      </c>
      <c r="AC1939" s="16" t="str">
        <f t="shared" si="90"/>
        <v>ALT</v>
      </c>
      <c r="AD1939" s="17">
        <f t="shared" si="91"/>
        <v>250312</v>
      </c>
      <c r="AE1939" s="17">
        <f t="shared" si="92"/>
        <v>0</v>
      </c>
      <c r="AF1939" s="10" t="s">
        <v>4719</v>
      </c>
      <c r="AG1939" s="5" t="s">
        <v>4720</v>
      </c>
      <c r="AH1939" s="5" t="s">
        <v>4717</v>
      </c>
    </row>
    <row r="1940" spans="1:35" ht="10" customHeight="1" x14ac:dyDescent="0.2">
      <c r="A1940" s="5" t="s">
        <v>4712</v>
      </c>
      <c r="B1940" s="5" t="s">
        <v>4713</v>
      </c>
      <c r="D1940" s="5" t="s">
        <v>4721</v>
      </c>
      <c r="E1940" s="10" t="s">
        <v>349</v>
      </c>
      <c r="F1940" s="5" t="s">
        <v>4714</v>
      </c>
      <c r="I1940" s="11">
        <v>2</v>
      </c>
      <c r="K1940" s="12"/>
      <c r="O1940" s="12"/>
      <c r="P1940" s="13">
        <v>717140</v>
      </c>
      <c r="Q1940" s="13">
        <v>384455</v>
      </c>
      <c r="S1940" s="13">
        <v>305424</v>
      </c>
      <c r="U1940" s="13">
        <v>305424</v>
      </c>
      <c r="AC1940" s="16" t="str">
        <f t="shared" si="90"/>
        <v>ALT</v>
      </c>
      <c r="AD1940" s="17">
        <f t="shared" si="91"/>
        <v>305424</v>
      </c>
      <c r="AE1940" s="17">
        <f t="shared" si="92"/>
        <v>0</v>
      </c>
      <c r="AF1940" s="10" t="s">
        <v>4719</v>
      </c>
      <c r="AG1940" s="5" t="s">
        <v>4720</v>
      </c>
      <c r="AH1940" s="5" t="s">
        <v>4717</v>
      </c>
    </row>
    <row r="1941" spans="1:35" ht="10" customHeight="1" x14ac:dyDescent="0.2">
      <c r="A1941" s="5" t="s">
        <v>4712</v>
      </c>
      <c r="B1941" s="5" t="s">
        <v>4713</v>
      </c>
      <c r="D1941" s="5" t="s">
        <v>4722</v>
      </c>
      <c r="E1941" s="10" t="s">
        <v>349</v>
      </c>
      <c r="F1941" s="5" t="s">
        <v>4714</v>
      </c>
      <c r="I1941" s="11">
        <v>2</v>
      </c>
      <c r="K1941" s="12"/>
      <c r="O1941" s="12"/>
      <c r="P1941" s="13">
        <v>95837</v>
      </c>
      <c r="Q1941" s="13">
        <v>63660</v>
      </c>
      <c r="S1941" s="13">
        <v>104367</v>
      </c>
      <c r="U1941" s="13">
        <v>104367</v>
      </c>
      <c r="AC1941" s="16" t="str">
        <f t="shared" si="90"/>
        <v>ALT</v>
      </c>
      <c r="AD1941" s="17">
        <f t="shared" si="91"/>
        <v>104367</v>
      </c>
      <c r="AE1941" s="17">
        <f t="shared" si="92"/>
        <v>0</v>
      </c>
      <c r="AF1941" s="10" t="s">
        <v>4719</v>
      </c>
      <c r="AG1941" s="5" t="s">
        <v>4720</v>
      </c>
      <c r="AH1941" s="5" t="s">
        <v>4717</v>
      </c>
    </row>
    <row r="1942" spans="1:35" ht="10" customHeight="1" x14ac:dyDescent="0.2">
      <c r="A1942" s="5" t="s">
        <v>4712</v>
      </c>
      <c r="B1942" s="5" t="s">
        <v>4713</v>
      </c>
      <c r="D1942" s="5" t="s">
        <v>4723</v>
      </c>
      <c r="E1942" s="10" t="s">
        <v>349</v>
      </c>
      <c r="F1942" s="5" t="s">
        <v>4714</v>
      </c>
      <c r="I1942" s="11">
        <v>2</v>
      </c>
      <c r="K1942" s="10" t="s">
        <v>50</v>
      </c>
      <c r="L1942" s="5" t="s">
        <v>51</v>
      </c>
      <c r="M1942" s="5" t="s">
        <v>69</v>
      </c>
      <c r="N1942" s="5" t="s">
        <v>70</v>
      </c>
      <c r="O1942" s="12"/>
      <c r="P1942" s="13">
        <v>99893</v>
      </c>
      <c r="Q1942" s="13">
        <v>322052</v>
      </c>
      <c r="S1942" s="13">
        <v>349822</v>
      </c>
      <c r="U1942" s="13">
        <v>349822</v>
      </c>
      <c r="AC1942" s="16" t="str">
        <f t="shared" si="90"/>
        <v>ALT</v>
      </c>
      <c r="AD1942" s="17">
        <f t="shared" si="91"/>
        <v>349822</v>
      </c>
      <c r="AE1942" s="17">
        <f t="shared" si="92"/>
        <v>0</v>
      </c>
      <c r="AF1942" s="10" t="s">
        <v>4719</v>
      </c>
      <c r="AG1942" s="5" t="s">
        <v>4720</v>
      </c>
      <c r="AH1942" s="5" t="s">
        <v>4717</v>
      </c>
    </row>
    <row r="1943" spans="1:35" ht="10" customHeight="1" x14ac:dyDescent="0.2">
      <c r="A1943" s="5" t="s">
        <v>4712</v>
      </c>
      <c r="B1943" s="5" t="s">
        <v>4713</v>
      </c>
      <c r="D1943" s="5" t="s">
        <v>4724</v>
      </c>
      <c r="E1943" s="10" t="s">
        <v>349</v>
      </c>
      <c r="F1943" s="5" t="s">
        <v>4714</v>
      </c>
      <c r="I1943" s="11">
        <v>2</v>
      </c>
      <c r="K1943" s="10" t="s">
        <v>50</v>
      </c>
      <c r="L1943" s="5" t="s">
        <v>51</v>
      </c>
      <c r="M1943" s="5" t="s">
        <v>69</v>
      </c>
      <c r="N1943" s="5" t="s">
        <v>70</v>
      </c>
      <c r="O1943" s="12"/>
      <c r="P1943" s="13">
        <v>28204</v>
      </c>
      <c r="Q1943" s="13">
        <v>16251</v>
      </c>
      <c r="S1943" s="13">
        <v>44947</v>
      </c>
      <c r="U1943" s="13">
        <v>44947</v>
      </c>
      <c r="AC1943" s="16" t="str">
        <f t="shared" si="90"/>
        <v>ALT</v>
      </c>
      <c r="AD1943" s="17">
        <f t="shared" si="91"/>
        <v>44947</v>
      </c>
      <c r="AE1943" s="17">
        <f t="shared" si="92"/>
        <v>0</v>
      </c>
      <c r="AF1943" s="10" t="s">
        <v>4719</v>
      </c>
      <c r="AG1943" s="5" t="s">
        <v>4720</v>
      </c>
      <c r="AH1943" s="5" t="s">
        <v>4717</v>
      </c>
    </row>
    <row r="1944" spans="1:35" ht="10" customHeight="1" x14ac:dyDescent="0.2">
      <c r="A1944" s="5" t="s">
        <v>4712</v>
      </c>
      <c r="B1944" s="5" t="s">
        <v>4713</v>
      </c>
      <c r="D1944" s="5" t="s">
        <v>4725</v>
      </c>
      <c r="E1944" s="10" t="s">
        <v>349</v>
      </c>
      <c r="F1944" s="5" t="s">
        <v>4714</v>
      </c>
      <c r="I1944" s="11">
        <v>2</v>
      </c>
      <c r="K1944" s="12"/>
      <c r="O1944" s="12"/>
      <c r="P1944" s="13">
        <v>21554</v>
      </c>
      <c r="Q1944" s="13">
        <v>22924</v>
      </c>
      <c r="AC1944" s="16" t="str">
        <f t="shared" si="90"/>
        <v>ALT</v>
      </c>
      <c r="AD1944" s="17">
        <f t="shared" si="91"/>
        <v>0</v>
      </c>
      <c r="AE1944" s="17">
        <f t="shared" si="92"/>
        <v>0</v>
      </c>
      <c r="AF1944" s="10" t="s">
        <v>4719</v>
      </c>
      <c r="AG1944" s="5" t="s">
        <v>4720</v>
      </c>
      <c r="AH1944" s="5" t="s">
        <v>4717</v>
      </c>
    </row>
    <row r="1945" spans="1:35" ht="10" customHeight="1" x14ac:dyDescent="0.2">
      <c r="A1945" s="5" t="s">
        <v>4712</v>
      </c>
      <c r="B1945" s="5" t="s">
        <v>4713</v>
      </c>
      <c r="D1945" s="5" t="s">
        <v>4726</v>
      </c>
      <c r="E1945" s="10" t="s">
        <v>349</v>
      </c>
      <c r="F1945" s="5" t="s">
        <v>4714</v>
      </c>
      <c r="I1945" s="11">
        <v>3</v>
      </c>
      <c r="K1945" s="12"/>
      <c r="O1945" s="12"/>
      <c r="P1945" s="13">
        <v>118950</v>
      </c>
      <c r="Q1945" s="13">
        <v>136225</v>
      </c>
      <c r="S1945" s="13">
        <v>139467</v>
      </c>
      <c r="U1945" s="13">
        <v>139467</v>
      </c>
      <c r="AC1945" s="16" t="str">
        <f t="shared" si="90"/>
        <v>ALT</v>
      </c>
      <c r="AD1945" s="17">
        <f t="shared" si="91"/>
        <v>139467</v>
      </c>
      <c r="AE1945" s="17">
        <f t="shared" si="92"/>
        <v>0</v>
      </c>
      <c r="AF1945" s="10" t="s">
        <v>4719</v>
      </c>
      <c r="AG1945" s="5" t="s">
        <v>4720</v>
      </c>
      <c r="AH1945" s="5" t="s">
        <v>4717</v>
      </c>
    </row>
    <row r="1946" spans="1:35" ht="10" customHeight="1" x14ac:dyDescent="0.2">
      <c r="A1946" s="5" t="s">
        <v>4712</v>
      </c>
      <c r="B1946" s="5" t="s">
        <v>4713</v>
      </c>
      <c r="D1946" s="5" t="s">
        <v>4727</v>
      </c>
      <c r="E1946" s="10" t="s">
        <v>349</v>
      </c>
      <c r="F1946" s="5" t="s">
        <v>4714</v>
      </c>
      <c r="I1946" s="11">
        <v>3</v>
      </c>
      <c r="K1946" s="12"/>
      <c r="O1946" s="12"/>
      <c r="P1946" s="13">
        <v>973522</v>
      </c>
      <c r="Q1946" s="13">
        <v>990461</v>
      </c>
      <c r="S1946" s="13">
        <v>1070896</v>
      </c>
      <c r="U1946" s="13">
        <v>1070896</v>
      </c>
      <c r="AC1946" s="16" t="str">
        <f t="shared" si="90"/>
        <v>ALT</v>
      </c>
      <c r="AD1946" s="17">
        <f t="shared" si="91"/>
        <v>1070896</v>
      </c>
      <c r="AE1946" s="17">
        <f t="shared" si="92"/>
        <v>0</v>
      </c>
      <c r="AF1946" s="10" t="s">
        <v>4719</v>
      </c>
      <c r="AG1946" s="5" t="s">
        <v>4720</v>
      </c>
      <c r="AH1946" s="5" t="s">
        <v>4717</v>
      </c>
    </row>
    <row r="1947" spans="1:35" ht="10" customHeight="1" x14ac:dyDescent="0.2">
      <c r="A1947" s="5" t="s">
        <v>4712</v>
      </c>
      <c r="B1947" s="5" t="s">
        <v>4713</v>
      </c>
      <c r="D1947" s="5" t="s">
        <v>4728</v>
      </c>
      <c r="E1947" s="10" t="s">
        <v>349</v>
      </c>
      <c r="F1947" s="5" t="s">
        <v>4714</v>
      </c>
      <c r="I1947" s="11">
        <v>3</v>
      </c>
      <c r="K1947" s="12"/>
      <c r="O1947" s="12"/>
      <c r="P1947" s="13">
        <v>696548</v>
      </c>
      <c r="Q1947" s="13">
        <v>662899</v>
      </c>
      <c r="S1947" s="13">
        <v>650869</v>
      </c>
      <c r="U1947" s="13">
        <v>650869</v>
      </c>
      <c r="AC1947" s="16" t="str">
        <f t="shared" si="90"/>
        <v>ALT</v>
      </c>
      <c r="AD1947" s="17">
        <f t="shared" si="91"/>
        <v>650869</v>
      </c>
      <c r="AE1947" s="17">
        <f t="shared" si="92"/>
        <v>0</v>
      </c>
      <c r="AF1947" s="10" t="s">
        <v>4719</v>
      </c>
      <c r="AG1947" s="5" t="s">
        <v>4720</v>
      </c>
      <c r="AH1947" s="5" t="s">
        <v>4717</v>
      </c>
    </row>
    <row r="1948" spans="1:35" ht="10" customHeight="1" x14ac:dyDescent="0.2">
      <c r="A1948" s="5" t="s">
        <v>4712</v>
      </c>
      <c r="B1948" s="5" t="s">
        <v>4713</v>
      </c>
      <c r="D1948" s="5" t="s">
        <v>4729</v>
      </c>
      <c r="E1948" s="10" t="s">
        <v>349</v>
      </c>
      <c r="F1948" s="5" t="s">
        <v>4714</v>
      </c>
      <c r="I1948" s="11">
        <v>3</v>
      </c>
      <c r="K1948" s="12"/>
      <c r="O1948" s="12"/>
      <c r="P1948" s="13">
        <v>1497600</v>
      </c>
      <c r="Q1948" s="13">
        <v>1429333</v>
      </c>
      <c r="S1948" s="13">
        <v>1525270</v>
      </c>
      <c r="U1948" s="13">
        <v>1525270</v>
      </c>
      <c r="AC1948" s="16" t="str">
        <f t="shared" si="90"/>
        <v>ALT</v>
      </c>
      <c r="AD1948" s="17">
        <f t="shared" si="91"/>
        <v>1525270</v>
      </c>
      <c r="AE1948" s="17">
        <f t="shared" si="92"/>
        <v>0</v>
      </c>
      <c r="AF1948" s="10" t="s">
        <v>4719</v>
      </c>
      <c r="AG1948" s="5" t="s">
        <v>4720</v>
      </c>
      <c r="AH1948" s="5" t="s">
        <v>4717</v>
      </c>
    </row>
    <row r="1949" spans="1:35" ht="10" customHeight="1" x14ac:dyDescent="0.2">
      <c r="A1949" s="5" t="s">
        <v>4712</v>
      </c>
      <c r="B1949" s="5" t="s">
        <v>4713</v>
      </c>
      <c r="D1949" s="5" t="s">
        <v>4730</v>
      </c>
      <c r="E1949" s="10" t="s">
        <v>349</v>
      </c>
      <c r="F1949" s="5" t="s">
        <v>4714</v>
      </c>
      <c r="I1949" s="11">
        <v>2</v>
      </c>
      <c r="K1949" s="12"/>
      <c r="O1949" s="12"/>
      <c r="P1949" s="13">
        <v>1635116</v>
      </c>
      <c r="Q1949" s="13">
        <v>1789606</v>
      </c>
      <c r="S1949" s="13">
        <v>1775132</v>
      </c>
      <c r="U1949" s="13">
        <v>1775132</v>
      </c>
      <c r="AC1949" s="16" t="str">
        <f t="shared" si="90"/>
        <v>ALT</v>
      </c>
      <c r="AD1949" s="17">
        <f t="shared" si="91"/>
        <v>1775132</v>
      </c>
      <c r="AE1949" s="17">
        <f t="shared" si="92"/>
        <v>0</v>
      </c>
      <c r="AF1949" s="10" t="s">
        <v>4731</v>
      </c>
      <c r="AG1949" s="5" t="s">
        <v>4720</v>
      </c>
      <c r="AH1949" s="5" t="s">
        <v>4717</v>
      </c>
      <c r="AI1949" s="5" t="s">
        <v>4732</v>
      </c>
    </row>
    <row r="1950" spans="1:35" ht="10" customHeight="1" x14ac:dyDescent="0.2">
      <c r="A1950" s="5" t="s">
        <v>4712</v>
      </c>
      <c r="B1950" s="5" t="s">
        <v>4713</v>
      </c>
      <c r="D1950" s="5" t="s">
        <v>4733</v>
      </c>
      <c r="E1950" s="10" t="s">
        <v>349</v>
      </c>
      <c r="F1950" s="5" t="s">
        <v>4714</v>
      </c>
      <c r="I1950" s="11">
        <v>2</v>
      </c>
      <c r="K1950" s="12"/>
      <c r="O1950" s="12"/>
      <c r="P1950" s="13">
        <v>1191581</v>
      </c>
      <c r="Q1950" s="13">
        <v>1468055</v>
      </c>
      <c r="S1950" s="13">
        <v>1401503</v>
      </c>
      <c r="U1950" s="13">
        <v>1401503</v>
      </c>
      <c r="AC1950" s="16" t="str">
        <f t="shared" si="90"/>
        <v>ALT</v>
      </c>
      <c r="AD1950" s="17">
        <f t="shared" si="91"/>
        <v>1401503</v>
      </c>
      <c r="AE1950" s="17">
        <f t="shared" si="92"/>
        <v>0</v>
      </c>
      <c r="AF1950" s="10" t="s">
        <v>4731</v>
      </c>
      <c r="AG1950" s="5" t="s">
        <v>4720</v>
      </c>
      <c r="AH1950" s="5" t="s">
        <v>4717</v>
      </c>
      <c r="AI1950" s="5" t="s">
        <v>4732</v>
      </c>
    </row>
    <row r="1951" spans="1:35" ht="10" customHeight="1" x14ac:dyDescent="0.2">
      <c r="A1951" s="5" t="s">
        <v>4712</v>
      </c>
      <c r="B1951" s="5" t="s">
        <v>4713</v>
      </c>
      <c r="D1951" s="5" t="s">
        <v>4734</v>
      </c>
      <c r="E1951" s="10" t="s">
        <v>349</v>
      </c>
      <c r="F1951" s="5" t="s">
        <v>4714</v>
      </c>
      <c r="I1951" s="11">
        <v>2</v>
      </c>
      <c r="K1951" s="12"/>
      <c r="O1951" s="12"/>
      <c r="P1951" s="13">
        <v>2521756</v>
      </c>
      <c r="Q1951" s="13">
        <v>2741203</v>
      </c>
      <c r="S1951" s="13">
        <v>2944801</v>
      </c>
      <c r="U1951" s="13">
        <v>2944801</v>
      </c>
      <c r="AC1951" s="16" t="str">
        <f t="shared" si="90"/>
        <v>ALT</v>
      </c>
      <c r="AD1951" s="17">
        <f t="shared" si="91"/>
        <v>2944801</v>
      </c>
      <c r="AE1951" s="17">
        <f t="shared" si="92"/>
        <v>0</v>
      </c>
      <c r="AF1951" s="10" t="s">
        <v>4731</v>
      </c>
      <c r="AG1951" s="5" t="s">
        <v>4720</v>
      </c>
      <c r="AH1951" s="5" t="s">
        <v>4717</v>
      </c>
      <c r="AI1951" s="5" t="s">
        <v>4732</v>
      </c>
    </row>
    <row r="1952" spans="1:35" ht="10" customHeight="1" x14ac:dyDescent="0.2">
      <c r="A1952" s="5" t="s">
        <v>4712</v>
      </c>
      <c r="B1952" s="5" t="s">
        <v>4713</v>
      </c>
      <c r="D1952" s="5" t="s">
        <v>4735</v>
      </c>
      <c r="E1952" s="10" t="s">
        <v>349</v>
      </c>
      <c r="F1952" s="5" t="s">
        <v>4714</v>
      </c>
      <c r="I1952" s="11">
        <v>2</v>
      </c>
      <c r="K1952" s="12"/>
      <c r="O1952" s="12"/>
      <c r="P1952" s="13">
        <v>1237273</v>
      </c>
      <c r="Q1952" s="13">
        <v>1485973</v>
      </c>
      <c r="S1952" s="13">
        <v>1656378</v>
      </c>
      <c r="U1952" s="13">
        <v>1656378</v>
      </c>
      <c r="AC1952" s="16" t="str">
        <f t="shared" si="90"/>
        <v>ALT</v>
      </c>
      <c r="AD1952" s="17">
        <f t="shared" si="91"/>
        <v>1656378</v>
      </c>
      <c r="AE1952" s="17">
        <f t="shared" si="92"/>
        <v>0</v>
      </c>
      <c r="AF1952" s="10" t="s">
        <v>4731</v>
      </c>
      <c r="AG1952" s="5" t="s">
        <v>4720</v>
      </c>
      <c r="AH1952" s="5" t="s">
        <v>4717</v>
      </c>
      <c r="AI1952" s="5" t="s">
        <v>4732</v>
      </c>
    </row>
    <row r="1953" spans="1:36" ht="10" customHeight="1" x14ac:dyDescent="0.2">
      <c r="A1953" s="5" t="s">
        <v>4712</v>
      </c>
      <c r="B1953" s="5" t="s">
        <v>4713</v>
      </c>
      <c r="D1953" s="5" t="s">
        <v>4736</v>
      </c>
      <c r="E1953" s="10" t="s">
        <v>57</v>
      </c>
      <c r="F1953" s="5" t="s">
        <v>4729</v>
      </c>
      <c r="I1953" s="11">
        <v>3</v>
      </c>
      <c r="K1953" s="12"/>
      <c r="O1953" s="12"/>
      <c r="P1953" s="13">
        <v>849162</v>
      </c>
      <c r="Q1953" s="13">
        <v>913937</v>
      </c>
      <c r="S1953" s="13">
        <v>799626</v>
      </c>
      <c r="U1953" s="13">
        <v>799626</v>
      </c>
      <c r="AC1953" s="16" t="str">
        <f t="shared" si="90"/>
        <v/>
      </c>
      <c r="AD1953" s="17">
        <f t="shared" si="91"/>
        <v>799626</v>
      </c>
      <c r="AE1953" s="17">
        <f t="shared" si="92"/>
        <v>0</v>
      </c>
      <c r="AF1953" s="10" t="s">
        <v>4737</v>
      </c>
      <c r="AG1953" s="5" t="s">
        <v>2001</v>
      </c>
      <c r="AH1953" s="5" t="s">
        <v>4717</v>
      </c>
      <c r="AI1953" s="5" t="s">
        <v>4738</v>
      </c>
    </row>
    <row r="1954" spans="1:36" ht="10" customHeight="1" x14ac:dyDescent="0.2">
      <c r="A1954" s="5" t="s">
        <v>4712</v>
      </c>
      <c r="B1954" s="5" t="s">
        <v>4713</v>
      </c>
      <c r="D1954" s="5" t="s">
        <v>4739</v>
      </c>
      <c r="E1954" s="10" t="s">
        <v>57</v>
      </c>
      <c r="F1954" s="5" t="s">
        <v>4729</v>
      </c>
      <c r="I1954" s="11">
        <v>3</v>
      </c>
      <c r="K1954" s="12"/>
      <c r="O1954" s="12"/>
      <c r="P1954" s="13">
        <v>2368347</v>
      </c>
      <c r="Q1954" s="13">
        <v>2019921</v>
      </c>
      <c r="S1954" s="13">
        <v>3969612</v>
      </c>
      <c r="U1954" s="13">
        <v>3969612</v>
      </c>
      <c r="AC1954" s="16" t="str">
        <f t="shared" si="90"/>
        <v/>
      </c>
      <c r="AD1954" s="17">
        <f t="shared" si="91"/>
        <v>3969612</v>
      </c>
      <c r="AE1954" s="17">
        <f t="shared" si="92"/>
        <v>0</v>
      </c>
      <c r="AF1954" s="10" t="s">
        <v>4737</v>
      </c>
      <c r="AG1954" s="5" t="s">
        <v>2001</v>
      </c>
      <c r="AH1954" s="5" t="s">
        <v>4717</v>
      </c>
      <c r="AI1954" s="5" t="s">
        <v>4738</v>
      </c>
    </row>
    <row r="1955" spans="1:36" ht="10" customHeight="1" x14ac:dyDescent="0.2">
      <c r="A1955" s="5" t="s">
        <v>4712</v>
      </c>
      <c r="B1955" s="5" t="s">
        <v>4713</v>
      </c>
      <c r="D1955" s="5" t="s">
        <v>4740</v>
      </c>
      <c r="E1955" s="10" t="s">
        <v>57</v>
      </c>
      <c r="F1955" s="5" t="s">
        <v>4714</v>
      </c>
      <c r="I1955" s="11">
        <v>2</v>
      </c>
      <c r="K1955" s="12"/>
      <c r="O1955" s="12"/>
      <c r="S1955" s="13">
        <v>341925</v>
      </c>
      <c r="U1955" s="13">
        <v>341925</v>
      </c>
      <c r="AC1955" s="16" t="str">
        <f t="shared" si="90"/>
        <v/>
      </c>
      <c r="AD1955" s="17">
        <f t="shared" si="91"/>
        <v>341925</v>
      </c>
      <c r="AE1955" s="17">
        <f t="shared" si="92"/>
        <v>0</v>
      </c>
      <c r="AF1955" s="10" t="s">
        <v>4741</v>
      </c>
      <c r="AG1955" s="5" t="s">
        <v>1965</v>
      </c>
      <c r="AH1955" s="5" t="s">
        <v>4717</v>
      </c>
    </row>
    <row r="1956" spans="1:36" ht="10" customHeight="1" x14ac:dyDescent="0.2">
      <c r="A1956" s="5" t="s">
        <v>4712</v>
      </c>
      <c r="B1956" s="5" t="s">
        <v>4713</v>
      </c>
      <c r="D1956" s="5" t="s">
        <v>4742</v>
      </c>
      <c r="E1956" s="10" t="s">
        <v>57</v>
      </c>
      <c r="F1956" s="5" t="s">
        <v>4714</v>
      </c>
      <c r="I1956" s="11">
        <v>2</v>
      </c>
      <c r="K1956" s="12"/>
      <c r="O1956" s="12"/>
      <c r="S1956" s="13">
        <v>666329</v>
      </c>
      <c r="U1956" s="13">
        <v>666329</v>
      </c>
      <c r="AC1956" s="16" t="str">
        <f t="shared" si="90"/>
        <v/>
      </c>
      <c r="AD1956" s="17">
        <f t="shared" si="91"/>
        <v>666329</v>
      </c>
      <c r="AE1956" s="17">
        <f t="shared" si="92"/>
        <v>0</v>
      </c>
      <c r="AF1956" s="10" t="s">
        <v>4741</v>
      </c>
      <c r="AG1956" s="5" t="s">
        <v>1965</v>
      </c>
      <c r="AH1956" s="5" t="s">
        <v>4717</v>
      </c>
    </row>
    <row r="1957" spans="1:36" ht="10" customHeight="1" x14ac:dyDescent="0.2">
      <c r="A1957" s="5" t="s">
        <v>4712</v>
      </c>
      <c r="B1957" s="5" t="s">
        <v>4713</v>
      </c>
      <c r="D1957" s="5" t="s">
        <v>4743</v>
      </c>
      <c r="E1957" s="10" t="s">
        <v>57</v>
      </c>
      <c r="F1957" s="5" t="s">
        <v>4714</v>
      </c>
      <c r="I1957" s="11" t="s">
        <v>4715</v>
      </c>
      <c r="K1957" s="12"/>
      <c r="O1957" s="12"/>
      <c r="S1957" s="13">
        <v>575746</v>
      </c>
      <c r="U1957" s="13">
        <v>575746</v>
      </c>
      <c r="AC1957" s="16" t="str">
        <f t="shared" si="90"/>
        <v/>
      </c>
      <c r="AD1957" s="17">
        <f t="shared" si="91"/>
        <v>575746</v>
      </c>
      <c r="AE1957" s="17">
        <f t="shared" si="92"/>
        <v>0</v>
      </c>
      <c r="AF1957" s="10" t="s">
        <v>4741</v>
      </c>
      <c r="AG1957" s="5" t="s">
        <v>1965</v>
      </c>
      <c r="AH1957" s="5" t="s">
        <v>4717</v>
      </c>
    </row>
    <row r="1958" spans="1:36" ht="10" customHeight="1" x14ac:dyDescent="0.2">
      <c r="A1958" s="5" t="s">
        <v>4712</v>
      </c>
      <c r="B1958" s="5" t="s">
        <v>4713</v>
      </c>
      <c r="D1958" s="5" t="s">
        <v>4744</v>
      </c>
      <c r="E1958" s="10" t="s">
        <v>57</v>
      </c>
      <c r="F1958" s="5" t="s">
        <v>4714</v>
      </c>
      <c r="I1958" s="11">
        <v>2</v>
      </c>
      <c r="K1958" s="10" t="s">
        <v>50</v>
      </c>
      <c r="L1958" s="5" t="s">
        <v>51</v>
      </c>
      <c r="M1958" s="5" t="s">
        <v>52</v>
      </c>
      <c r="N1958" s="5" t="s">
        <v>88</v>
      </c>
      <c r="O1958" s="12"/>
      <c r="S1958" s="13">
        <v>293392</v>
      </c>
      <c r="U1958" s="13">
        <v>293392</v>
      </c>
      <c r="AC1958" s="16" t="str">
        <f t="shared" si="90"/>
        <v/>
      </c>
      <c r="AD1958" s="17">
        <f t="shared" si="91"/>
        <v>293392</v>
      </c>
      <c r="AE1958" s="17">
        <f t="shared" si="92"/>
        <v>0</v>
      </c>
      <c r="AF1958" s="10" t="s">
        <v>4745</v>
      </c>
      <c r="AG1958" s="5" t="s">
        <v>4655</v>
      </c>
      <c r="AH1958" s="5" t="s">
        <v>4717</v>
      </c>
      <c r="AI1958" s="5" t="s">
        <v>4746</v>
      </c>
      <c r="AJ1958" s="5" t="s">
        <v>4747</v>
      </c>
    </row>
    <row r="1959" spans="1:36" ht="10" customHeight="1" x14ac:dyDescent="0.2">
      <c r="A1959" s="5" t="s">
        <v>4712</v>
      </c>
      <c r="B1959" s="5" t="s">
        <v>4713</v>
      </c>
      <c r="D1959" s="5" t="s">
        <v>4748</v>
      </c>
      <c r="E1959" s="10" t="s">
        <v>57</v>
      </c>
      <c r="F1959" s="5" t="s">
        <v>4714</v>
      </c>
      <c r="I1959" s="11">
        <v>3</v>
      </c>
      <c r="K1959" s="12"/>
      <c r="O1959" s="12"/>
      <c r="S1959" s="13">
        <v>86752</v>
      </c>
      <c r="U1959" s="13">
        <v>86752</v>
      </c>
      <c r="AC1959" s="16" t="str">
        <f t="shared" si="90"/>
        <v/>
      </c>
      <c r="AD1959" s="17">
        <f t="shared" si="91"/>
        <v>86752</v>
      </c>
      <c r="AE1959" s="17">
        <f t="shared" si="92"/>
        <v>0</v>
      </c>
      <c r="AF1959" s="10" t="s">
        <v>4749</v>
      </c>
      <c r="AG1959" s="5" t="s">
        <v>90</v>
      </c>
      <c r="AH1959" s="5" t="s">
        <v>4717</v>
      </c>
      <c r="AI1959" s="5" t="s">
        <v>4746</v>
      </c>
      <c r="AJ1959" s="5" t="s">
        <v>4750</v>
      </c>
    </row>
    <row r="1960" spans="1:36" ht="10" customHeight="1" x14ac:dyDescent="0.2">
      <c r="A1960" s="5" t="s">
        <v>4712</v>
      </c>
      <c r="B1960" s="5" t="s">
        <v>4713</v>
      </c>
      <c r="D1960" s="5" t="s">
        <v>4751</v>
      </c>
      <c r="E1960" s="10" t="s">
        <v>57</v>
      </c>
      <c r="F1960" s="5" t="s">
        <v>4714</v>
      </c>
      <c r="I1960" s="11">
        <v>2</v>
      </c>
      <c r="K1960" s="10" t="s">
        <v>50</v>
      </c>
      <c r="L1960" s="5" t="s">
        <v>51</v>
      </c>
      <c r="M1960" s="5" t="s">
        <v>52</v>
      </c>
      <c r="N1960" s="5" t="s">
        <v>4752</v>
      </c>
      <c r="O1960" s="12"/>
      <c r="S1960" s="13">
        <v>77927</v>
      </c>
      <c r="U1960" s="13">
        <v>77927</v>
      </c>
      <c r="AC1960" s="16" t="str">
        <f t="shared" si="90"/>
        <v/>
      </c>
      <c r="AD1960" s="17">
        <f t="shared" si="91"/>
        <v>77927</v>
      </c>
      <c r="AE1960" s="17">
        <f t="shared" si="92"/>
        <v>0</v>
      </c>
      <c r="AF1960" s="10" t="s">
        <v>4753</v>
      </c>
      <c r="AG1960" s="5" t="s">
        <v>90</v>
      </c>
      <c r="AH1960" s="5" t="s">
        <v>4717</v>
      </c>
      <c r="AI1960" s="5" t="s">
        <v>4746</v>
      </c>
      <c r="AJ1960" s="5" t="s">
        <v>4754</v>
      </c>
    </row>
    <row r="1961" spans="1:36" ht="10" customHeight="1" x14ac:dyDescent="0.2">
      <c r="A1961" s="5" t="s">
        <v>4712</v>
      </c>
      <c r="B1961" s="5" t="s">
        <v>4713</v>
      </c>
      <c r="D1961" s="5" t="s">
        <v>4755</v>
      </c>
      <c r="E1961" s="10" t="s">
        <v>57</v>
      </c>
      <c r="F1961" s="5" t="s">
        <v>4714</v>
      </c>
      <c r="I1961" s="11">
        <v>3</v>
      </c>
      <c r="K1961" s="10" t="s">
        <v>50</v>
      </c>
      <c r="L1961" s="5" t="s">
        <v>51</v>
      </c>
      <c r="M1961" s="5" t="s">
        <v>52</v>
      </c>
      <c r="N1961" s="5" t="s">
        <v>88</v>
      </c>
      <c r="O1961" s="12"/>
      <c r="S1961" s="13">
        <v>65354</v>
      </c>
      <c r="U1961" s="13">
        <v>65354</v>
      </c>
      <c r="AC1961" s="16" t="str">
        <f t="shared" si="90"/>
        <v/>
      </c>
      <c r="AD1961" s="17">
        <f t="shared" si="91"/>
        <v>65354</v>
      </c>
      <c r="AE1961" s="17">
        <f t="shared" si="92"/>
        <v>0</v>
      </c>
      <c r="AF1961" s="10" t="s">
        <v>4756</v>
      </c>
      <c r="AG1961" s="5" t="s">
        <v>90</v>
      </c>
      <c r="AH1961" s="5" t="s">
        <v>4717</v>
      </c>
      <c r="AI1961" s="5" t="s">
        <v>4746</v>
      </c>
      <c r="AJ1961" s="5" t="s">
        <v>4757</v>
      </c>
    </row>
    <row r="1962" spans="1:36" ht="10" customHeight="1" x14ac:dyDescent="0.2">
      <c r="A1962" s="5" t="s">
        <v>4712</v>
      </c>
      <c r="B1962" s="5" t="s">
        <v>4713</v>
      </c>
      <c r="D1962" s="5" t="s">
        <v>4758</v>
      </c>
      <c r="E1962" s="10" t="s">
        <v>57</v>
      </c>
      <c r="F1962" s="5" t="s">
        <v>4714</v>
      </c>
      <c r="I1962" s="11">
        <v>2</v>
      </c>
      <c r="K1962" s="10" t="s">
        <v>50</v>
      </c>
      <c r="L1962" s="5" t="s">
        <v>51</v>
      </c>
      <c r="M1962" s="5" t="s">
        <v>69</v>
      </c>
      <c r="N1962" s="5" t="s">
        <v>70</v>
      </c>
      <c r="O1962" s="12"/>
      <c r="S1962" s="13">
        <v>44006</v>
      </c>
      <c r="U1962" s="13">
        <v>44006</v>
      </c>
      <c r="AC1962" s="16" t="str">
        <f t="shared" si="90"/>
        <v/>
      </c>
      <c r="AD1962" s="17">
        <f t="shared" si="91"/>
        <v>44006</v>
      </c>
      <c r="AE1962" s="17">
        <f t="shared" si="92"/>
        <v>0</v>
      </c>
      <c r="AF1962" s="10" t="s">
        <v>4759</v>
      </c>
      <c r="AG1962" s="5" t="s">
        <v>90</v>
      </c>
      <c r="AH1962" s="5" t="s">
        <v>4717</v>
      </c>
      <c r="AI1962" s="5" t="s">
        <v>4746</v>
      </c>
      <c r="AJ1962" s="5" t="s">
        <v>4760</v>
      </c>
    </row>
    <row r="1963" spans="1:36" ht="10" customHeight="1" x14ac:dyDescent="0.2">
      <c r="A1963" s="5" t="s">
        <v>4712</v>
      </c>
      <c r="B1963" s="5" t="s">
        <v>4713</v>
      </c>
      <c r="D1963" s="5" t="s">
        <v>4761</v>
      </c>
      <c r="E1963" s="10" t="s">
        <v>57</v>
      </c>
      <c r="F1963" s="5" t="s">
        <v>4714</v>
      </c>
      <c r="I1963" s="11">
        <v>2</v>
      </c>
      <c r="K1963" s="10" t="s">
        <v>50</v>
      </c>
      <c r="L1963" s="5" t="s">
        <v>51</v>
      </c>
      <c r="M1963" s="5" t="s">
        <v>52</v>
      </c>
      <c r="N1963" s="5" t="s">
        <v>88</v>
      </c>
      <c r="O1963" s="12"/>
      <c r="S1963" s="13">
        <v>42000</v>
      </c>
      <c r="U1963" s="13">
        <v>42000</v>
      </c>
      <c r="AC1963" s="16" t="str">
        <f t="shared" si="90"/>
        <v/>
      </c>
      <c r="AD1963" s="17">
        <f t="shared" si="91"/>
        <v>42000</v>
      </c>
      <c r="AE1963" s="17">
        <f t="shared" si="92"/>
        <v>0</v>
      </c>
      <c r="AF1963" s="10" t="s">
        <v>4762</v>
      </c>
      <c r="AG1963" s="5" t="s">
        <v>90</v>
      </c>
      <c r="AH1963" s="5" t="s">
        <v>4717</v>
      </c>
      <c r="AI1963" s="5" t="s">
        <v>4746</v>
      </c>
      <c r="AJ1963" s="5" t="s">
        <v>4763</v>
      </c>
    </row>
    <row r="1964" spans="1:36" ht="10" customHeight="1" x14ac:dyDescent="0.2">
      <c r="A1964" s="5" t="s">
        <v>4712</v>
      </c>
      <c r="B1964" s="5" t="s">
        <v>4713</v>
      </c>
      <c r="D1964" s="5" t="s">
        <v>4764</v>
      </c>
      <c r="E1964" s="10" t="s">
        <v>57</v>
      </c>
      <c r="F1964" s="5" t="s">
        <v>4714</v>
      </c>
      <c r="I1964" s="11">
        <v>2</v>
      </c>
      <c r="K1964" s="12"/>
      <c r="O1964" s="12"/>
      <c r="S1964" s="13">
        <v>40142</v>
      </c>
      <c r="U1964" s="13">
        <v>40142</v>
      </c>
      <c r="AC1964" s="16" t="str">
        <f t="shared" si="90"/>
        <v/>
      </c>
      <c r="AD1964" s="17">
        <f t="shared" si="91"/>
        <v>40142</v>
      </c>
      <c r="AE1964" s="17">
        <f t="shared" si="92"/>
        <v>0</v>
      </c>
      <c r="AF1964" s="10" t="s">
        <v>4765</v>
      </c>
      <c r="AG1964" s="5" t="s">
        <v>90</v>
      </c>
      <c r="AH1964" s="5" t="s">
        <v>4717</v>
      </c>
      <c r="AI1964" s="5" t="s">
        <v>4746</v>
      </c>
      <c r="AJ1964" s="5" t="s">
        <v>4766</v>
      </c>
    </row>
    <row r="1965" spans="1:36" ht="10" customHeight="1" x14ac:dyDescent="0.2">
      <c r="A1965" s="5" t="s">
        <v>4712</v>
      </c>
      <c r="B1965" s="5" t="s">
        <v>4713</v>
      </c>
      <c r="D1965" s="5" t="s">
        <v>4767</v>
      </c>
      <c r="E1965" s="10" t="s">
        <v>57</v>
      </c>
      <c r="F1965" s="5" t="s">
        <v>4714</v>
      </c>
      <c r="I1965" s="11">
        <v>2</v>
      </c>
      <c r="K1965" s="10" t="s">
        <v>50</v>
      </c>
      <c r="L1965" s="5" t="s">
        <v>51</v>
      </c>
      <c r="M1965" s="5" t="s">
        <v>69</v>
      </c>
      <c r="N1965" s="5" t="s">
        <v>70</v>
      </c>
      <c r="O1965" s="12"/>
      <c r="S1965" s="13">
        <v>40125</v>
      </c>
      <c r="U1965" s="13">
        <v>40125</v>
      </c>
      <c r="AC1965" s="16" t="str">
        <f t="shared" si="90"/>
        <v/>
      </c>
      <c r="AD1965" s="17">
        <f t="shared" si="91"/>
        <v>40125</v>
      </c>
      <c r="AE1965" s="17">
        <f t="shared" si="92"/>
        <v>0</v>
      </c>
      <c r="AF1965" s="10" t="s">
        <v>4768</v>
      </c>
      <c r="AG1965" s="5" t="s">
        <v>1907</v>
      </c>
      <c r="AH1965" s="5" t="s">
        <v>4717</v>
      </c>
      <c r="AI1965" s="5" t="s">
        <v>4746</v>
      </c>
      <c r="AJ1965" s="5" t="s">
        <v>4769</v>
      </c>
    </row>
    <row r="1966" spans="1:36" ht="10" customHeight="1" x14ac:dyDescent="0.2">
      <c r="A1966" s="5" t="s">
        <v>4712</v>
      </c>
      <c r="B1966" s="5" t="s">
        <v>4713</v>
      </c>
      <c r="D1966" s="5" t="s">
        <v>4770</v>
      </c>
      <c r="E1966" s="10" t="s">
        <v>57</v>
      </c>
      <c r="F1966" s="5" t="s">
        <v>4714</v>
      </c>
      <c r="I1966" s="11">
        <v>2</v>
      </c>
      <c r="K1966" s="10" t="s">
        <v>50</v>
      </c>
      <c r="L1966" s="5" t="s">
        <v>51</v>
      </c>
      <c r="M1966" s="5" t="s">
        <v>52</v>
      </c>
      <c r="N1966" s="5" t="s">
        <v>4752</v>
      </c>
      <c r="O1966" s="12"/>
      <c r="S1966" s="13">
        <v>32154</v>
      </c>
      <c r="U1966" s="13">
        <v>32154</v>
      </c>
      <c r="AC1966" s="16" t="str">
        <f t="shared" si="90"/>
        <v/>
      </c>
      <c r="AD1966" s="17">
        <f t="shared" si="91"/>
        <v>32154</v>
      </c>
      <c r="AE1966" s="17">
        <f t="shared" si="92"/>
        <v>0</v>
      </c>
      <c r="AF1966" s="10" t="s">
        <v>4771</v>
      </c>
      <c r="AG1966" s="5" t="s">
        <v>90</v>
      </c>
      <c r="AH1966" s="5" t="s">
        <v>4717</v>
      </c>
      <c r="AI1966" s="5" t="s">
        <v>4746</v>
      </c>
      <c r="AJ1966" s="5" t="s">
        <v>4772</v>
      </c>
    </row>
    <row r="1967" spans="1:36" ht="10" customHeight="1" x14ac:dyDescent="0.2">
      <c r="A1967" s="5" t="s">
        <v>4712</v>
      </c>
      <c r="B1967" s="5" t="s">
        <v>4713</v>
      </c>
      <c r="D1967" s="5" t="s">
        <v>4773</v>
      </c>
      <c r="E1967" s="10" t="s">
        <v>57</v>
      </c>
      <c r="F1967" s="5" t="s">
        <v>4714</v>
      </c>
      <c r="I1967" s="11">
        <v>2</v>
      </c>
      <c r="K1967" s="10" t="s">
        <v>50</v>
      </c>
      <c r="L1967" s="5" t="s">
        <v>51</v>
      </c>
      <c r="M1967" s="5" t="s">
        <v>69</v>
      </c>
      <c r="N1967" s="5" t="s">
        <v>70</v>
      </c>
      <c r="O1967" s="12"/>
      <c r="S1967" s="13">
        <v>24751</v>
      </c>
      <c r="U1967" s="13">
        <v>24751</v>
      </c>
      <c r="AC1967" s="16" t="str">
        <f t="shared" si="90"/>
        <v/>
      </c>
      <c r="AD1967" s="17">
        <f t="shared" si="91"/>
        <v>24751</v>
      </c>
      <c r="AE1967" s="17">
        <f t="shared" si="92"/>
        <v>0</v>
      </c>
      <c r="AF1967" s="10" t="s">
        <v>4774</v>
      </c>
      <c r="AG1967" s="5" t="s">
        <v>90</v>
      </c>
      <c r="AH1967" s="5" t="s">
        <v>4717</v>
      </c>
      <c r="AI1967" s="5" t="s">
        <v>4746</v>
      </c>
      <c r="AJ1967" s="5" t="s">
        <v>4775</v>
      </c>
    </row>
    <row r="1968" spans="1:36" ht="10" customHeight="1" x14ac:dyDescent="0.2">
      <c r="A1968" s="5" t="s">
        <v>4712</v>
      </c>
      <c r="B1968" s="5" t="s">
        <v>4713</v>
      </c>
      <c r="D1968" s="5" t="s">
        <v>4776</v>
      </c>
      <c r="E1968" s="10" t="s">
        <v>57</v>
      </c>
      <c r="F1968" s="5" t="s">
        <v>4714</v>
      </c>
      <c r="I1968" s="11">
        <v>6</v>
      </c>
      <c r="K1968" s="10" t="s">
        <v>50</v>
      </c>
      <c r="L1968" s="5" t="s">
        <v>51</v>
      </c>
      <c r="M1968" s="5" t="s">
        <v>52</v>
      </c>
      <c r="N1968" s="5" t="s">
        <v>88</v>
      </c>
      <c r="O1968" s="12"/>
      <c r="S1968" s="13">
        <v>22754</v>
      </c>
      <c r="U1968" s="13">
        <v>22754</v>
      </c>
      <c r="AC1968" s="16" t="str">
        <f t="shared" si="90"/>
        <v/>
      </c>
      <c r="AD1968" s="17">
        <f t="shared" si="91"/>
        <v>22754</v>
      </c>
      <c r="AE1968" s="17">
        <f t="shared" si="92"/>
        <v>0</v>
      </c>
      <c r="AF1968" s="10" t="s">
        <v>4777</v>
      </c>
      <c r="AG1968" s="5" t="s">
        <v>90</v>
      </c>
      <c r="AH1968" s="5" t="s">
        <v>4717</v>
      </c>
      <c r="AI1968" s="5" t="s">
        <v>4746</v>
      </c>
      <c r="AJ1968" s="5" t="s">
        <v>4778</v>
      </c>
    </row>
    <row r="1969" spans="1:36" ht="10" customHeight="1" x14ac:dyDescent="0.2">
      <c r="A1969" s="5" t="s">
        <v>4712</v>
      </c>
      <c r="B1969" s="5" t="s">
        <v>4713</v>
      </c>
      <c r="D1969" s="5" t="s">
        <v>4779</v>
      </c>
      <c r="E1969" s="10" t="s">
        <v>57</v>
      </c>
      <c r="F1969" s="5" t="s">
        <v>4714</v>
      </c>
      <c r="I1969" s="11">
        <v>2</v>
      </c>
      <c r="K1969" s="10" t="s">
        <v>50</v>
      </c>
      <c r="L1969" s="5" t="s">
        <v>51</v>
      </c>
      <c r="M1969" s="5" t="s">
        <v>52</v>
      </c>
      <c r="N1969" s="5" t="s">
        <v>88</v>
      </c>
      <c r="O1969" s="12"/>
      <c r="S1969" s="13">
        <v>20603</v>
      </c>
      <c r="U1969" s="13">
        <v>20603</v>
      </c>
      <c r="AC1969" s="16" t="str">
        <f t="shared" si="90"/>
        <v/>
      </c>
      <c r="AD1969" s="17">
        <f t="shared" si="91"/>
        <v>20603</v>
      </c>
      <c r="AE1969" s="17">
        <f t="shared" si="92"/>
        <v>0</v>
      </c>
      <c r="AF1969" s="10" t="s">
        <v>4780</v>
      </c>
      <c r="AG1969" s="5" t="s">
        <v>478</v>
      </c>
      <c r="AH1969" s="5" t="s">
        <v>4717</v>
      </c>
      <c r="AI1969" s="5" t="s">
        <v>4746</v>
      </c>
      <c r="AJ1969" s="5" t="s">
        <v>4781</v>
      </c>
    </row>
    <row r="1970" spans="1:36" ht="10" customHeight="1" x14ac:dyDescent="0.2">
      <c r="A1970" s="5" t="s">
        <v>4712</v>
      </c>
      <c r="B1970" s="5" t="s">
        <v>4713</v>
      </c>
      <c r="D1970" s="5" t="s">
        <v>4782</v>
      </c>
      <c r="E1970" s="10" t="s">
        <v>57</v>
      </c>
      <c r="F1970" s="5" t="s">
        <v>4714</v>
      </c>
      <c r="I1970" s="11">
        <v>2</v>
      </c>
      <c r="K1970" s="10" t="s">
        <v>50</v>
      </c>
      <c r="L1970" s="5" t="s">
        <v>51</v>
      </c>
      <c r="M1970" s="5" t="s">
        <v>69</v>
      </c>
      <c r="N1970" s="5" t="s">
        <v>70</v>
      </c>
      <c r="O1970" s="12"/>
      <c r="S1970" s="13">
        <v>13788</v>
      </c>
      <c r="U1970" s="13">
        <v>13788</v>
      </c>
      <c r="AC1970" s="16" t="str">
        <f t="shared" si="90"/>
        <v/>
      </c>
      <c r="AD1970" s="17">
        <f t="shared" si="91"/>
        <v>13788</v>
      </c>
      <c r="AE1970" s="17">
        <f t="shared" si="92"/>
        <v>0</v>
      </c>
      <c r="AF1970" s="10" t="s">
        <v>4783</v>
      </c>
      <c r="AG1970" s="5" t="s">
        <v>4784</v>
      </c>
      <c r="AH1970" s="5" t="s">
        <v>4717</v>
      </c>
      <c r="AI1970" s="5" t="s">
        <v>4746</v>
      </c>
      <c r="AJ1970" s="5" t="s">
        <v>4785</v>
      </c>
    </row>
    <row r="1971" spans="1:36" ht="10" customHeight="1" x14ac:dyDescent="0.2">
      <c r="A1971" s="5" t="s">
        <v>4712</v>
      </c>
      <c r="B1971" s="5" t="s">
        <v>4713</v>
      </c>
      <c r="D1971" s="5" t="s">
        <v>4786</v>
      </c>
      <c r="E1971" s="10" t="s">
        <v>57</v>
      </c>
      <c r="F1971" s="5" t="s">
        <v>4714</v>
      </c>
      <c r="I1971" s="11">
        <v>2</v>
      </c>
      <c r="K1971" s="10" t="s">
        <v>50</v>
      </c>
      <c r="L1971" s="5" t="s">
        <v>51</v>
      </c>
      <c r="M1971" s="5" t="s">
        <v>52</v>
      </c>
      <c r="N1971" s="5" t="s">
        <v>88</v>
      </c>
      <c r="O1971" s="12"/>
      <c r="S1971" s="13">
        <v>12972</v>
      </c>
      <c r="U1971" s="13">
        <v>12972</v>
      </c>
      <c r="AC1971" s="16" t="str">
        <f t="shared" si="90"/>
        <v/>
      </c>
      <c r="AD1971" s="17">
        <f t="shared" si="91"/>
        <v>12972</v>
      </c>
      <c r="AE1971" s="17">
        <f t="shared" si="92"/>
        <v>0</v>
      </c>
      <c r="AF1971" s="10" t="s">
        <v>4787</v>
      </c>
      <c r="AG1971" s="5" t="s">
        <v>4649</v>
      </c>
      <c r="AH1971" s="5" t="s">
        <v>4717</v>
      </c>
      <c r="AI1971" s="5" t="s">
        <v>4746</v>
      </c>
      <c r="AJ1971" s="5" t="s">
        <v>4788</v>
      </c>
    </row>
    <row r="1972" spans="1:36" ht="10" customHeight="1" x14ac:dyDescent="0.2">
      <c r="A1972" s="5" t="s">
        <v>4712</v>
      </c>
      <c r="B1972" s="5" t="s">
        <v>4713</v>
      </c>
      <c r="D1972" s="5" t="s">
        <v>4789</v>
      </c>
      <c r="E1972" s="10" t="s">
        <v>57</v>
      </c>
      <c r="F1972" s="5" t="s">
        <v>4714</v>
      </c>
      <c r="I1972" s="11">
        <v>2</v>
      </c>
      <c r="K1972" s="10" t="s">
        <v>50</v>
      </c>
      <c r="L1972" s="5" t="s">
        <v>51</v>
      </c>
      <c r="M1972" s="5" t="s">
        <v>69</v>
      </c>
      <c r="N1972" s="5" t="s">
        <v>70</v>
      </c>
      <c r="O1972" s="12"/>
      <c r="S1972" s="13">
        <v>-42775</v>
      </c>
      <c r="U1972" s="13">
        <v>-42775</v>
      </c>
      <c r="AC1972" s="16" t="str">
        <f t="shared" si="90"/>
        <v/>
      </c>
      <c r="AD1972" s="17">
        <f t="shared" si="91"/>
        <v>-42775</v>
      </c>
      <c r="AE1972" s="17">
        <f t="shared" si="92"/>
        <v>0</v>
      </c>
      <c r="AF1972" s="10" t="s">
        <v>4790</v>
      </c>
      <c r="AG1972" s="5" t="s">
        <v>4649</v>
      </c>
      <c r="AH1972" s="5" t="s">
        <v>4717</v>
      </c>
      <c r="AI1972" s="5" t="s">
        <v>4791</v>
      </c>
      <c r="AJ1972" s="5" t="s">
        <v>4750</v>
      </c>
    </row>
    <row r="1973" spans="1:36" ht="10" customHeight="1" x14ac:dyDescent="0.2">
      <c r="A1973" s="5" t="s">
        <v>4712</v>
      </c>
      <c r="B1973" s="5" t="s">
        <v>4713</v>
      </c>
      <c r="D1973" s="5" t="s">
        <v>4792</v>
      </c>
      <c r="E1973" s="10" t="s">
        <v>57</v>
      </c>
      <c r="F1973" s="5" t="s">
        <v>4714</v>
      </c>
      <c r="I1973" s="11" t="s">
        <v>4715</v>
      </c>
      <c r="K1973" s="12"/>
      <c r="O1973" s="12"/>
      <c r="S1973" s="13">
        <v>-76395</v>
      </c>
      <c r="U1973" s="13">
        <v>-76395</v>
      </c>
      <c r="AC1973" s="16" t="str">
        <f t="shared" si="90"/>
        <v/>
      </c>
      <c r="AD1973" s="17">
        <f t="shared" si="91"/>
        <v>-76395</v>
      </c>
      <c r="AE1973" s="17">
        <f t="shared" si="92"/>
        <v>0</v>
      </c>
      <c r="AF1973" s="10" t="s">
        <v>4793</v>
      </c>
      <c r="AG1973" s="5" t="s">
        <v>4649</v>
      </c>
      <c r="AH1973" s="5" t="s">
        <v>4717</v>
      </c>
      <c r="AI1973" s="5" t="s">
        <v>4791</v>
      </c>
      <c r="AJ1973" s="5" t="s">
        <v>4757</v>
      </c>
    </row>
    <row r="1974" spans="1:36" ht="10" customHeight="1" x14ac:dyDescent="0.2">
      <c r="A1974" s="5" t="s">
        <v>4712</v>
      </c>
      <c r="B1974" s="5" t="s">
        <v>4713</v>
      </c>
      <c r="D1974" s="5" t="s">
        <v>4794</v>
      </c>
      <c r="E1974" s="10" t="s">
        <v>57</v>
      </c>
      <c r="F1974" s="5" t="s">
        <v>4714</v>
      </c>
      <c r="I1974" s="11" t="s">
        <v>4715</v>
      </c>
      <c r="K1974" s="12"/>
      <c r="O1974" s="12"/>
      <c r="S1974" s="13">
        <v>-207734</v>
      </c>
      <c r="U1974" s="13">
        <v>-207734</v>
      </c>
      <c r="AC1974" s="16" t="str">
        <f t="shared" si="90"/>
        <v/>
      </c>
      <c r="AD1974" s="17">
        <f t="shared" si="91"/>
        <v>-207734</v>
      </c>
      <c r="AE1974" s="17">
        <f t="shared" si="92"/>
        <v>0</v>
      </c>
      <c r="AF1974" s="10" t="s">
        <v>4795</v>
      </c>
      <c r="AG1974" s="5" t="s">
        <v>4649</v>
      </c>
      <c r="AH1974" s="5" t="s">
        <v>4717</v>
      </c>
      <c r="AI1974" s="5" t="s">
        <v>4791</v>
      </c>
      <c r="AJ1974" s="5" t="s">
        <v>4760</v>
      </c>
    </row>
    <row r="1975" spans="1:36" ht="10" customHeight="1" x14ac:dyDescent="0.2">
      <c r="A1975" s="5" t="s">
        <v>4712</v>
      </c>
      <c r="B1975" s="5" t="s">
        <v>4713</v>
      </c>
      <c r="C1975" s="5" t="s">
        <v>4796</v>
      </c>
      <c r="D1975" s="5" t="s">
        <v>4797</v>
      </c>
      <c r="E1975" s="10" t="s">
        <v>57</v>
      </c>
      <c r="F1975" s="5" t="s">
        <v>4714</v>
      </c>
      <c r="I1975" s="11">
        <v>2</v>
      </c>
      <c r="K1975" s="12"/>
      <c r="O1975" s="12"/>
      <c r="P1975" s="13">
        <v>1769659</v>
      </c>
      <c r="Q1975" s="13">
        <v>2228255</v>
      </c>
      <c r="S1975" s="13">
        <v>3971574</v>
      </c>
      <c r="U1975" s="13">
        <v>3971574</v>
      </c>
      <c r="AC1975" s="16" t="str">
        <f t="shared" si="90"/>
        <v/>
      </c>
      <c r="AD1975" s="17">
        <f t="shared" si="91"/>
        <v>3971574</v>
      </c>
      <c r="AE1975" s="17">
        <f t="shared" si="92"/>
        <v>0</v>
      </c>
      <c r="AF1975" s="10" t="s">
        <v>4798</v>
      </c>
      <c r="AG1975" s="5" t="s">
        <v>2152</v>
      </c>
      <c r="AH1975" s="5" t="s">
        <v>4717</v>
      </c>
      <c r="AI1975" s="5" t="s">
        <v>4799</v>
      </c>
    </row>
    <row r="1976" spans="1:36" ht="10" customHeight="1" x14ac:dyDescent="0.2">
      <c r="A1976" s="5" t="s">
        <v>4712</v>
      </c>
      <c r="B1976" s="5" t="s">
        <v>4713</v>
      </c>
      <c r="C1976" s="5" t="s">
        <v>4800</v>
      </c>
      <c r="D1976" s="5" t="s">
        <v>4801</v>
      </c>
      <c r="E1976" s="10" t="s">
        <v>57</v>
      </c>
      <c r="F1976" s="5" t="s">
        <v>4714</v>
      </c>
      <c r="I1976" s="11" t="s">
        <v>4715</v>
      </c>
      <c r="K1976" s="12"/>
      <c r="O1976" s="12"/>
      <c r="P1976" s="13">
        <v>369293</v>
      </c>
      <c r="Q1976" s="13">
        <v>311029</v>
      </c>
      <c r="S1976" s="13">
        <v>502290</v>
      </c>
      <c r="U1976" s="13">
        <v>502290</v>
      </c>
      <c r="AC1976" s="16" t="str">
        <f t="shared" si="90"/>
        <v/>
      </c>
      <c r="AD1976" s="17">
        <f t="shared" si="91"/>
        <v>502290</v>
      </c>
      <c r="AE1976" s="17">
        <f t="shared" si="92"/>
        <v>0</v>
      </c>
      <c r="AF1976" s="10" t="s">
        <v>4802</v>
      </c>
      <c r="AG1976" s="5" t="s">
        <v>2152</v>
      </c>
      <c r="AH1976" s="5" t="s">
        <v>4717</v>
      </c>
      <c r="AI1976" s="5" t="s">
        <v>4803</v>
      </c>
    </row>
    <row r="1977" spans="1:36" ht="10" customHeight="1" x14ac:dyDescent="0.2">
      <c r="A1977" s="5" t="s">
        <v>4712</v>
      </c>
      <c r="B1977" s="5" t="s">
        <v>4713</v>
      </c>
      <c r="C1977" s="5" t="s">
        <v>1290</v>
      </c>
      <c r="D1977" s="5" t="s">
        <v>4804</v>
      </c>
      <c r="E1977" s="10" t="s">
        <v>57</v>
      </c>
      <c r="F1977" s="5" t="s">
        <v>4714</v>
      </c>
      <c r="I1977" s="11" t="s">
        <v>4715</v>
      </c>
      <c r="K1977" s="12"/>
      <c r="O1977" s="12"/>
      <c r="P1977" s="13">
        <v>2865677</v>
      </c>
      <c r="Q1977" s="13">
        <v>3255145</v>
      </c>
      <c r="S1977" s="13">
        <v>3057102</v>
      </c>
      <c r="U1977" s="13">
        <v>3057102</v>
      </c>
      <c r="AC1977" s="16" t="str">
        <f t="shared" si="90"/>
        <v/>
      </c>
      <c r="AD1977" s="17">
        <f t="shared" si="91"/>
        <v>3057102</v>
      </c>
      <c r="AE1977" s="17">
        <f t="shared" si="92"/>
        <v>0</v>
      </c>
      <c r="AF1977" s="10" t="s">
        <v>4805</v>
      </c>
      <c r="AG1977" s="5" t="s">
        <v>4806</v>
      </c>
      <c r="AH1977" s="5" t="s">
        <v>4717</v>
      </c>
      <c r="AI1977" s="5" t="s">
        <v>4807</v>
      </c>
    </row>
    <row r="1978" spans="1:36" ht="10" customHeight="1" x14ac:dyDescent="0.2">
      <c r="A1978" s="5" t="s">
        <v>4712</v>
      </c>
      <c r="B1978" s="5" t="s">
        <v>4713</v>
      </c>
      <c r="C1978" s="5" t="s">
        <v>1314</v>
      </c>
      <c r="D1978" s="5" t="s">
        <v>4808</v>
      </c>
      <c r="E1978" s="10" t="s">
        <v>57</v>
      </c>
      <c r="F1978" s="5" t="s">
        <v>4714</v>
      </c>
      <c r="I1978" s="11" t="s">
        <v>4715</v>
      </c>
      <c r="K1978" s="12"/>
      <c r="O1978" s="12"/>
      <c r="P1978" s="13">
        <v>2686257</v>
      </c>
      <c r="Q1978" s="13">
        <v>2743576</v>
      </c>
      <c r="S1978" s="13">
        <v>2713903</v>
      </c>
      <c r="U1978" s="13">
        <v>2713903</v>
      </c>
      <c r="AC1978" s="16" t="str">
        <f t="shared" si="90"/>
        <v/>
      </c>
      <c r="AD1978" s="17">
        <f t="shared" si="91"/>
        <v>2713903</v>
      </c>
      <c r="AE1978" s="17">
        <f t="shared" si="92"/>
        <v>0</v>
      </c>
      <c r="AF1978" s="10" t="s">
        <v>4809</v>
      </c>
      <c r="AG1978" s="5" t="s">
        <v>4806</v>
      </c>
      <c r="AH1978" s="5" t="s">
        <v>4717</v>
      </c>
      <c r="AI1978" s="5" t="s">
        <v>4810</v>
      </c>
    </row>
    <row r="1979" spans="1:36" ht="10" customHeight="1" x14ac:dyDescent="0.2">
      <c r="A1979" s="5" t="s">
        <v>4712</v>
      </c>
      <c r="B1979" s="5" t="s">
        <v>4713</v>
      </c>
      <c r="C1979" s="5" t="s">
        <v>4277</v>
      </c>
      <c r="D1979" s="5" t="s">
        <v>4811</v>
      </c>
      <c r="E1979" s="10" t="s">
        <v>57</v>
      </c>
      <c r="F1979" s="5" t="s">
        <v>4714</v>
      </c>
      <c r="I1979" s="11" t="s">
        <v>4715</v>
      </c>
      <c r="K1979" s="12"/>
      <c r="O1979" s="12"/>
      <c r="P1979" s="13">
        <v>90272</v>
      </c>
      <c r="Q1979" s="13">
        <v>307237</v>
      </c>
      <c r="S1979" s="13">
        <v>814422</v>
      </c>
      <c r="U1979" s="13">
        <v>814422</v>
      </c>
      <c r="AC1979" s="16" t="str">
        <f t="shared" si="90"/>
        <v/>
      </c>
      <c r="AD1979" s="17">
        <f t="shared" si="91"/>
        <v>814422</v>
      </c>
      <c r="AE1979" s="17">
        <f t="shared" si="92"/>
        <v>0</v>
      </c>
      <c r="AF1979" s="10" t="s">
        <v>4812</v>
      </c>
      <c r="AG1979" s="5" t="s">
        <v>4806</v>
      </c>
      <c r="AH1979" s="5" t="s">
        <v>4717</v>
      </c>
      <c r="AI1979" s="5" t="s">
        <v>4813</v>
      </c>
    </row>
    <row r="1980" spans="1:36" ht="10" customHeight="1" x14ac:dyDescent="0.2">
      <c r="A1980" s="5" t="s">
        <v>4712</v>
      </c>
      <c r="B1980" s="5" t="s">
        <v>4713</v>
      </c>
      <c r="C1980" s="5" t="s">
        <v>4814</v>
      </c>
      <c r="D1980" s="5" t="s">
        <v>4815</v>
      </c>
      <c r="E1980" s="10" t="s">
        <v>57</v>
      </c>
      <c r="F1980" s="5" t="s">
        <v>4714</v>
      </c>
      <c r="I1980" s="11" t="s">
        <v>4715</v>
      </c>
      <c r="K1980" s="12"/>
      <c r="O1980" s="12"/>
      <c r="P1980" s="13">
        <v>660585</v>
      </c>
      <c r="Q1980" s="13">
        <v>715100</v>
      </c>
      <c r="S1980" s="13">
        <v>696056</v>
      </c>
      <c r="U1980" s="13">
        <v>696056</v>
      </c>
      <c r="AC1980" s="16" t="str">
        <f t="shared" si="90"/>
        <v/>
      </c>
      <c r="AD1980" s="17">
        <f t="shared" si="91"/>
        <v>696056</v>
      </c>
      <c r="AE1980" s="17">
        <f t="shared" si="92"/>
        <v>0</v>
      </c>
      <c r="AF1980" s="10" t="s">
        <v>4816</v>
      </c>
      <c r="AG1980" s="5" t="s">
        <v>4806</v>
      </c>
      <c r="AH1980" s="5" t="s">
        <v>4717</v>
      </c>
      <c r="AI1980" s="5" t="s">
        <v>4817</v>
      </c>
    </row>
    <row r="1981" spans="1:36" ht="10" customHeight="1" x14ac:dyDescent="0.2">
      <c r="A1981" s="5" t="s">
        <v>4712</v>
      </c>
      <c r="B1981" s="5" t="s">
        <v>4713</v>
      </c>
      <c r="C1981" s="5" t="s">
        <v>4818</v>
      </c>
      <c r="D1981" s="5" t="s">
        <v>4819</v>
      </c>
      <c r="E1981" s="10" t="s">
        <v>57</v>
      </c>
      <c r="F1981" s="5" t="s">
        <v>4714</v>
      </c>
      <c r="I1981" s="11">
        <v>6</v>
      </c>
      <c r="K1981" s="12"/>
      <c r="O1981" s="12"/>
      <c r="P1981" s="13">
        <v>159840</v>
      </c>
      <c r="Q1981" s="13">
        <v>160689</v>
      </c>
      <c r="S1981" s="13">
        <v>170409</v>
      </c>
      <c r="U1981" s="13">
        <v>170409</v>
      </c>
      <c r="AC1981" s="16" t="str">
        <f t="shared" si="90"/>
        <v/>
      </c>
      <c r="AD1981" s="17">
        <f t="shared" si="91"/>
        <v>170409</v>
      </c>
      <c r="AE1981" s="17">
        <f t="shared" si="92"/>
        <v>0</v>
      </c>
      <c r="AF1981" s="10" t="s">
        <v>4820</v>
      </c>
      <c r="AG1981" s="5" t="s">
        <v>4806</v>
      </c>
      <c r="AH1981" s="5" t="s">
        <v>4717</v>
      </c>
      <c r="AI1981" s="5" t="s">
        <v>4821</v>
      </c>
    </row>
    <row r="1982" spans="1:36" ht="10" customHeight="1" x14ac:dyDescent="0.2">
      <c r="A1982" s="5" t="s">
        <v>4712</v>
      </c>
      <c r="B1982" s="5" t="s">
        <v>4713</v>
      </c>
      <c r="C1982" s="5" t="s">
        <v>4822</v>
      </c>
      <c r="D1982" s="5" t="s">
        <v>4823</v>
      </c>
      <c r="E1982" s="10" t="s">
        <v>57</v>
      </c>
      <c r="F1982" s="5" t="s">
        <v>4714</v>
      </c>
      <c r="I1982" s="11">
        <v>2</v>
      </c>
      <c r="K1982" s="12"/>
      <c r="O1982" s="12"/>
      <c r="P1982" s="13">
        <v>135824</v>
      </c>
      <c r="Q1982" s="13">
        <v>464072</v>
      </c>
      <c r="S1982" s="13">
        <v>447544</v>
      </c>
      <c r="U1982" s="13">
        <v>447544</v>
      </c>
      <c r="AC1982" s="16" t="str">
        <f t="shared" si="90"/>
        <v/>
      </c>
      <c r="AD1982" s="17">
        <f t="shared" si="91"/>
        <v>447544</v>
      </c>
      <c r="AE1982" s="17">
        <f t="shared" si="92"/>
        <v>0</v>
      </c>
      <c r="AF1982" s="10" t="s">
        <v>4824</v>
      </c>
      <c r="AG1982" s="5" t="s">
        <v>2152</v>
      </c>
      <c r="AH1982" s="5" t="s">
        <v>4717</v>
      </c>
      <c r="AI1982" s="5" t="s">
        <v>4825</v>
      </c>
    </row>
    <row r="1983" spans="1:36" ht="10" customHeight="1" x14ac:dyDescent="0.2">
      <c r="A1983" s="5" t="s">
        <v>4712</v>
      </c>
      <c r="B1983" s="5" t="s">
        <v>4713</v>
      </c>
      <c r="C1983" s="5" t="s">
        <v>4826</v>
      </c>
      <c r="D1983" s="5" t="s">
        <v>4827</v>
      </c>
      <c r="E1983" s="10" t="s">
        <v>57</v>
      </c>
      <c r="F1983" s="5" t="s">
        <v>4714</v>
      </c>
      <c r="I1983" s="11" t="s">
        <v>4715</v>
      </c>
      <c r="K1983" s="12"/>
      <c r="O1983" s="12"/>
      <c r="P1983" s="13">
        <v>322352</v>
      </c>
      <c r="Q1983" s="13">
        <v>227588</v>
      </c>
      <c r="S1983" s="13">
        <v>236115</v>
      </c>
      <c r="U1983" s="13">
        <v>236115</v>
      </c>
      <c r="AC1983" s="16" t="str">
        <f t="shared" si="90"/>
        <v/>
      </c>
      <c r="AD1983" s="17">
        <f t="shared" si="91"/>
        <v>236115</v>
      </c>
      <c r="AE1983" s="17">
        <f t="shared" si="92"/>
        <v>0</v>
      </c>
      <c r="AF1983" s="10" t="s">
        <v>4828</v>
      </c>
      <c r="AG1983" s="5" t="s">
        <v>2152</v>
      </c>
      <c r="AH1983" s="5" t="s">
        <v>4717</v>
      </c>
      <c r="AI1983" s="5" t="s">
        <v>4829</v>
      </c>
    </row>
    <row r="1984" spans="1:36" ht="10" customHeight="1" x14ac:dyDescent="0.2">
      <c r="A1984" s="5" t="s">
        <v>4712</v>
      </c>
      <c r="B1984" s="5" t="s">
        <v>4713</v>
      </c>
      <c r="C1984" s="5" t="s">
        <v>4830</v>
      </c>
      <c r="D1984" s="5" t="s">
        <v>4831</v>
      </c>
      <c r="E1984" s="10" t="s">
        <v>57</v>
      </c>
      <c r="F1984" s="5" t="s">
        <v>4714</v>
      </c>
      <c r="I1984" s="11">
        <v>2</v>
      </c>
      <c r="K1984" s="10" t="s">
        <v>50</v>
      </c>
      <c r="L1984" s="5" t="s">
        <v>51</v>
      </c>
      <c r="M1984" s="5" t="s">
        <v>52</v>
      </c>
      <c r="N1984" s="5" t="s">
        <v>88</v>
      </c>
      <c r="O1984" s="12"/>
      <c r="S1984" s="13">
        <v>142049</v>
      </c>
      <c r="U1984" s="13">
        <v>142049</v>
      </c>
      <c r="AC1984" s="16" t="str">
        <f t="shared" si="90"/>
        <v/>
      </c>
      <c r="AD1984" s="17">
        <f t="shared" si="91"/>
        <v>142049</v>
      </c>
      <c r="AE1984" s="17">
        <f t="shared" si="92"/>
        <v>0</v>
      </c>
      <c r="AF1984" s="10" t="s">
        <v>4832</v>
      </c>
      <c r="AG1984" s="5" t="s">
        <v>2001</v>
      </c>
      <c r="AH1984" s="5" t="s">
        <v>4717</v>
      </c>
    </row>
    <row r="1985" spans="1:34" ht="10" customHeight="1" x14ac:dyDescent="0.2">
      <c r="A1985" s="5" t="s">
        <v>4712</v>
      </c>
      <c r="B1985" s="5" t="s">
        <v>4713</v>
      </c>
      <c r="C1985" s="5" t="s">
        <v>4833</v>
      </c>
      <c r="D1985" s="5" t="s">
        <v>4834</v>
      </c>
      <c r="E1985" s="10" t="s">
        <v>57</v>
      </c>
      <c r="F1985" s="5" t="s">
        <v>4714</v>
      </c>
      <c r="I1985" s="11">
        <v>2</v>
      </c>
      <c r="K1985" s="10" t="s">
        <v>50</v>
      </c>
      <c r="L1985" s="5" t="s">
        <v>51</v>
      </c>
      <c r="M1985" s="5" t="s">
        <v>52</v>
      </c>
      <c r="N1985" s="5" t="s">
        <v>88</v>
      </c>
      <c r="O1985" s="12"/>
      <c r="S1985" s="13">
        <v>178950</v>
      </c>
      <c r="U1985" s="13">
        <v>178950</v>
      </c>
      <c r="AC1985" s="16" t="str">
        <f t="shared" si="90"/>
        <v/>
      </c>
      <c r="AD1985" s="17">
        <f t="shared" si="91"/>
        <v>178950</v>
      </c>
      <c r="AE1985" s="17">
        <f t="shared" si="92"/>
        <v>0</v>
      </c>
      <c r="AF1985" s="10" t="s">
        <v>4832</v>
      </c>
      <c r="AG1985" s="5" t="s">
        <v>2001</v>
      </c>
      <c r="AH1985" s="5" t="s">
        <v>4717</v>
      </c>
    </row>
    <row r="1986" spans="1:34" ht="10" customHeight="1" x14ac:dyDescent="0.2">
      <c r="A1986" s="5" t="s">
        <v>4712</v>
      </c>
      <c r="B1986" s="5" t="s">
        <v>4713</v>
      </c>
      <c r="C1986" s="5" t="s">
        <v>4835</v>
      </c>
      <c r="D1986" s="5" t="s">
        <v>4836</v>
      </c>
      <c r="E1986" s="10" t="s">
        <v>57</v>
      </c>
      <c r="F1986" s="5" t="s">
        <v>4714</v>
      </c>
      <c r="I1986" s="11">
        <v>2</v>
      </c>
      <c r="K1986" s="10" t="s">
        <v>50</v>
      </c>
      <c r="L1986" s="5" t="s">
        <v>51</v>
      </c>
      <c r="M1986" s="5" t="s">
        <v>52</v>
      </c>
      <c r="N1986" s="5" t="s">
        <v>88</v>
      </c>
      <c r="O1986" s="12"/>
      <c r="S1986" s="13">
        <v>162742</v>
      </c>
      <c r="U1986" s="13">
        <v>162742</v>
      </c>
      <c r="AC1986" s="16" t="str">
        <f t="shared" si="90"/>
        <v/>
      </c>
      <c r="AD1986" s="17">
        <f t="shared" si="91"/>
        <v>162742</v>
      </c>
      <c r="AE1986" s="17">
        <f t="shared" si="92"/>
        <v>0</v>
      </c>
      <c r="AF1986" s="10" t="s">
        <v>4832</v>
      </c>
      <c r="AG1986" s="5" t="s">
        <v>2001</v>
      </c>
      <c r="AH1986" s="5" t="s">
        <v>4717</v>
      </c>
    </row>
    <row r="1987" spans="1:34" ht="10" customHeight="1" x14ac:dyDescent="0.2">
      <c r="A1987" s="5" t="s">
        <v>4712</v>
      </c>
      <c r="B1987" s="5" t="s">
        <v>4713</v>
      </c>
      <c r="C1987" s="5" t="s">
        <v>4837</v>
      </c>
      <c r="D1987" s="5" t="s">
        <v>4838</v>
      </c>
      <c r="E1987" s="10" t="s">
        <v>57</v>
      </c>
      <c r="F1987" s="5" t="s">
        <v>4714</v>
      </c>
      <c r="I1987" s="11">
        <v>2</v>
      </c>
      <c r="K1987" s="10" t="s">
        <v>50</v>
      </c>
      <c r="L1987" s="5" t="s">
        <v>51</v>
      </c>
      <c r="M1987" s="5" t="s">
        <v>69</v>
      </c>
      <c r="N1987" s="5" t="s">
        <v>70</v>
      </c>
      <c r="O1987" s="12"/>
      <c r="S1987" s="13">
        <v>163559</v>
      </c>
      <c r="U1987" s="13">
        <v>163559</v>
      </c>
      <c r="AC1987" s="16" t="str">
        <f t="shared" si="90"/>
        <v/>
      </c>
      <c r="AD1987" s="17">
        <f t="shared" si="91"/>
        <v>163559</v>
      </c>
      <c r="AE1987" s="17">
        <f t="shared" si="92"/>
        <v>0</v>
      </c>
      <c r="AF1987" s="10" t="s">
        <v>4832</v>
      </c>
      <c r="AG1987" s="5" t="s">
        <v>2001</v>
      </c>
      <c r="AH1987" s="5" t="s">
        <v>4717</v>
      </c>
    </row>
    <row r="1988" spans="1:34" ht="10" customHeight="1" x14ac:dyDescent="0.2">
      <c r="A1988" s="5" t="s">
        <v>4712</v>
      </c>
      <c r="B1988" s="5" t="s">
        <v>4713</v>
      </c>
      <c r="C1988" s="5" t="s">
        <v>4839</v>
      </c>
      <c r="D1988" s="5" t="s">
        <v>4840</v>
      </c>
      <c r="E1988" s="10" t="s">
        <v>57</v>
      </c>
      <c r="F1988" s="5" t="s">
        <v>4714</v>
      </c>
      <c r="I1988" s="11">
        <v>2</v>
      </c>
      <c r="K1988" s="10" t="s">
        <v>50</v>
      </c>
      <c r="L1988" s="5" t="s">
        <v>51</v>
      </c>
      <c r="M1988" s="5" t="s">
        <v>69</v>
      </c>
      <c r="N1988" s="5" t="s">
        <v>70</v>
      </c>
      <c r="O1988" s="12"/>
      <c r="S1988" s="13">
        <v>12307</v>
      </c>
      <c r="U1988" s="13">
        <v>12307</v>
      </c>
      <c r="AC1988" s="16" t="str">
        <f t="shared" si="90"/>
        <v/>
      </c>
      <c r="AD1988" s="17">
        <f t="shared" si="91"/>
        <v>12307</v>
      </c>
      <c r="AE1988" s="17">
        <f t="shared" si="92"/>
        <v>0</v>
      </c>
      <c r="AF1988" s="10" t="s">
        <v>4832</v>
      </c>
      <c r="AG1988" s="5" t="s">
        <v>2001</v>
      </c>
      <c r="AH1988" s="5" t="s">
        <v>4717</v>
      </c>
    </row>
    <row r="1989" spans="1:34" ht="10" customHeight="1" x14ac:dyDescent="0.2">
      <c r="A1989" s="5" t="s">
        <v>4712</v>
      </c>
      <c r="B1989" s="5" t="s">
        <v>4713</v>
      </c>
      <c r="C1989" s="5" t="s">
        <v>4841</v>
      </c>
      <c r="D1989" s="5" t="s">
        <v>4842</v>
      </c>
      <c r="E1989" s="10" t="s">
        <v>57</v>
      </c>
      <c r="F1989" s="5" t="s">
        <v>4714</v>
      </c>
      <c r="I1989" s="11">
        <v>2</v>
      </c>
      <c r="K1989" s="10" t="s">
        <v>50</v>
      </c>
      <c r="L1989" s="5" t="s">
        <v>51</v>
      </c>
      <c r="M1989" s="5" t="s">
        <v>52</v>
      </c>
      <c r="N1989" s="5" t="s">
        <v>88</v>
      </c>
      <c r="O1989" s="12"/>
      <c r="S1989" s="13">
        <v>165354</v>
      </c>
      <c r="U1989" s="13">
        <v>165354</v>
      </c>
      <c r="AC1989" s="16" t="str">
        <f t="shared" si="90"/>
        <v/>
      </c>
      <c r="AD1989" s="17">
        <f t="shared" si="91"/>
        <v>165354</v>
      </c>
      <c r="AE1989" s="17">
        <f t="shared" si="92"/>
        <v>0</v>
      </c>
      <c r="AF1989" s="10" t="s">
        <v>4832</v>
      </c>
      <c r="AG1989" s="5" t="s">
        <v>2001</v>
      </c>
      <c r="AH1989" s="5" t="s">
        <v>4717</v>
      </c>
    </row>
    <row r="1990" spans="1:34" ht="10" customHeight="1" x14ac:dyDescent="0.2">
      <c r="A1990" s="5" t="s">
        <v>4712</v>
      </c>
      <c r="B1990" s="5" t="s">
        <v>4713</v>
      </c>
      <c r="C1990" s="5" t="s">
        <v>4843</v>
      </c>
      <c r="D1990" s="5" t="s">
        <v>4844</v>
      </c>
      <c r="E1990" s="10" t="s">
        <v>57</v>
      </c>
      <c r="F1990" s="5" t="s">
        <v>4714</v>
      </c>
      <c r="I1990" s="11">
        <v>2</v>
      </c>
      <c r="K1990" s="10" t="s">
        <v>50</v>
      </c>
      <c r="L1990" s="5" t="s">
        <v>51</v>
      </c>
      <c r="M1990" s="5" t="s">
        <v>52</v>
      </c>
      <c r="N1990" s="5" t="s">
        <v>88</v>
      </c>
      <c r="O1990" s="12"/>
      <c r="S1990" s="13">
        <v>50000</v>
      </c>
      <c r="U1990" s="13">
        <v>50000</v>
      </c>
      <c r="AC1990" s="16" t="str">
        <f t="shared" ref="AC1990:AC2053" si="93">IF(OR(E1990="",E1990="[PARENT]"),"ADD",IF(E1990="[ALT_VIEW]","ALT",""))</f>
        <v/>
      </c>
      <c r="AD1990" s="17">
        <f t="shared" ref="AD1990:AD2053" si="94">IF(Y1990&lt;&gt;"",Y1990,IF(U1990&lt;&gt;"",U1990,S1990))</f>
        <v>50000</v>
      </c>
      <c r="AE1990" s="17">
        <f t="shared" ref="AE1990:AE2053" si="95">IF(AB1990&lt;&gt;"",AB1990,Z1990)</f>
        <v>0</v>
      </c>
      <c r="AF1990" s="10" t="s">
        <v>4832</v>
      </c>
      <c r="AG1990" s="5" t="s">
        <v>2001</v>
      </c>
      <c r="AH1990" s="5" t="s">
        <v>4717</v>
      </c>
    </row>
    <row r="1991" spans="1:34" ht="10" customHeight="1" x14ac:dyDescent="0.2">
      <c r="A1991" s="5" t="s">
        <v>4712</v>
      </c>
      <c r="B1991" s="5" t="s">
        <v>4713</v>
      </c>
      <c r="C1991" s="5" t="s">
        <v>4845</v>
      </c>
      <c r="D1991" s="5" t="s">
        <v>4846</v>
      </c>
      <c r="E1991" s="10" t="s">
        <v>57</v>
      </c>
      <c r="F1991" s="5" t="s">
        <v>4714</v>
      </c>
      <c r="I1991" s="11">
        <v>2</v>
      </c>
      <c r="K1991" s="10" t="s">
        <v>50</v>
      </c>
      <c r="L1991" s="5" t="s">
        <v>51</v>
      </c>
      <c r="M1991" s="5" t="s">
        <v>119</v>
      </c>
      <c r="N1991" s="5" t="s">
        <v>120</v>
      </c>
      <c r="O1991" s="12"/>
      <c r="S1991" s="13">
        <v>20881</v>
      </c>
      <c r="U1991" s="13">
        <v>20881</v>
      </c>
      <c r="AC1991" s="16" t="str">
        <f t="shared" si="93"/>
        <v/>
      </c>
      <c r="AD1991" s="17">
        <f t="shared" si="94"/>
        <v>20881</v>
      </c>
      <c r="AE1991" s="17">
        <f t="shared" si="95"/>
        <v>0</v>
      </c>
      <c r="AF1991" s="10" t="s">
        <v>4832</v>
      </c>
      <c r="AG1991" s="5" t="s">
        <v>2014</v>
      </c>
      <c r="AH1991" s="5" t="s">
        <v>4717</v>
      </c>
    </row>
    <row r="1992" spans="1:34" ht="10" customHeight="1" x14ac:dyDescent="0.2">
      <c r="A1992" s="5" t="s">
        <v>4712</v>
      </c>
      <c r="B1992" s="5" t="s">
        <v>4713</v>
      </c>
      <c r="C1992" s="5" t="s">
        <v>4847</v>
      </c>
      <c r="D1992" s="5" t="s">
        <v>4848</v>
      </c>
      <c r="E1992" s="10" t="s">
        <v>57</v>
      </c>
      <c r="F1992" s="5" t="s">
        <v>4714</v>
      </c>
      <c r="I1992" s="11">
        <v>2</v>
      </c>
      <c r="K1992" s="10" t="s">
        <v>50</v>
      </c>
      <c r="L1992" s="5" t="s">
        <v>51</v>
      </c>
      <c r="M1992" s="5" t="s">
        <v>119</v>
      </c>
      <c r="N1992" s="5" t="s">
        <v>120</v>
      </c>
      <c r="O1992" s="12"/>
      <c r="S1992" s="13">
        <v>3794</v>
      </c>
      <c r="U1992" s="13">
        <v>3794</v>
      </c>
      <c r="AC1992" s="16" t="str">
        <f t="shared" si="93"/>
        <v/>
      </c>
      <c r="AD1992" s="17">
        <f t="shared" si="94"/>
        <v>3794</v>
      </c>
      <c r="AE1992" s="17">
        <f t="shared" si="95"/>
        <v>0</v>
      </c>
      <c r="AF1992" s="10" t="s">
        <v>4832</v>
      </c>
      <c r="AG1992" s="5" t="s">
        <v>2014</v>
      </c>
      <c r="AH1992" s="5" t="s">
        <v>4717</v>
      </c>
    </row>
    <row r="1993" spans="1:34" ht="10" customHeight="1" x14ac:dyDescent="0.2">
      <c r="A1993" s="5" t="s">
        <v>4712</v>
      </c>
      <c r="B1993" s="5" t="s">
        <v>4713</v>
      </c>
      <c r="C1993" s="5" t="s">
        <v>4849</v>
      </c>
      <c r="D1993" s="5" t="s">
        <v>4850</v>
      </c>
      <c r="E1993" s="10" t="s">
        <v>57</v>
      </c>
      <c r="F1993" s="5" t="s">
        <v>4714</v>
      </c>
      <c r="I1993" s="11">
        <v>2</v>
      </c>
      <c r="K1993" s="10" t="s">
        <v>50</v>
      </c>
      <c r="L1993" s="5" t="s">
        <v>51</v>
      </c>
      <c r="M1993" s="5" t="s">
        <v>69</v>
      </c>
      <c r="N1993" s="5" t="s">
        <v>70</v>
      </c>
      <c r="O1993" s="12"/>
      <c r="S1993" s="13">
        <v>16772</v>
      </c>
      <c r="U1993" s="13">
        <v>16772</v>
      </c>
      <c r="AC1993" s="16" t="str">
        <f t="shared" si="93"/>
        <v/>
      </c>
      <c r="AD1993" s="17">
        <f t="shared" si="94"/>
        <v>16772</v>
      </c>
      <c r="AE1993" s="17">
        <f t="shared" si="95"/>
        <v>0</v>
      </c>
      <c r="AF1993" s="10" t="s">
        <v>4832</v>
      </c>
      <c r="AG1993" s="5" t="s">
        <v>2014</v>
      </c>
      <c r="AH1993" s="5" t="s">
        <v>4717</v>
      </c>
    </row>
    <row r="1994" spans="1:34" ht="10" customHeight="1" x14ac:dyDescent="0.2">
      <c r="A1994" s="5" t="s">
        <v>4712</v>
      </c>
      <c r="B1994" s="5" t="s">
        <v>4713</v>
      </c>
      <c r="C1994" s="5" t="s">
        <v>4851</v>
      </c>
      <c r="D1994" s="5" t="s">
        <v>4852</v>
      </c>
      <c r="E1994" s="10" t="s">
        <v>57</v>
      </c>
      <c r="F1994" s="5" t="s">
        <v>4714</v>
      </c>
      <c r="I1994" s="11">
        <v>2</v>
      </c>
      <c r="K1994" s="10" t="s">
        <v>50</v>
      </c>
      <c r="L1994" s="5" t="s">
        <v>51</v>
      </c>
      <c r="M1994" s="5" t="s">
        <v>149</v>
      </c>
      <c r="N1994" s="5" t="s">
        <v>150</v>
      </c>
      <c r="O1994" s="12"/>
      <c r="S1994" s="13">
        <v>10756</v>
      </c>
      <c r="U1994" s="13">
        <v>10756</v>
      </c>
      <c r="AC1994" s="16" t="str">
        <f t="shared" si="93"/>
        <v/>
      </c>
      <c r="AD1994" s="17">
        <f t="shared" si="94"/>
        <v>10756</v>
      </c>
      <c r="AE1994" s="17">
        <f t="shared" si="95"/>
        <v>0</v>
      </c>
      <c r="AF1994" s="10" t="s">
        <v>4832</v>
      </c>
      <c r="AG1994" s="5" t="s">
        <v>2014</v>
      </c>
      <c r="AH1994" s="5" t="s">
        <v>4717</v>
      </c>
    </row>
    <row r="1995" spans="1:34" ht="10" customHeight="1" x14ac:dyDescent="0.2">
      <c r="A1995" s="5" t="s">
        <v>4712</v>
      </c>
      <c r="B1995" s="5" t="s">
        <v>4713</v>
      </c>
      <c r="C1995" s="5" t="s">
        <v>4853</v>
      </c>
      <c r="D1995" s="5" t="s">
        <v>4854</v>
      </c>
      <c r="E1995" s="10" t="s">
        <v>57</v>
      </c>
      <c r="F1995" s="5" t="s">
        <v>4714</v>
      </c>
      <c r="I1995" s="11">
        <v>2</v>
      </c>
      <c r="K1995" s="10" t="s">
        <v>50</v>
      </c>
      <c r="L1995" s="5" t="s">
        <v>51</v>
      </c>
      <c r="M1995" s="5" t="s">
        <v>52</v>
      </c>
      <c r="N1995" s="5" t="s">
        <v>4752</v>
      </c>
      <c r="O1995" s="12"/>
      <c r="S1995" s="13">
        <v>91063</v>
      </c>
      <c r="U1995" s="13">
        <v>91063</v>
      </c>
      <c r="AC1995" s="16" t="str">
        <f t="shared" si="93"/>
        <v/>
      </c>
      <c r="AD1995" s="17">
        <f t="shared" si="94"/>
        <v>91063</v>
      </c>
      <c r="AE1995" s="17">
        <f t="shared" si="95"/>
        <v>0</v>
      </c>
      <c r="AF1995" s="10" t="s">
        <v>4832</v>
      </c>
      <c r="AG1995" s="5" t="s">
        <v>2014</v>
      </c>
      <c r="AH1995" s="5" t="s">
        <v>4717</v>
      </c>
    </row>
    <row r="1996" spans="1:34" ht="10" customHeight="1" x14ac:dyDescent="0.2">
      <c r="A1996" s="5" t="s">
        <v>4712</v>
      </c>
      <c r="B1996" s="5" t="s">
        <v>4713</v>
      </c>
      <c r="C1996" s="5" t="s">
        <v>4855</v>
      </c>
      <c r="D1996" s="5" t="s">
        <v>4856</v>
      </c>
      <c r="E1996" s="10" t="s">
        <v>57</v>
      </c>
      <c r="F1996" s="5" t="s">
        <v>4714</v>
      </c>
      <c r="I1996" s="11">
        <v>2</v>
      </c>
      <c r="K1996" s="10" t="s">
        <v>50</v>
      </c>
      <c r="L1996" s="5" t="s">
        <v>51</v>
      </c>
      <c r="M1996" s="5" t="s">
        <v>69</v>
      </c>
      <c r="N1996" s="5" t="s">
        <v>70</v>
      </c>
      <c r="O1996" s="12"/>
      <c r="S1996" s="13">
        <v>15868</v>
      </c>
      <c r="U1996" s="13">
        <v>15868</v>
      </c>
      <c r="AC1996" s="16" t="str">
        <f t="shared" si="93"/>
        <v/>
      </c>
      <c r="AD1996" s="17">
        <f t="shared" si="94"/>
        <v>15868</v>
      </c>
      <c r="AE1996" s="17">
        <f t="shared" si="95"/>
        <v>0</v>
      </c>
      <c r="AF1996" s="10" t="s">
        <v>4832</v>
      </c>
      <c r="AG1996" s="5" t="s">
        <v>2014</v>
      </c>
      <c r="AH1996" s="5" t="s">
        <v>4717</v>
      </c>
    </row>
    <row r="1997" spans="1:34" ht="10" customHeight="1" x14ac:dyDescent="0.2">
      <c r="A1997" s="5" t="s">
        <v>4712</v>
      </c>
      <c r="B1997" s="5" t="s">
        <v>4713</v>
      </c>
      <c r="C1997" s="5" t="s">
        <v>4857</v>
      </c>
      <c r="D1997" s="5" t="s">
        <v>4858</v>
      </c>
      <c r="E1997" s="10" t="s">
        <v>57</v>
      </c>
      <c r="F1997" s="5" t="s">
        <v>4714</v>
      </c>
      <c r="I1997" s="11">
        <v>2</v>
      </c>
      <c r="K1997" s="10" t="s">
        <v>50</v>
      </c>
      <c r="L1997" s="5" t="s">
        <v>51</v>
      </c>
      <c r="M1997" s="5" t="s">
        <v>4859</v>
      </c>
      <c r="N1997" s="5" t="s">
        <v>4860</v>
      </c>
      <c r="O1997" s="12"/>
      <c r="S1997" s="13">
        <v>3292</v>
      </c>
      <c r="U1997" s="13">
        <v>3292</v>
      </c>
      <c r="AC1997" s="16" t="str">
        <f t="shared" si="93"/>
        <v/>
      </c>
      <c r="AD1997" s="17">
        <f t="shared" si="94"/>
        <v>3292</v>
      </c>
      <c r="AE1997" s="17">
        <f t="shared" si="95"/>
        <v>0</v>
      </c>
      <c r="AF1997" s="10" t="s">
        <v>4832</v>
      </c>
      <c r="AG1997" s="5" t="s">
        <v>2014</v>
      </c>
      <c r="AH1997" s="5" t="s">
        <v>4717</v>
      </c>
    </row>
    <row r="1998" spans="1:34" ht="10" customHeight="1" x14ac:dyDescent="0.2">
      <c r="A1998" s="5" t="s">
        <v>4712</v>
      </c>
      <c r="B1998" s="5" t="s">
        <v>4713</v>
      </c>
      <c r="C1998" s="5" t="s">
        <v>4861</v>
      </c>
      <c r="D1998" s="5" t="s">
        <v>4862</v>
      </c>
      <c r="E1998" s="10" t="s">
        <v>57</v>
      </c>
      <c r="F1998" s="5" t="s">
        <v>4714</v>
      </c>
      <c r="I1998" s="11">
        <v>2</v>
      </c>
      <c r="K1998" s="10" t="s">
        <v>50</v>
      </c>
      <c r="L1998" s="5" t="s">
        <v>51</v>
      </c>
      <c r="M1998" s="5" t="s">
        <v>69</v>
      </c>
      <c r="N1998" s="5" t="s">
        <v>70</v>
      </c>
      <c r="O1998" s="12"/>
      <c r="S1998" s="13">
        <v>40103</v>
      </c>
      <c r="U1998" s="13">
        <v>40103</v>
      </c>
      <c r="AC1998" s="16" t="str">
        <f t="shared" si="93"/>
        <v/>
      </c>
      <c r="AD1998" s="17">
        <f t="shared" si="94"/>
        <v>40103</v>
      </c>
      <c r="AE1998" s="17">
        <f t="shared" si="95"/>
        <v>0</v>
      </c>
      <c r="AF1998" s="10" t="s">
        <v>4832</v>
      </c>
      <c r="AG1998" s="5" t="s">
        <v>2014</v>
      </c>
      <c r="AH1998" s="5" t="s">
        <v>4717</v>
      </c>
    </row>
    <row r="1999" spans="1:34" ht="10" customHeight="1" x14ac:dyDescent="0.2">
      <c r="A1999" s="5" t="s">
        <v>4712</v>
      </c>
      <c r="B1999" s="5" t="s">
        <v>4713</v>
      </c>
      <c r="C1999" s="5" t="s">
        <v>4863</v>
      </c>
      <c r="D1999" s="5" t="s">
        <v>4864</v>
      </c>
      <c r="E1999" s="10" t="s">
        <v>57</v>
      </c>
      <c r="F1999" s="5" t="s">
        <v>4714</v>
      </c>
      <c r="I1999" s="11">
        <v>2</v>
      </c>
      <c r="K1999" s="10" t="s">
        <v>50</v>
      </c>
      <c r="L1999" s="5" t="s">
        <v>51</v>
      </c>
      <c r="M1999" s="5" t="s">
        <v>119</v>
      </c>
      <c r="N1999" s="5" t="s">
        <v>120</v>
      </c>
      <c r="O1999" s="12"/>
      <c r="S1999" s="13">
        <v>24811</v>
      </c>
      <c r="U1999" s="13">
        <v>24811</v>
      </c>
      <c r="AC1999" s="16" t="str">
        <f t="shared" si="93"/>
        <v/>
      </c>
      <c r="AD1999" s="17">
        <f t="shared" si="94"/>
        <v>24811</v>
      </c>
      <c r="AE1999" s="17">
        <f t="shared" si="95"/>
        <v>0</v>
      </c>
      <c r="AF1999" s="10" t="s">
        <v>4832</v>
      </c>
      <c r="AG1999" s="5" t="s">
        <v>2014</v>
      </c>
      <c r="AH1999" s="5" t="s">
        <v>4717</v>
      </c>
    </row>
    <row r="2000" spans="1:34" ht="10" customHeight="1" x14ac:dyDescent="0.2">
      <c r="A2000" s="5" t="s">
        <v>4712</v>
      </c>
      <c r="B2000" s="5" t="s">
        <v>4713</v>
      </c>
      <c r="C2000" s="5" t="s">
        <v>4865</v>
      </c>
      <c r="D2000" s="5" t="s">
        <v>4866</v>
      </c>
      <c r="E2000" s="10" t="s">
        <v>57</v>
      </c>
      <c r="F2000" s="5" t="s">
        <v>4714</v>
      </c>
      <c r="I2000" s="11">
        <v>2</v>
      </c>
      <c r="K2000" s="10" t="s">
        <v>50</v>
      </c>
      <c r="L2000" s="5" t="s">
        <v>51</v>
      </c>
      <c r="M2000" s="5" t="s">
        <v>119</v>
      </c>
      <c r="N2000" s="5" t="s">
        <v>120</v>
      </c>
      <c r="O2000" s="12"/>
      <c r="S2000" s="13">
        <v>22440</v>
      </c>
      <c r="U2000" s="13">
        <v>22440</v>
      </c>
      <c r="AC2000" s="16" t="str">
        <f t="shared" si="93"/>
        <v/>
      </c>
      <c r="AD2000" s="17">
        <f t="shared" si="94"/>
        <v>22440</v>
      </c>
      <c r="AE2000" s="17">
        <f t="shared" si="95"/>
        <v>0</v>
      </c>
      <c r="AF2000" s="10" t="s">
        <v>4832</v>
      </c>
      <c r="AG2000" s="5" t="s">
        <v>2014</v>
      </c>
      <c r="AH2000" s="5" t="s">
        <v>4717</v>
      </c>
    </row>
    <row r="2001" spans="1:34" ht="10" customHeight="1" x14ac:dyDescent="0.2">
      <c r="A2001" s="5" t="s">
        <v>4712</v>
      </c>
      <c r="B2001" s="5" t="s">
        <v>4713</v>
      </c>
      <c r="C2001" s="5" t="s">
        <v>4867</v>
      </c>
      <c r="D2001" s="5" t="s">
        <v>4868</v>
      </c>
      <c r="E2001" s="10" t="s">
        <v>57</v>
      </c>
      <c r="F2001" s="5" t="s">
        <v>4714</v>
      </c>
      <c r="I2001" s="11">
        <v>2</v>
      </c>
      <c r="K2001" s="10" t="s">
        <v>50</v>
      </c>
      <c r="L2001" s="5" t="s">
        <v>51</v>
      </c>
      <c r="M2001" s="5" t="s">
        <v>52</v>
      </c>
      <c r="N2001" s="5" t="s">
        <v>88</v>
      </c>
      <c r="O2001" s="12"/>
      <c r="S2001" s="13">
        <v>168040</v>
      </c>
      <c r="U2001" s="13">
        <v>168040</v>
      </c>
      <c r="AC2001" s="16" t="str">
        <f t="shared" si="93"/>
        <v/>
      </c>
      <c r="AD2001" s="17">
        <f t="shared" si="94"/>
        <v>168040</v>
      </c>
      <c r="AE2001" s="17">
        <f t="shared" si="95"/>
        <v>0</v>
      </c>
      <c r="AF2001" s="10" t="s">
        <v>4832</v>
      </c>
      <c r="AG2001" s="5" t="s">
        <v>2014</v>
      </c>
      <c r="AH2001" s="5" t="s">
        <v>4717</v>
      </c>
    </row>
    <row r="2002" spans="1:34" ht="10" customHeight="1" x14ac:dyDescent="0.2">
      <c r="A2002" s="5" t="s">
        <v>4712</v>
      </c>
      <c r="B2002" s="5" t="s">
        <v>4713</v>
      </c>
      <c r="C2002" s="5" t="s">
        <v>4869</v>
      </c>
      <c r="D2002" s="5" t="s">
        <v>4870</v>
      </c>
      <c r="E2002" s="10" t="s">
        <v>57</v>
      </c>
      <c r="F2002" s="5" t="s">
        <v>4714</v>
      </c>
      <c r="I2002" s="11">
        <v>2</v>
      </c>
      <c r="K2002" s="10" t="s">
        <v>50</v>
      </c>
      <c r="L2002" s="5" t="s">
        <v>51</v>
      </c>
      <c r="M2002" s="5" t="s">
        <v>119</v>
      </c>
      <c r="N2002" s="5" t="s">
        <v>120</v>
      </c>
      <c r="O2002" s="12"/>
      <c r="S2002" s="13">
        <v>3699</v>
      </c>
      <c r="U2002" s="13">
        <v>3699</v>
      </c>
      <c r="AC2002" s="16" t="str">
        <f t="shared" si="93"/>
        <v/>
      </c>
      <c r="AD2002" s="17">
        <f t="shared" si="94"/>
        <v>3699</v>
      </c>
      <c r="AE2002" s="17">
        <f t="shared" si="95"/>
        <v>0</v>
      </c>
      <c r="AF2002" s="10" t="s">
        <v>4832</v>
      </c>
      <c r="AG2002" s="5" t="s">
        <v>2014</v>
      </c>
      <c r="AH2002" s="5" t="s">
        <v>4717</v>
      </c>
    </row>
    <row r="2003" spans="1:34" ht="10" customHeight="1" x14ac:dyDescent="0.2">
      <c r="A2003" s="5" t="s">
        <v>4712</v>
      </c>
      <c r="B2003" s="5" t="s">
        <v>4713</v>
      </c>
      <c r="C2003" s="5" t="s">
        <v>4871</v>
      </c>
      <c r="D2003" s="5" t="s">
        <v>4872</v>
      </c>
      <c r="E2003" s="10" t="s">
        <v>57</v>
      </c>
      <c r="F2003" s="5" t="s">
        <v>4714</v>
      </c>
      <c r="I2003" s="11">
        <v>2</v>
      </c>
      <c r="K2003" s="10" t="s">
        <v>50</v>
      </c>
      <c r="L2003" s="5" t="s">
        <v>51</v>
      </c>
      <c r="M2003" s="5" t="s">
        <v>69</v>
      </c>
      <c r="N2003" s="5" t="s">
        <v>70</v>
      </c>
      <c r="O2003" s="12"/>
      <c r="S2003" s="13">
        <v>18102</v>
      </c>
      <c r="U2003" s="13">
        <v>18102</v>
      </c>
      <c r="AC2003" s="16" t="str">
        <f t="shared" si="93"/>
        <v/>
      </c>
      <c r="AD2003" s="17">
        <f t="shared" si="94"/>
        <v>18102</v>
      </c>
      <c r="AE2003" s="17">
        <f t="shared" si="95"/>
        <v>0</v>
      </c>
      <c r="AF2003" s="10" t="s">
        <v>4832</v>
      </c>
      <c r="AG2003" s="5" t="s">
        <v>2014</v>
      </c>
      <c r="AH2003" s="5" t="s">
        <v>4717</v>
      </c>
    </row>
    <row r="2004" spans="1:34" ht="10" customHeight="1" x14ac:dyDescent="0.2">
      <c r="A2004" s="5" t="s">
        <v>4712</v>
      </c>
      <c r="B2004" s="5" t="s">
        <v>4713</v>
      </c>
      <c r="C2004" s="5" t="s">
        <v>4873</v>
      </c>
      <c r="D2004" s="5" t="s">
        <v>4874</v>
      </c>
      <c r="E2004" s="10" t="s">
        <v>57</v>
      </c>
      <c r="F2004" s="5" t="s">
        <v>4714</v>
      </c>
      <c r="I2004" s="11">
        <v>2</v>
      </c>
      <c r="K2004" s="10" t="s">
        <v>50</v>
      </c>
      <c r="L2004" s="5" t="s">
        <v>51</v>
      </c>
      <c r="M2004" s="5" t="s">
        <v>149</v>
      </c>
      <c r="N2004" s="5" t="s">
        <v>150</v>
      </c>
      <c r="O2004" s="12"/>
      <c r="S2004" s="13">
        <v>29116</v>
      </c>
      <c r="U2004" s="13">
        <v>29116</v>
      </c>
      <c r="AC2004" s="16" t="str">
        <f t="shared" si="93"/>
        <v/>
      </c>
      <c r="AD2004" s="17">
        <f t="shared" si="94"/>
        <v>29116</v>
      </c>
      <c r="AE2004" s="17">
        <f t="shared" si="95"/>
        <v>0</v>
      </c>
      <c r="AF2004" s="10" t="s">
        <v>4832</v>
      </c>
      <c r="AG2004" s="5" t="s">
        <v>2014</v>
      </c>
      <c r="AH2004" s="5" t="s">
        <v>4717</v>
      </c>
    </row>
    <row r="2005" spans="1:34" ht="10" customHeight="1" x14ac:dyDescent="0.2">
      <c r="A2005" s="5" t="s">
        <v>4712</v>
      </c>
      <c r="B2005" s="5" t="s">
        <v>4713</v>
      </c>
      <c r="C2005" s="5" t="s">
        <v>4875</v>
      </c>
      <c r="D2005" s="5" t="s">
        <v>4876</v>
      </c>
      <c r="E2005" s="10" t="s">
        <v>57</v>
      </c>
      <c r="F2005" s="5" t="s">
        <v>4714</v>
      </c>
      <c r="I2005" s="11">
        <v>2</v>
      </c>
      <c r="K2005" s="10" t="s">
        <v>50</v>
      </c>
      <c r="L2005" s="5" t="s">
        <v>51</v>
      </c>
      <c r="M2005" s="5" t="s">
        <v>52</v>
      </c>
      <c r="N2005" s="5" t="s">
        <v>88</v>
      </c>
      <c r="O2005" s="12"/>
      <c r="S2005" s="13">
        <v>133439</v>
      </c>
      <c r="U2005" s="13">
        <v>133439</v>
      </c>
      <c r="AC2005" s="16" t="str">
        <f t="shared" si="93"/>
        <v/>
      </c>
      <c r="AD2005" s="17">
        <f t="shared" si="94"/>
        <v>133439</v>
      </c>
      <c r="AE2005" s="17">
        <f t="shared" si="95"/>
        <v>0</v>
      </c>
      <c r="AF2005" s="10" t="s">
        <v>4832</v>
      </c>
      <c r="AG2005" s="5" t="s">
        <v>2014</v>
      </c>
      <c r="AH2005" s="5" t="s">
        <v>4717</v>
      </c>
    </row>
    <row r="2006" spans="1:34" ht="10" customHeight="1" x14ac:dyDescent="0.2">
      <c r="A2006" s="5" t="s">
        <v>4712</v>
      </c>
      <c r="B2006" s="5" t="s">
        <v>4713</v>
      </c>
      <c r="C2006" s="5" t="s">
        <v>4877</v>
      </c>
      <c r="D2006" s="5" t="s">
        <v>4878</v>
      </c>
      <c r="E2006" s="10" t="s">
        <v>57</v>
      </c>
      <c r="F2006" s="5" t="s">
        <v>4714</v>
      </c>
      <c r="I2006" s="11">
        <v>2</v>
      </c>
      <c r="K2006" s="10" t="s">
        <v>50</v>
      </c>
      <c r="L2006" s="5" t="s">
        <v>51</v>
      </c>
      <c r="M2006" s="5" t="s">
        <v>119</v>
      </c>
      <c r="N2006" s="5" t="s">
        <v>120</v>
      </c>
      <c r="O2006" s="12"/>
      <c r="S2006" s="13">
        <v>4494</v>
      </c>
      <c r="U2006" s="13">
        <v>4494</v>
      </c>
      <c r="AC2006" s="16" t="str">
        <f t="shared" si="93"/>
        <v/>
      </c>
      <c r="AD2006" s="17">
        <f t="shared" si="94"/>
        <v>4494</v>
      </c>
      <c r="AE2006" s="17">
        <f t="shared" si="95"/>
        <v>0</v>
      </c>
      <c r="AF2006" s="10" t="s">
        <v>4832</v>
      </c>
      <c r="AG2006" s="5" t="s">
        <v>2014</v>
      </c>
      <c r="AH2006" s="5" t="s">
        <v>4717</v>
      </c>
    </row>
    <row r="2007" spans="1:34" ht="10" customHeight="1" x14ac:dyDescent="0.2">
      <c r="A2007" s="5" t="s">
        <v>4712</v>
      </c>
      <c r="B2007" s="5" t="s">
        <v>4713</v>
      </c>
      <c r="C2007" s="5" t="s">
        <v>4879</v>
      </c>
      <c r="D2007" s="5" t="s">
        <v>4880</v>
      </c>
      <c r="E2007" s="10" t="s">
        <v>57</v>
      </c>
      <c r="F2007" s="5" t="s">
        <v>4714</v>
      </c>
      <c r="I2007" s="11">
        <v>2</v>
      </c>
      <c r="K2007" s="10" t="s">
        <v>50</v>
      </c>
      <c r="L2007" s="5" t="s">
        <v>51</v>
      </c>
      <c r="M2007" s="5" t="s">
        <v>119</v>
      </c>
      <c r="N2007" s="5" t="s">
        <v>120</v>
      </c>
      <c r="O2007" s="12"/>
      <c r="S2007" s="13">
        <v>24810</v>
      </c>
      <c r="U2007" s="13">
        <v>24810</v>
      </c>
      <c r="AC2007" s="16" t="str">
        <f t="shared" si="93"/>
        <v/>
      </c>
      <c r="AD2007" s="17">
        <f t="shared" si="94"/>
        <v>24810</v>
      </c>
      <c r="AE2007" s="17">
        <f t="shared" si="95"/>
        <v>0</v>
      </c>
      <c r="AF2007" s="10" t="s">
        <v>4832</v>
      </c>
      <c r="AG2007" s="5" t="s">
        <v>2014</v>
      </c>
      <c r="AH2007" s="5" t="s">
        <v>4717</v>
      </c>
    </row>
    <row r="2008" spans="1:34" ht="10" customHeight="1" x14ac:dyDescent="0.2">
      <c r="A2008" s="5" t="s">
        <v>4712</v>
      </c>
      <c r="B2008" s="5" t="s">
        <v>4713</v>
      </c>
      <c r="C2008" s="5" t="s">
        <v>4881</v>
      </c>
      <c r="D2008" s="5" t="s">
        <v>4882</v>
      </c>
      <c r="E2008" s="10" t="s">
        <v>57</v>
      </c>
      <c r="F2008" s="5" t="s">
        <v>4714</v>
      </c>
      <c r="I2008" s="11">
        <v>2</v>
      </c>
      <c r="K2008" s="10" t="s">
        <v>50</v>
      </c>
      <c r="L2008" s="5" t="s">
        <v>51</v>
      </c>
      <c r="M2008" s="5" t="s">
        <v>119</v>
      </c>
      <c r="N2008" s="5" t="s">
        <v>120</v>
      </c>
      <c r="O2008" s="12"/>
      <c r="S2008" s="13">
        <v>4491</v>
      </c>
      <c r="U2008" s="13">
        <v>4491</v>
      </c>
      <c r="AC2008" s="16" t="str">
        <f t="shared" si="93"/>
        <v/>
      </c>
      <c r="AD2008" s="17">
        <f t="shared" si="94"/>
        <v>4491</v>
      </c>
      <c r="AE2008" s="17">
        <f t="shared" si="95"/>
        <v>0</v>
      </c>
      <c r="AF2008" s="10" t="s">
        <v>4832</v>
      </c>
      <c r="AG2008" s="5" t="s">
        <v>2014</v>
      </c>
      <c r="AH2008" s="5" t="s">
        <v>4717</v>
      </c>
    </row>
    <row r="2009" spans="1:34" ht="10" customHeight="1" x14ac:dyDescent="0.2">
      <c r="A2009" s="5" t="s">
        <v>4712</v>
      </c>
      <c r="B2009" s="5" t="s">
        <v>4713</v>
      </c>
      <c r="C2009" s="5" t="s">
        <v>4837</v>
      </c>
      <c r="D2009" s="5" t="s">
        <v>4883</v>
      </c>
      <c r="E2009" s="10" t="s">
        <v>57</v>
      </c>
      <c r="F2009" s="5" t="s">
        <v>4714</v>
      </c>
      <c r="I2009" s="11">
        <v>2</v>
      </c>
      <c r="K2009" s="10" t="s">
        <v>50</v>
      </c>
      <c r="L2009" s="5" t="s">
        <v>51</v>
      </c>
      <c r="M2009" s="5" t="s">
        <v>69</v>
      </c>
      <c r="N2009" s="5" t="s">
        <v>70</v>
      </c>
      <c r="O2009" s="12"/>
      <c r="S2009" s="13">
        <v>141539</v>
      </c>
      <c r="U2009" s="13">
        <v>141539</v>
      </c>
      <c r="AC2009" s="16" t="str">
        <f t="shared" si="93"/>
        <v/>
      </c>
      <c r="AD2009" s="17">
        <f t="shared" si="94"/>
        <v>141539</v>
      </c>
      <c r="AE2009" s="17">
        <f t="shared" si="95"/>
        <v>0</v>
      </c>
      <c r="AF2009" s="10" t="s">
        <v>4832</v>
      </c>
      <c r="AG2009" s="5" t="s">
        <v>4884</v>
      </c>
      <c r="AH2009" s="5" t="s">
        <v>4717</v>
      </c>
    </row>
    <row r="2010" spans="1:34" ht="10" customHeight="1" x14ac:dyDescent="0.2">
      <c r="A2010" s="5" t="s">
        <v>4712</v>
      </c>
      <c r="B2010" s="5" t="s">
        <v>4713</v>
      </c>
      <c r="C2010" s="5" t="s">
        <v>4885</v>
      </c>
      <c r="D2010" s="5" t="s">
        <v>4886</v>
      </c>
      <c r="E2010" s="10" t="s">
        <v>57</v>
      </c>
      <c r="F2010" s="5" t="s">
        <v>4714</v>
      </c>
      <c r="I2010" s="11">
        <v>3</v>
      </c>
      <c r="K2010" s="10" t="s">
        <v>50</v>
      </c>
      <c r="L2010" s="5" t="s">
        <v>51</v>
      </c>
      <c r="M2010" s="5" t="s">
        <v>52</v>
      </c>
      <c r="N2010" s="5" t="s">
        <v>88</v>
      </c>
      <c r="O2010" s="12"/>
      <c r="S2010" s="13">
        <v>19975</v>
      </c>
      <c r="U2010" s="13">
        <v>19975</v>
      </c>
      <c r="AC2010" s="16" t="str">
        <f t="shared" si="93"/>
        <v/>
      </c>
      <c r="AD2010" s="17">
        <f t="shared" si="94"/>
        <v>19975</v>
      </c>
      <c r="AE2010" s="17">
        <f t="shared" si="95"/>
        <v>0</v>
      </c>
      <c r="AF2010" s="10" t="s">
        <v>4832</v>
      </c>
      <c r="AG2010" s="5" t="s">
        <v>4884</v>
      </c>
      <c r="AH2010" s="5" t="s">
        <v>4717</v>
      </c>
    </row>
    <row r="2011" spans="1:34" ht="10" customHeight="1" x14ac:dyDescent="0.2">
      <c r="A2011" s="5" t="s">
        <v>4712</v>
      </c>
      <c r="B2011" s="5" t="s">
        <v>4713</v>
      </c>
      <c r="C2011" s="5" t="s">
        <v>4887</v>
      </c>
      <c r="D2011" s="5" t="s">
        <v>4888</v>
      </c>
      <c r="E2011" s="10" t="s">
        <v>57</v>
      </c>
      <c r="F2011" s="5" t="s">
        <v>4714</v>
      </c>
      <c r="I2011" s="11">
        <v>2</v>
      </c>
      <c r="K2011" s="10" t="s">
        <v>50</v>
      </c>
      <c r="L2011" s="5" t="s">
        <v>51</v>
      </c>
      <c r="M2011" s="5" t="s">
        <v>119</v>
      </c>
      <c r="N2011" s="5" t="s">
        <v>120</v>
      </c>
      <c r="O2011" s="12"/>
      <c r="S2011" s="13">
        <v>22013</v>
      </c>
      <c r="U2011" s="13">
        <v>22013</v>
      </c>
      <c r="AC2011" s="16" t="str">
        <f t="shared" si="93"/>
        <v/>
      </c>
      <c r="AD2011" s="17">
        <f t="shared" si="94"/>
        <v>22013</v>
      </c>
      <c r="AE2011" s="17">
        <f t="shared" si="95"/>
        <v>0</v>
      </c>
      <c r="AF2011" s="10" t="s">
        <v>4832</v>
      </c>
      <c r="AG2011" s="5" t="s">
        <v>4884</v>
      </c>
      <c r="AH2011" s="5" t="s">
        <v>4717</v>
      </c>
    </row>
    <row r="2012" spans="1:34" ht="10" customHeight="1" x14ac:dyDescent="0.2">
      <c r="A2012" s="5" t="s">
        <v>4712</v>
      </c>
      <c r="B2012" s="5" t="s">
        <v>4713</v>
      </c>
      <c r="C2012" s="5" t="s">
        <v>4889</v>
      </c>
      <c r="D2012" s="5" t="s">
        <v>4890</v>
      </c>
      <c r="E2012" s="10" t="s">
        <v>57</v>
      </c>
      <c r="F2012" s="5" t="s">
        <v>4714</v>
      </c>
      <c r="I2012" s="11">
        <v>2</v>
      </c>
      <c r="K2012" s="10" t="s">
        <v>50</v>
      </c>
      <c r="L2012" s="5" t="s">
        <v>51</v>
      </c>
      <c r="M2012" s="5" t="s">
        <v>119</v>
      </c>
      <c r="N2012" s="5" t="s">
        <v>120</v>
      </c>
      <c r="O2012" s="12"/>
      <c r="S2012" s="13">
        <v>4494</v>
      </c>
      <c r="U2012" s="13">
        <v>4494</v>
      </c>
      <c r="AC2012" s="16" t="str">
        <f t="shared" si="93"/>
        <v/>
      </c>
      <c r="AD2012" s="17">
        <f t="shared" si="94"/>
        <v>4494</v>
      </c>
      <c r="AE2012" s="17">
        <f t="shared" si="95"/>
        <v>0</v>
      </c>
      <c r="AF2012" s="10" t="s">
        <v>4832</v>
      </c>
      <c r="AG2012" s="5" t="s">
        <v>2014</v>
      </c>
      <c r="AH2012" s="5" t="s">
        <v>4717</v>
      </c>
    </row>
    <row r="2013" spans="1:34" ht="10" customHeight="1" x14ac:dyDescent="0.2">
      <c r="A2013" s="5" t="s">
        <v>4712</v>
      </c>
      <c r="B2013" s="5" t="s">
        <v>4713</v>
      </c>
      <c r="C2013" s="5" t="s">
        <v>4891</v>
      </c>
      <c r="D2013" s="5" t="s">
        <v>4892</v>
      </c>
      <c r="E2013" s="10" t="s">
        <v>57</v>
      </c>
      <c r="F2013" s="5" t="s">
        <v>4714</v>
      </c>
      <c r="I2013" s="11">
        <v>2</v>
      </c>
      <c r="K2013" s="10" t="s">
        <v>50</v>
      </c>
      <c r="L2013" s="5" t="s">
        <v>51</v>
      </c>
      <c r="M2013" s="5" t="s">
        <v>69</v>
      </c>
      <c r="N2013" s="5" t="s">
        <v>70</v>
      </c>
      <c r="O2013" s="12"/>
      <c r="S2013" s="13">
        <v>192591</v>
      </c>
      <c r="U2013" s="13">
        <v>192591</v>
      </c>
      <c r="AC2013" s="16" t="str">
        <f t="shared" si="93"/>
        <v/>
      </c>
      <c r="AD2013" s="17">
        <f t="shared" si="94"/>
        <v>192591</v>
      </c>
      <c r="AE2013" s="17">
        <f t="shared" si="95"/>
        <v>0</v>
      </c>
      <c r="AF2013" s="10" t="s">
        <v>4832</v>
      </c>
      <c r="AG2013" s="5" t="s">
        <v>4884</v>
      </c>
      <c r="AH2013" s="5" t="s">
        <v>4717</v>
      </c>
    </row>
    <row r="2014" spans="1:34" ht="10" customHeight="1" x14ac:dyDescent="0.2">
      <c r="A2014" s="5" t="s">
        <v>4712</v>
      </c>
      <c r="B2014" s="5" t="s">
        <v>4713</v>
      </c>
      <c r="C2014" s="5" t="s">
        <v>4893</v>
      </c>
      <c r="D2014" s="5" t="s">
        <v>4894</v>
      </c>
      <c r="E2014" s="10" t="s">
        <v>57</v>
      </c>
      <c r="F2014" s="5" t="s">
        <v>4714</v>
      </c>
      <c r="I2014" s="11">
        <v>2</v>
      </c>
      <c r="K2014" s="10" t="s">
        <v>50</v>
      </c>
      <c r="L2014" s="5" t="s">
        <v>51</v>
      </c>
      <c r="M2014" s="5" t="s">
        <v>52</v>
      </c>
      <c r="N2014" s="5" t="s">
        <v>88</v>
      </c>
      <c r="O2014" s="12"/>
      <c r="S2014" s="13">
        <v>104357</v>
      </c>
      <c r="U2014" s="13">
        <v>104357</v>
      </c>
      <c r="AC2014" s="16" t="str">
        <f t="shared" si="93"/>
        <v/>
      </c>
      <c r="AD2014" s="17">
        <f t="shared" si="94"/>
        <v>104357</v>
      </c>
      <c r="AE2014" s="17">
        <f t="shared" si="95"/>
        <v>0</v>
      </c>
      <c r="AF2014" s="10" t="s">
        <v>4832</v>
      </c>
      <c r="AG2014" s="5" t="s">
        <v>4884</v>
      </c>
      <c r="AH2014" s="5" t="s">
        <v>4717</v>
      </c>
    </row>
    <row r="2015" spans="1:34" ht="10" customHeight="1" x14ac:dyDescent="0.2">
      <c r="A2015" s="5" t="s">
        <v>4712</v>
      </c>
      <c r="B2015" s="5" t="s">
        <v>4713</v>
      </c>
      <c r="C2015" s="5" t="s">
        <v>4895</v>
      </c>
      <c r="D2015" s="5" t="s">
        <v>4896</v>
      </c>
      <c r="E2015" s="10" t="s">
        <v>57</v>
      </c>
      <c r="F2015" s="5" t="s">
        <v>4714</v>
      </c>
      <c r="I2015" s="11">
        <v>2</v>
      </c>
      <c r="K2015" s="10" t="s">
        <v>50</v>
      </c>
      <c r="L2015" s="5" t="s">
        <v>51</v>
      </c>
      <c r="M2015" s="5" t="s">
        <v>119</v>
      </c>
      <c r="N2015" s="5" t="s">
        <v>120</v>
      </c>
      <c r="O2015" s="12"/>
      <c r="S2015" s="13">
        <v>24810</v>
      </c>
      <c r="U2015" s="13">
        <v>24810</v>
      </c>
      <c r="AC2015" s="16" t="str">
        <f t="shared" si="93"/>
        <v/>
      </c>
      <c r="AD2015" s="17">
        <f t="shared" si="94"/>
        <v>24810</v>
      </c>
      <c r="AE2015" s="17">
        <f t="shared" si="95"/>
        <v>0</v>
      </c>
      <c r="AF2015" s="10" t="s">
        <v>4832</v>
      </c>
      <c r="AG2015" s="5" t="s">
        <v>2014</v>
      </c>
      <c r="AH2015" s="5" t="s">
        <v>4717</v>
      </c>
    </row>
    <row r="2016" spans="1:34" ht="10" customHeight="1" x14ac:dyDescent="0.2">
      <c r="A2016" s="5" t="s">
        <v>4712</v>
      </c>
      <c r="B2016" s="5" t="s">
        <v>4713</v>
      </c>
      <c r="C2016" s="5" t="s">
        <v>4897</v>
      </c>
      <c r="D2016" s="5" t="s">
        <v>4898</v>
      </c>
      <c r="E2016" s="10" t="s">
        <v>57</v>
      </c>
      <c r="F2016" s="5" t="s">
        <v>4714</v>
      </c>
      <c r="I2016" s="11">
        <v>2</v>
      </c>
      <c r="K2016" s="10" t="s">
        <v>50</v>
      </c>
      <c r="L2016" s="5" t="s">
        <v>51</v>
      </c>
      <c r="M2016" s="5" t="s">
        <v>52</v>
      </c>
      <c r="N2016" s="5" t="s">
        <v>88</v>
      </c>
      <c r="O2016" s="12"/>
      <c r="S2016" s="13">
        <v>85595</v>
      </c>
      <c r="U2016" s="13">
        <v>85595</v>
      </c>
      <c r="AC2016" s="16" t="str">
        <f t="shared" si="93"/>
        <v/>
      </c>
      <c r="AD2016" s="17">
        <f t="shared" si="94"/>
        <v>85595</v>
      </c>
      <c r="AE2016" s="17">
        <f t="shared" si="95"/>
        <v>0</v>
      </c>
      <c r="AF2016" s="10" t="s">
        <v>4832</v>
      </c>
      <c r="AG2016" s="5" t="s">
        <v>4884</v>
      </c>
      <c r="AH2016" s="5" t="s">
        <v>4717</v>
      </c>
    </row>
    <row r="2017" spans="1:34" ht="10" customHeight="1" x14ac:dyDescent="0.2">
      <c r="A2017" s="5" t="s">
        <v>4712</v>
      </c>
      <c r="B2017" s="5" t="s">
        <v>4713</v>
      </c>
      <c r="C2017" s="5" t="s">
        <v>4899</v>
      </c>
      <c r="D2017" s="5" t="s">
        <v>4900</v>
      </c>
      <c r="E2017" s="10" t="s">
        <v>57</v>
      </c>
      <c r="F2017" s="5" t="s">
        <v>4714</v>
      </c>
      <c r="I2017" s="11">
        <v>2</v>
      </c>
      <c r="K2017" s="10" t="s">
        <v>50</v>
      </c>
      <c r="L2017" s="5" t="s">
        <v>51</v>
      </c>
      <c r="M2017" s="5" t="s">
        <v>119</v>
      </c>
      <c r="N2017" s="5" t="s">
        <v>120</v>
      </c>
      <c r="O2017" s="12"/>
      <c r="S2017" s="13">
        <v>4404</v>
      </c>
      <c r="U2017" s="13">
        <v>4404</v>
      </c>
      <c r="AC2017" s="16" t="str">
        <f t="shared" si="93"/>
        <v/>
      </c>
      <c r="AD2017" s="17">
        <f t="shared" si="94"/>
        <v>4404</v>
      </c>
      <c r="AE2017" s="17">
        <f t="shared" si="95"/>
        <v>0</v>
      </c>
      <c r="AF2017" s="10" t="s">
        <v>4832</v>
      </c>
      <c r="AG2017" s="5" t="s">
        <v>4884</v>
      </c>
      <c r="AH2017" s="5" t="s">
        <v>4717</v>
      </c>
    </row>
    <row r="2018" spans="1:34" ht="10" customHeight="1" x14ac:dyDescent="0.2">
      <c r="A2018" s="5" t="s">
        <v>4712</v>
      </c>
      <c r="B2018" s="5" t="s">
        <v>4713</v>
      </c>
      <c r="C2018" s="5" t="s">
        <v>4901</v>
      </c>
      <c r="D2018" s="5" t="s">
        <v>4902</v>
      </c>
      <c r="E2018" s="10" t="s">
        <v>57</v>
      </c>
      <c r="F2018" s="5" t="s">
        <v>4714</v>
      </c>
      <c r="I2018" s="11">
        <v>2</v>
      </c>
      <c r="K2018" s="10" t="s">
        <v>50</v>
      </c>
      <c r="L2018" s="5" t="s">
        <v>51</v>
      </c>
      <c r="M2018" s="5" t="s">
        <v>149</v>
      </c>
      <c r="N2018" s="5" t="s">
        <v>4903</v>
      </c>
      <c r="O2018" s="12"/>
      <c r="S2018" s="13">
        <v>12058</v>
      </c>
      <c r="U2018" s="13">
        <v>12058</v>
      </c>
      <c r="AC2018" s="16" t="str">
        <f t="shared" si="93"/>
        <v/>
      </c>
      <c r="AD2018" s="17">
        <f t="shared" si="94"/>
        <v>12058</v>
      </c>
      <c r="AE2018" s="17">
        <f t="shared" si="95"/>
        <v>0</v>
      </c>
      <c r="AF2018" s="10" t="s">
        <v>4832</v>
      </c>
      <c r="AG2018" s="5" t="s">
        <v>4884</v>
      </c>
      <c r="AH2018" s="5" t="s">
        <v>4717</v>
      </c>
    </row>
    <row r="2019" spans="1:34" ht="10" customHeight="1" x14ac:dyDescent="0.2">
      <c r="A2019" s="5" t="s">
        <v>4712</v>
      </c>
      <c r="B2019" s="5" t="s">
        <v>4713</v>
      </c>
      <c r="C2019" s="5" t="s">
        <v>4904</v>
      </c>
      <c r="D2019" s="5" t="s">
        <v>4905</v>
      </c>
      <c r="E2019" s="10" t="s">
        <v>57</v>
      </c>
      <c r="F2019" s="5" t="s">
        <v>4714</v>
      </c>
      <c r="I2019" s="11">
        <v>2</v>
      </c>
      <c r="K2019" s="10" t="s">
        <v>50</v>
      </c>
      <c r="L2019" s="5" t="s">
        <v>51</v>
      </c>
      <c r="M2019" s="5" t="s">
        <v>52</v>
      </c>
      <c r="N2019" s="5" t="s">
        <v>88</v>
      </c>
      <c r="O2019" s="12"/>
      <c r="S2019" s="13">
        <v>20995</v>
      </c>
      <c r="U2019" s="13">
        <v>20995</v>
      </c>
      <c r="AC2019" s="16" t="str">
        <f t="shared" si="93"/>
        <v/>
      </c>
      <c r="AD2019" s="17">
        <f t="shared" si="94"/>
        <v>20995</v>
      </c>
      <c r="AE2019" s="17">
        <f t="shared" si="95"/>
        <v>0</v>
      </c>
      <c r="AF2019" s="10" t="s">
        <v>4832</v>
      </c>
      <c r="AG2019" s="5" t="s">
        <v>4884</v>
      </c>
      <c r="AH2019" s="5" t="s">
        <v>4717</v>
      </c>
    </row>
    <row r="2020" spans="1:34" ht="10" customHeight="1" x14ac:dyDescent="0.2">
      <c r="A2020" s="5" t="s">
        <v>4712</v>
      </c>
      <c r="B2020" s="5" t="s">
        <v>4713</v>
      </c>
      <c r="C2020" s="5" t="s">
        <v>4906</v>
      </c>
      <c r="D2020" s="5" t="s">
        <v>4907</v>
      </c>
      <c r="E2020" s="10" t="s">
        <v>188</v>
      </c>
      <c r="F2020" s="5" t="s">
        <v>4908</v>
      </c>
      <c r="I2020" s="11">
        <v>2</v>
      </c>
      <c r="K2020" s="10" t="s">
        <v>50</v>
      </c>
      <c r="L2020" s="5" t="s">
        <v>51</v>
      </c>
      <c r="M2020" s="5" t="s">
        <v>149</v>
      </c>
      <c r="N2020" s="5" t="s">
        <v>4909</v>
      </c>
      <c r="O2020" s="12"/>
      <c r="S2020" s="13">
        <v>8898</v>
      </c>
      <c r="U2020" s="13">
        <v>8898</v>
      </c>
      <c r="AC2020" s="16" t="str">
        <f t="shared" si="93"/>
        <v/>
      </c>
      <c r="AD2020" s="17">
        <f t="shared" si="94"/>
        <v>8898</v>
      </c>
      <c r="AE2020" s="17">
        <f t="shared" si="95"/>
        <v>0</v>
      </c>
      <c r="AF2020" s="10" t="s">
        <v>4910</v>
      </c>
      <c r="AG2020" s="5" t="s">
        <v>4884</v>
      </c>
      <c r="AH2020" s="5" t="s">
        <v>4717</v>
      </c>
    </row>
    <row r="2021" spans="1:34" ht="10" customHeight="1" x14ac:dyDescent="0.2">
      <c r="A2021" s="5" t="s">
        <v>4712</v>
      </c>
      <c r="B2021" s="5" t="s">
        <v>4713</v>
      </c>
      <c r="C2021" s="5" t="s">
        <v>4911</v>
      </c>
      <c r="D2021" s="5" t="s">
        <v>4912</v>
      </c>
      <c r="E2021" s="10" t="s">
        <v>188</v>
      </c>
      <c r="F2021" s="5" t="s">
        <v>4908</v>
      </c>
      <c r="I2021" s="11">
        <v>2</v>
      </c>
      <c r="K2021" s="10" t="s">
        <v>50</v>
      </c>
      <c r="L2021" s="5" t="s">
        <v>51</v>
      </c>
      <c r="M2021" s="5" t="s">
        <v>119</v>
      </c>
      <c r="N2021" s="5" t="s">
        <v>120</v>
      </c>
      <c r="O2021" s="12"/>
      <c r="S2021" s="13">
        <v>15000</v>
      </c>
      <c r="U2021" s="13">
        <v>15000</v>
      </c>
      <c r="AC2021" s="16" t="str">
        <f t="shared" si="93"/>
        <v/>
      </c>
      <c r="AD2021" s="17">
        <f t="shared" si="94"/>
        <v>15000</v>
      </c>
      <c r="AE2021" s="17">
        <f t="shared" si="95"/>
        <v>0</v>
      </c>
      <c r="AF2021" s="10" t="s">
        <v>4910</v>
      </c>
      <c r="AG2021" s="5" t="s">
        <v>4660</v>
      </c>
      <c r="AH2021" s="5" t="s">
        <v>4717</v>
      </c>
    </row>
    <row r="2022" spans="1:34" ht="10" customHeight="1" x14ac:dyDescent="0.2">
      <c r="A2022" s="5" t="s">
        <v>4712</v>
      </c>
      <c r="B2022" s="5" t="s">
        <v>4713</v>
      </c>
      <c r="C2022" s="5" t="s">
        <v>4913</v>
      </c>
      <c r="D2022" s="5" t="s">
        <v>4914</v>
      </c>
      <c r="E2022" s="10" t="s">
        <v>188</v>
      </c>
      <c r="F2022" s="5" t="s">
        <v>4908</v>
      </c>
      <c r="I2022" s="11">
        <v>2</v>
      </c>
      <c r="K2022" s="10" t="s">
        <v>50</v>
      </c>
      <c r="L2022" s="5" t="s">
        <v>51</v>
      </c>
      <c r="M2022" s="5" t="s">
        <v>149</v>
      </c>
      <c r="N2022" s="5" t="s">
        <v>150</v>
      </c>
      <c r="O2022" s="12"/>
      <c r="S2022" s="13">
        <v>9325</v>
      </c>
      <c r="U2022" s="13">
        <v>9325</v>
      </c>
      <c r="AC2022" s="16" t="str">
        <f t="shared" si="93"/>
        <v/>
      </c>
      <c r="AD2022" s="17">
        <f t="shared" si="94"/>
        <v>9325</v>
      </c>
      <c r="AE2022" s="17">
        <f t="shared" si="95"/>
        <v>0</v>
      </c>
      <c r="AF2022" s="10" t="s">
        <v>4910</v>
      </c>
      <c r="AG2022" s="5" t="s">
        <v>4660</v>
      </c>
      <c r="AH2022" s="5" t="s">
        <v>4717</v>
      </c>
    </row>
    <row r="2023" spans="1:34" ht="10" customHeight="1" x14ac:dyDescent="0.2">
      <c r="A2023" s="5" t="s">
        <v>4712</v>
      </c>
      <c r="B2023" s="5" t="s">
        <v>4713</v>
      </c>
      <c r="C2023" s="5" t="s">
        <v>4915</v>
      </c>
      <c r="D2023" s="5" t="s">
        <v>4916</v>
      </c>
      <c r="E2023" s="10" t="s">
        <v>188</v>
      </c>
      <c r="F2023" s="5" t="s">
        <v>4908</v>
      </c>
      <c r="I2023" s="11">
        <v>2</v>
      </c>
      <c r="K2023" s="10" t="s">
        <v>50</v>
      </c>
      <c r="L2023" s="5" t="s">
        <v>51</v>
      </c>
      <c r="M2023" s="5" t="s">
        <v>149</v>
      </c>
      <c r="N2023" s="5" t="s">
        <v>4903</v>
      </c>
      <c r="O2023" s="12"/>
      <c r="S2023" s="13">
        <v>14036</v>
      </c>
      <c r="U2023" s="13">
        <v>14036</v>
      </c>
      <c r="AC2023" s="16" t="str">
        <f t="shared" si="93"/>
        <v/>
      </c>
      <c r="AD2023" s="17">
        <f t="shared" si="94"/>
        <v>14036</v>
      </c>
      <c r="AE2023" s="17">
        <f t="shared" si="95"/>
        <v>0</v>
      </c>
      <c r="AF2023" s="10" t="s">
        <v>4910</v>
      </c>
      <c r="AG2023" s="5" t="s">
        <v>4660</v>
      </c>
      <c r="AH2023" s="5" t="s">
        <v>4717</v>
      </c>
    </row>
    <row r="2024" spans="1:34" ht="10" customHeight="1" x14ac:dyDescent="0.2">
      <c r="A2024" s="5" t="s">
        <v>4712</v>
      </c>
      <c r="B2024" s="5" t="s">
        <v>4713</v>
      </c>
      <c r="C2024" s="5" t="s">
        <v>4917</v>
      </c>
      <c r="D2024" s="5" t="s">
        <v>4918</v>
      </c>
      <c r="E2024" s="10" t="s">
        <v>188</v>
      </c>
      <c r="F2024" s="5" t="s">
        <v>4908</v>
      </c>
      <c r="I2024" s="11">
        <v>2</v>
      </c>
      <c r="K2024" s="10" t="s">
        <v>50</v>
      </c>
      <c r="L2024" s="5" t="s">
        <v>51</v>
      </c>
      <c r="M2024" s="5" t="s">
        <v>119</v>
      </c>
      <c r="N2024" s="5" t="s">
        <v>120</v>
      </c>
      <c r="O2024" s="12"/>
      <c r="S2024" s="13">
        <v>12087</v>
      </c>
      <c r="U2024" s="13">
        <v>12087</v>
      </c>
      <c r="AC2024" s="16" t="str">
        <f t="shared" si="93"/>
        <v/>
      </c>
      <c r="AD2024" s="17">
        <f t="shared" si="94"/>
        <v>12087</v>
      </c>
      <c r="AE2024" s="17">
        <f t="shared" si="95"/>
        <v>0</v>
      </c>
      <c r="AF2024" s="10" t="s">
        <v>4910</v>
      </c>
      <c r="AG2024" s="5" t="s">
        <v>4660</v>
      </c>
      <c r="AH2024" s="5" t="s">
        <v>4717</v>
      </c>
    </row>
    <row r="2025" spans="1:34" ht="10" customHeight="1" x14ac:dyDescent="0.2">
      <c r="A2025" s="5" t="s">
        <v>4712</v>
      </c>
      <c r="B2025" s="5" t="s">
        <v>4713</v>
      </c>
      <c r="C2025" s="5" t="s">
        <v>4919</v>
      </c>
      <c r="D2025" s="5" t="s">
        <v>4920</v>
      </c>
      <c r="E2025" s="10" t="s">
        <v>188</v>
      </c>
      <c r="F2025" s="5" t="s">
        <v>4908</v>
      </c>
      <c r="I2025" s="11">
        <v>2</v>
      </c>
      <c r="K2025" s="10" t="s">
        <v>50</v>
      </c>
      <c r="L2025" s="5" t="s">
        <v>51</v>
      </c>
      <c r="M2025" s="5" t="s">
        <v>149</v>
      </c>
      <c r="N2025" s="5" t="s">
        <v>168</v>
      </c>
      <c r="O2025" s="12"/>
      <c r="S2025" s="13">
        <v>12065</v>
      </c>
      <c r="U2025" s="13">
        <v>12065</v>
      </c>
      <c r="AC2025" s="16" t="str">
        <f t="shared" si="93"/>
        <v/>
      </c>
      <c r="AD2025" s="17">
        <f t="shared" si="94"/>
        <v>12065</v>
      </c>
      <c r="AE2025" s="17">
        <f t="shared" si="95"/>
        <v>0</v>
      </c>
      <c r="AF2025" s="10" t="s">
        <v>4910</v>
      </c>
      <c r="AG2025" s="5" t="s">
        <v>4660</v>
      </c>
      <c r="AH2025" s="5" t="s">
        <v>4717</v>
      </c>
    </row>
    <row r="2026" spans="1:34" ht="10" customHeight="1" x14ac:dyDescent="0.2">
      <c r="A2026" s="5" t="s">
        <v>4712</v>
      </c>
      <c r="B2026" s="5" t="s">
        <v>4713</v>
      </c>
      <c r="C2026" s="5" t="s">
        <v>4921</v>
      </c>
      <c r="D2026" s="5" t="s">
        <v>4922</v>
      </c>
      <c r="E2026" s="10" t="s">
        <v>188</v>
      </c>
      <c r="F2026" s="5" t="s">
        <v>4908</v>
      </c>
      <c r="I2026" s="11">
        <v>2</v>
      </c>
      <c r="K2026" s="10" t="s">
        <v>50</v>
      </c>
      <c r="L2026" s="5" t="s">
        <v>51</v>
      </c>
      <c r="M2026" s="5" t="s">
        <v>149</v>
      </c>
      <c r="N2026" s="5" t="s">
        <v>4903</v>
      </c>
      <c r="O2026" s="12"/>
      <c r="S2026" s="13">
        <v>18380</v>
      </c>
      <c r="U2026" s="13">
        <v>18380</v>
      </c>
      <c r="AC2026" s="16" t="str">
        <f t="shared" si="93"/>
        <v/>
      </c>
      <c r="AD2026" s="17">
        <f t="shared" si="94"/>
        <v>18380</v>
      </c>
      <c r="AE2026" s="17">
        <f t="shared" si="95"/>
        <v>0</v>
      </c>
      <c r="AF2026" s="10" t="s">
        <v>4910</v>
      </c>
      <c r="AG2026" s="5" t="s">
        <v>4660</v>
      </c>
      <c r="AH2026" s="5" t="s">
        <v>4717</v>
      </c>
    </row>
    <row r="2027" spans="1:34" ht="10" customHeight="1" x14ac:dyDescent="0.2">
      <c r="A2027" s="5" t="s">
        <v>4712</v>
      </c>
      <c r="B2027" s="5" t="s">
        <v>4713</v>
      </c>
      <c r="C2027" s="5" t="s">
        <v>4923</v>
      </c>
      <c r="D2027" s="5" t="s">
        <v>4924</v>
      </c>
      <c r="E2027" s="10" t="s">
        <v>188</v>
      </c>
      <c r="F2027" s="5" t="s">
        <v>4908</v>
      </c>
      <c r="I2027" s="11">
        <v>2</v>
      </c>
      <c r="K2027" s="10" t="s">
        <v>50</v>
      </c>
      <c r="L2027" s="5" t="s">
        <v>51</v>
      </c>
      <c r="M2027" s="5" t="s">
        <v>119</v>
      </c>
      <c r="N2027" s="5" t="s">
        <v>120</v>
      </c>
      <c r="O2027" s="12"/>
      <c r="S2027" s="13">
        <v>112127</v>
      </c>
      <c r="U2027" s="13">
        <v>112127</v>
      </c>
      <c r="AC2027" s="16" t="str">
        <f t="shared" si="93"/>
        <v/>
      </c>
      <c r="AD2027" s="17">
        <f t="shared" si="94"/>
        <v>112127</v>
      </c>
      <c r="AE2027" s="17">
        <f t="shared" si="95"/>
        <v>0</v>
      </c>
      <c r="AF2027" s="10" t="s">
        <v>4910</v>
      </c>
      <c r="AG2027" s="5" t="s">
        <v>4660</v>
      </c>
      <c r="AH2027" s="5" t="s">
        <v>4717</v>
      </c>
    </row>
    <row r="2028" spans="1:34" ht="10" customHeight="1" x14ac:dyDescent="0.2">
      <c r="A2028" s="5" t="s">
        <v>4712</v>
      </c>
      <c r="B2028" s="5" t="s">
        <v>4713</v>
      </c>
      <c r="C2028" s="5" t="s">
        <v>4925</v>
      </c>
      <c r="D2028" s="5" t="s">
        <v>4926</v>
      </c>
      <c r="E2028" s="10" t="s">
        <v>188</v>
      </c>
      <c r="F2028" s="5" t="s">
        <v>4908</v>
      </c>
      <c r="I2028" s="11">
        <v>2</v>
      </c>
      <c r="K2028" s="10" t="s">
        <v>50</v>
      </c>
      <c r="L2028" s="5" t="s">
        <v>51</v>
      </c>
      <c r="M2028" s="5" t="s">
        <v>119</v>
      </c>
      <c r="N2028" s="5" t="s">
        <v>120</v>
      </c>
      <c r="O2028" s="12"/>
      <c r="S2028" s="13">
        <v>42281</v>
      </c>
      <c r="U2028" s="13">
        <v>42281</v>
      </c>
      <c r="AC2028" s="16" t="str">
        <f t="shared" si="93"/>
        <v/>
      </c>
      <c r="AD2028" s="17">
        <f t="shared" si="94"/>
        <v>42281</v>
      </c>
      <c r="AE2028" s="17">
        <f t="shared" si="95"/>
        <v>0</v>
      </c>
      <c r="AF2028" s="10" t="s">
        <v>4910</v>
      </c>
      <c r="AG2028" s="5" t="s">
        <v>4660</v>
      </c>
      <c r="AH2028" s="5" t="s">
        <v>4717</v>
      </c>
    </row>
    <row r="2029" spans="1:34" ht="10" customHeight="1" x14ac:dyDescent="0.2">
      <c r="A2029" s="5" t="s">
        <v>4712</v>
      </c>
      <c r="B2029" s="5" t="s">
        <v>4713</v>
      </c>
      <c r="C2029" s="5" t="s">
        <v>4927</v>
      </c>
      <c r="D2029" s="5" t="s">
        <v>4928</v>
      </c>
      <c r="E2029" s="10" t="s">
        <v>188</v>
      </c>
      <c r="F2029" s="5" t="s">
        <v>4908</v>
      </c>
      <c r="I2029" s="11">
        <v>2</v>
      </c>
      <c r="K2029" s="10" t="s">
        <v>50</v>
      </c>
      <c r="L2029" s="5" t="s">
        <v>51</v>
      </c>
      <c r="M2029" s="5" t="s">
        <v>119</v>
      </c>
      <c r="N2029" s="5" t="s">
        <v>120</v>
      </c>
      <c r="O2029" s="12"/>
      <c r="S2029" s="13">
        <v>121048</v>
      </c>
      <c r="U2029" s="13">
        <v>121048</v>
      </c>
      <c r="AC2029" s="16" t="str">
        <f t="shared" si="93"/>
        <v/>
      </c>
      <c r="AD2029" s="17">
        <f t="shared" si="94"/>
        <v>121048</v>
      </c>
      <c r="AE2029" s="17">
        <f t="shared" si="95"/>
        <v>0</v>
      </c>
      <c r="AF2029" s="10" t="s">
        <v>4910</v>
      </c>
      <c r="AG2029" s="5" t="s">
        <v>4660</v>
      </c>
      <c r="AH2029" s="5" t="s">
        <v>4717</v>
      </c>
    </row>
    <row r="2030" spans="1:34" ht="10" customHeight="1" x14ac:dyDescent="0.2">
      <c r="A2030" s="5" t="s">
        <v>4712</v>
      </c>
      <c r="B2030" s="5" t="s">
        <v>4713</v>
      </c>
      <c r="C2030" s="5" t="s">
        <v>4929</v>
      </c>
      <c r="D2030" s="5" t="s">
        <v>4930</v>
      </c>
      <c r="E2030" s="10" t="s">
        <v>188</v>
      </c>
      <c r="F2030" s="5" t="s">
        <v>4908</v>
      </c>
      <c r="I2030" s="11">
        <v>2</v>
      </c>
      <c r="K2030" s="10" t="s">
        <v>50</v>
      </c>
      <c r="L2030" s="5" t="s">
        <v>51</v>
      </c>
      <c r="M2030" s="5" t="s">
        <v>119</v>
      </c>
      <c r="N2030" s="5" t="s">
        <v>120</v>
      </c>
      <c r="O2030" s="12"/>
      <c r="S2030" s="13">
        <v>91072</v>
      </c>
      <c r="U2030" s="13">
        <v>91072</v>
      </c>
      <c r="AC2030" s="16" t="str">
        <f t="shared" si="93"/>
        <v/>
      </c>
      <c r="AD2030" s="17">
        <f t="shared" si="94"/>
        <v>91072</v>
      </c>
      <c r="AE2030" s="17">
        <f t="shared" si="95"/>
        <v>0</v>
      </c>
      <c r="AF2030" s="10" t="s">
        <v>4910</v>
      </c>
      <c r="AG2030" s="5" t="s">
        <v>4660</v>
      </c>
      <c r="AH2030" s="5" t="s">
        <v>4717</v>
      </c>
    </row>
    <row r="2031" spans="1:34" ht="10" customHeight="1" x14ac:dyDescent="0.2">
      <c r="A2031" s="5" t="s">
        <v>4712</v>
      </c>
      <c r="B2031" s="5" t="s">
        <v>4713</v>
      </c>
      <c r="C2031" s="5" t="s">
        <v>4931</v>
      </c>
      <c r="D2031" s="5" t="s">
        <v>4932</v>
      </c>
      <c r="E2031" s="10" t="s">
        <v>188</v>
      </c>
      <c r="F2031" s="5" t="s">
        <v>4908</v>
      </c>
      <c r="I2031" s="11">
        <v>2</v>
      </c>
      <c r="K2031" s="10" t="s">
        <v>50</v>
      </c>
      <c r="L2031" s="5" t="s">
        <v>51</v>
      </c>
      <c r="M2031" s="5" t="s">
        <v>119</v>
      </c>
      <c r="N2031" s="5" t="s">
        <v>139</v>
      </c>
      <c r="O2031" s="12"/>
      <c r="S2031" s="13">
        <v>74329</v>
      </c>
      <c r="U2031" s="13">
        <v>74329</v>
      </c>
      <c r="AC2031" s="16" t="str">
        <f t="shared" si="93"/>
        <v/>
      </c>
      <c r="AD2031" s="17">
        <f t="shared" si="94"/>
        <v>74329</v>
      </c>
      <c r="AE2031" s="17">
        <f t="shared" si="95"/>
        <v>0</v>
      </c>
      <c r="AF2031" s="10" t="s">
        <v>4910</v>
      </c>
      <c r="AG2031" s="5" t="s">
        <v>2019</v>
      </c>
      <c r="AH2031" s="5" t="s">
        <v>4717</v>
      </c>
    </row>
    <row r="2032" spans="1:34" ht="10" customHeight="1" x14ac:dyDescent="0.2">
      <c r="A2032" s="5" t="s">
        <v>4712</v>
      </c>
      <c r="B2032" s="5" t="s">
        <v>4713</v>
      </c>
      <c r="C2032" s="5" t="s">
        <v>4933</v>
      </c>
      <c r="D2032" s="5" t="s">
        <v>4934</v>
      </c>
      <c r="E2032" s="10" t="s">
        <v>188</v>
      </c>
      <c r="F2032" s="5" t="s">
        <v>4908</v>
      </c>
      <c r="I2032" s="11">
        <v>2</v>
      </c>
      <c r="K2032" s="10" t="s">
        <v>50</v>
      </c>
      <c r="L2032" s="5" t="s">
        <v>51</v>
      </c>
      <c r="M2032" s="5" t="s">
        <v>119</v>
      </c>
      <c r="N2032" s="5" t="s">
        <v>139</v>
      </c>
      <c r="O2032" s="12"/>
      <c r="S2032" s="13">
        <v>60305</v>
      </c>
      <c r="U2032" s="13">
        <v>60305</v>
      </c>
      <c r="AC2032" s="16" t="str">
        <f t="shared" si="93"/>
        <v/>
      </c>
      <c r="AD2032" s="17">
        <f t="shared" si="94"/>
        <v>60305</v>
      </c>
      <c r="AE2032" s="17">
        <f t="shared" si="95"/>
        <v>0</v>
      </c>
      <c r="AF2032" s="10" t="s">
        <v>4910</v>
      </c>
      <c r="AG2032" s="5" t="s">
        <v>2019</v>
      </c>
      <c r="AH2032" s="5" t="s">
        <v>4717</v>
      </c>
    </row>
    <row r="2033" spans="1:34" ht="10" customHeight="1" x14ac:dyDescent="0.2">
      <c r="A2033" s="5" t="s">
        <v>4712</v>
      </c>
      <c r="B2033" s="5" t="s">
        <v>4713</v>
      </c>
      <c r="C2033" s="5" t="s">
        <v>4935</v>
      </c>
      <c r="D2033" s="5" t="s">
        <v>4936</v>
      </c>
      <c r="E2033" s="10" t="s">
        <v>188</v>
      </c>
      <c r="F2033" s="5" t="s">
        <v>4908</v>
      </c>
      <c r="I2033" s="11">
        <v>2</v>
      </c>
      <c r="K2033" s="10" t="s">
        <v>50</v>
      </c>
      <c r="L2033" s="5" t="s">
        <v>51</v>
      </c>
      <c r="M2033" s="5" t="s">
        <v>149</v>
      </c>
      <c r="N2033" s="5" t="s">
        <v>4909</v>
      </c>
      <c r="O2033" s="12"/>
      <c r="S2033" s="13">
        <v>57113</v>
      </c>
      <c r="U2033" s="13">
        <v>57113</v>
      </c>
      <c r="AC2033" s="16" t="str">
        <f t="shared" si="93"/>
        <v/>
      </c>
      <c r="AD2033" s="17">
        <f t="shared" si="94"/>
        <v>57113</v>
      </c>
      <c r="AE2033" s="17">
        <f t="shared" si="95"/>
        <v>0</v>
      </c>
      <c r="AF2033" s="10" t="s">
        <v>4910</v>
      </c>
      <c r="AG2033" s="5" t="s">
        <v>2019</v>
      </c>
      <c r="AH2033" s="5" t="s">
        <v>4717</v>
      </c>
    </row>
    <row r="2034" spans="1:34" ht="10" customHeight="1" x14ac:dyDescent="0.2">
      <c r="A2034" s="5" t="s">
        <v>4712</v>
      </c>
      <c r="B2034" s="5" t="s">
        <v>4713</v>
      </c>
      <c r="C2034" s="5" t="s">
        <v>4937</v>
      </c>
      <c r="D2034" s="5" t="s">
        <v>4938</v>
      </c>
      <c r="E2034" s="10" t="s">
        <v>188</v>
      </c>
      <c r="F2034" s="5" t="s">
        <v>4908</v>
      </c>
      <c r="I2034" s="11">
        <v>2</v>
      </c>
      <c r="K2034" s="10" t="s">
        <v>50</v>
      </c>
      <c r="L2034" s="5" t="s">
        <v>51</v>
      </c>
      <c r="M2034" s="5" t="s">
        <v>149</v>
      </c>
      <c r="N2034" s="5" t="s">
        <v>150</v>
      </c>
      <c r="O2034" s="12"/>
      <c r="S2034" s="13">
        <v>25577</v>
      </c>
      <c r="U2034" s="13">
        <v>25577</v>
      </c>
      <c r="AC2034" s="16" t="str">
        <f t="shared" si="93"/>
        <v/>
      </c>
      <c r="AD2034" s="17">
        <f t="shared" si="94"/>
        <v>25577</v>
      </c>
      <c r="AE2034" s="17">
        <f t="shared" si="95"/>
        <v>0</v>
      </c>
      <c r="AF2034" s="10" t="s">
        <v>4910</v>
      </c>
      <c r="AG2034" s="5" t="s">
        <v>2019</v>
      </c>
      <c r="AH2034" s="5" t="s">
        <v>4717</v>
      </c>
    </row>
    <row r="2035" spans="1:34" ht="10" customHeight="1" x14ac:dyDescent="0.2">
      <c r="A2035" s="5" t="s">
        <v>4712</v>
      </c>
      <c r="B2035" s="5" t="s">
        <v>4713</v>
      </c>
      <c r="C2035" s="5" t="s">
        <v>4939</v>
      </c>
      <c r="D2035" s="5" t="s">
        <v>4940</v>
      </c>
      <c r="E2035" s="10" t="s">
        <v>188</v>
      </c>
      <c r="F2035" s="5" t="s">
        <v>4908</v>
      </c>
      <c r="I2035" s="11">
        <v>2</v>
      </c>
      <c r="K2035" s="10" t="s">
        <v>50</v>
      </c>
      <c r="L2035" s="5" t="s">
        <v>51</v>
      </c>
      <c r="M2035" s="5" t="s">
        <v>119</v>
      </c>
      <c r="N2035" s="5" t="s">
        <v>120</v>
      </c>
      <c r="O2035" s="12"/>
      <c r="S2035" s="13">
        <v>96808</v>
      </c>
      <c r="U2035" s="13">
        <v>96808</v>
      </c>
      <c r="AC2035" s="16" t="str">
        <f t="shared" si="93"/>
        <v/>
      </c>
      <c r="AD2035" s="17">
        <f t="shared" si="94"/>
        <v>96808</v>
      </c>
      <c r="AE2035" s="17">
        <f t="shared" si="95"/>
        <v>0</v>
      </c>
      <c r="AF2035" s="10" t="s">
        <v>4910</v>
      </c>
      <c r="AG2035" s="5" t="s">
        <v>2019</v>
      </c>
      <c r="AH2035" s="5" t="s">
        <v>4717</v>
      </c>
    </row>
    <row r="2036" spans="1:34" ht="10" customHeight="1" x14ac:dyDescent="0.2">
      <c r="A2036" s="5" t="s">
        <v>4712</v>
      </c>
      <c r="B2036" s="5" t="s">
        <v>4713</v>
      </c>
      <c r="C2036" s="5" t="s">
        <v>4941</v>
      </c>
      <c r="D2036" s="5" t="s">
        <v>4942</v>
      </c>
      <c r="E2036" s="10" t="s">
        <v>188</v>
      </c>
      <c r="F2036" s="5" t="s">
        <v>4908</v>
      </c>
      <c r="I2036" s="11">
        <v>2</v>
      </c>
      <c r="K2036" s="10" t="s">
        <v>50</v>
      </c>
      <c r="L2036" s="5" t="s">
        <v>51</v>
      </c>
      <c r="M2036" s="5" t="s">
        <v>119</v>
      </c>
      <c r="N2036" s="5" t="s">
        <v>120</v>
      </c>
      <c r="O2036" s="12"/>
      <c r="S2036" s="13">
        <v>139296</v>
      </c>
      <c r="U2036" s="13">
        <v>139296</v>
      </c>
      <c r="AC2036" s="16" t="str">
        <f t="shared" si="93"/>
        <v/>
      </c>
      <c r="AD2036" s="17">
        <f t="shared" si="94"/>
        <v>139296</v>
      </c>
      <c r="AE2036" s="17">
        <f t="shared" si="95"/>
        <v>0</v>
      </c>
      <c r="AF2036" s="10" t="s">
        <v>4910</v>
      </c>
      <c r="AG2036" s="5" t="s">
        <v>2019</v>
      </c>
      <c r="AH2036" s="5" t="s">
        <v>4717</v>
      </c>
    </row>
    <row r="2037" spans="1:34" ht="10" customHeight="1" x14ac:dyDescent="0.2">
      <c r="A2037" s="5" t="s">
        <v>4712</v>
      </c>
      <c r="B2037" s="5" t="s">
        <v>4713</v>
      </c>
      <c r="C2037" s="5" t="s">
        <v>4943</v>
      </c>
      <c r="D2037" s="5" t="s">
        <v>4944</v>
      </c>
      <c r="E2037" s="10" t="s">
        <v>188</v>
      </c>
      <c r="F2037" s="5" t="s">
        <v>4908</v>
      </c>
      <c r="I2037" s="11">
        <v>2</v>
      </c>
      <c r="K2037" s="10" t="s">
        <v>50</v>
      </c>
      <c r="L2037" s="5" t="s">
        <v>51</v>
      </c>
      <c r="M2037" s="5" t="s">
        <v>149</v>
      </c>
      <c r="N2037" s="5" t="s">
        <v>150</v>
      </c>
      <c r="O2037" s="12"/>
      <c r="S2037" s="13">
        <v>106345</v>
      </c>
      <c r="U2037" s="13">
        <v>106345</v>
      </c>
      <c r="AC2037" s="16" t="str">
        <f t="shared" si="93"/>
        <v/>
      </c>
      <c r="AD2037" s="17">
        <f t="shared" si="94"/>
        <v>106345</v>
      </c>
      <c r="AE2037" s="17">
        <f t="shared" si="95"/>
        <v>0</v>
      </c>
      <c r="AF2037" s="10" t="s">
        <v>4910</v>
      </c>
      <c r="AG2037" s="5" t="s">
        <v>2019</v>
      </c>
      <c r="AH2037" s="5" t="s">
        <v>4717</v>
      </c>
    </row>
    <row r="2038" spans="1:34" ht="10" customHeight="1" x14ac:dyDescent="0.2">
      <c r="A2038" s="5" t="s">
        <v>4712</v>
      </c>
      <c r="B2038" s="5" t="s">
        <v>4713</v>
      </c>
      <c r="C2038" s="5" t="s">
        <v>4945</v>
      </c>
      <c r="D2038" s="5" t="s">
        <v>4946</v>
      </c>
      <c r="E2038" s="10" t="s">
        <v>188</v>
      </c>
      <c r="F2038" s="5" t="s">
        <v>4908</v>
      </c>
      <c r="I2038" s="11">
        <v>2</v>
      </c>
      <c r="K2038" s="10" t="s">
        <v>50</v>
      </c>
      <c r="L2038" s="5" t="s">
        <v>51</v>
      </c>
      <c r="M2038" s="5" t="s">
        <v>119</v>
      </c>
      <c r="N2038" s="5" t="s">
        <v>120</v>
      </c>
      <c r="O2038" s="12"/>
      <c r="S2038" s="13">
        <v>55319</v>
      </c>
      <c r="U2038" s="13">
        <v>55319</v>
      </c>
      <c r="AC2038" s="16" t="str">
        <f t="shared" si="93"/>
        <v/>
      </c>
      <c r="AD2038" s="17">
        <f t="shared" si="94"/>
        <v>55319</v>
      </c>
      <c r="AE2038" s="17">
        <f t="shared" si="95"/>
        <v>0</v>
      </c>
      <c r="AF2038" s="10" t="s">
        <v>4910</v>
      </c>
      <c r="AG2038" s="5" t="s">
        <v>2019</v>
      </c>
      <c r="AH2038" s="5" t="s">
        <v>4717</v>
      </c>
    </row>
    <row r="2039" spans="1:34" ht="10" customHeight="1" x14ac:dyDescent="0.2">
      <c r="A2039" s="5" t="s">
        <v>4712</v>
      </c>
      <c r="B2039" s="5" t="s">
        <v>4713</v>
      </c>
      <c r="C2039" s="5" t="s">
        <v>4947</v>
      </c>
      <c r="D2039" s="5" t="s">
        <v>4948</v>
      </c>
      <c r="E2039" s="10" t="s">
        <v>188</v>
      </c>
      <c r="F2039" s="5" t="s">
        <v>4908</v>
      </c>
      <c r="I2039" s="11">
        <v>2</v>
      </c>
      <c r="K2039" s="10" t="s">
        <v>50</v>
      </c>
      <c r="L2039" s="5" t="s">
        <v>51</v>
      </c>
      <c r="M2039" s="5" t="s">
        <v>119</v>
      </c>
      <c r="N2039" s="5" t="s">
        <v>120</v>
      </c>
      <c r="O2039" s="12"/>
      <c r="S2039" s="13">
        <v>107108</v>
      </c>
      <c r="U2039" s="13">
        <v>107108</v>
      </c>
      <c r="AC2039" s="16" t="str">
        <f t="shared" si="93"/>
        <v/>
      </c>
      <c r="AD2039" s="17">
        <f t="shared" si="94"/>
        <v>107108</v>
      </c>
      <c r="AE2039" s="17">
        <f t="shared" si="95"/>
        <v>0</v>
      </c>
      <c r="AF2039" s="10" t="s">
        <v>4910</v>
      </c>
      <c r="AG2039" s="5" t="s">
        <v>2019</v>
      </c>
      <c r="AH2039" s="5" t="s">
        <v>4717</v>
      </c>
    </row>
    <row r="2040" spans="1:34" ht="10" customHeight="1" x14ac:dyDescent="0.2">
      <c r="A2040" s="5" t="s">
        <v>4712</v>
      </c>
      <c r="B2040" s="5" t="s">
        <v>4713</v>
      </c>
      <c r="C2040" s="5" t="s">
        <v>4949</v>
      </c>
      <c r="D2040" s="5" t="s">
        <v>4950</v>
      </c>
      <c r="E2040" s="10" t="s">
        <v>188</v>
      </c>
      <c r="F2040" s="5" t="s">
        <v>4908</v>
      </c>
      <c r="I2040" s="11">
        <v>2</v>
      </c>
      <c r="K2040" s="10" t="s">
        <v>50</v>
      </c>
      <c r="L2040" s="5" t="s">
        <v>51</v>
      </c>
      <c r="M2040" s="5" t="s">
        <v>119</v>
      </c>
      <c r="N2040" s="5" t="s">
        <v>120</v>
      </c>
      <c r="O2040" s="12"/>
      <c r="S2040" s="13">
        <v>25083</v>
      </c>
      <c r="U2040" s="13">
        <v>25083</v>
      </c>
      <c r="AC2040" s="16" t="str">
        <f t="shared" si="93"/>
        <v/>
      </c>
      <c r="AD2040" s="17">
        <f t="shared" si="94"/>
        <v>25083</v>
      </c>
      <c r="AE2040" s="17">
        <f t="shared" si="95"/>
        <v>0</v>
      </c>
      <c r="AF2040" s="10" t="s">
        <v>4910</v>
      </c>
      <c r="AG2040" s="5" t="s">
        <v>2019</v>
      </c>
      <c r="AH2040" s="5" t="s">
        <v>4717</v>
      </c>
    </row>
    <row r="2041" spans="1:34" ht="10" customHeight="1" x14ac:dyDescent="0.2">
      <c r="A2041" s="5" t="s">
        <v>4712</v>
      </c>
      <c r="B2041" s="5" t="s">
        <v>4713</v>
      </c>
      <c r="C2041" s="5" t="s">
        <v>4951</v>
      </c>
      <c r="D2041" s="5" t="s">
        <v>4952</v>
      </c>
      <c r="E2041" s="10" t="s">
        <v>188</v>
      </c>
      <c r="F2041" s="5" t="s">
        <v>4908</v>
      </c>
      <c r="I2041" s="11">
        <v>2</v>
      </c>
      <c r="K2041" s="10" t="s">
        <v>50</v>
      </c>
      <c r="L2041" s="5" t="s">
        <v>51</v>
      </c>
      <c r="M2041" s="5" t="s">
        <v>119</v>
      </c>
      <c r="N2041" s="5" t="s">
        <v>139</v>
      </c>
      <c r="O2041" s="12"/>
      <c r="S2041" s="13">
        <v>73360</v>
      </c>
      <c r="U2041" s="13">
        <v>73360</v>
      </c>
      <c r="AC2041" s="16" t="str">
        <f t="shared" si="93"/>
        <v/>
      </c>
      <c r="AD2041" s="17">
        <f t="shared" si="94"/>
        <v>73360</v>
      </c>
      <c r="AE2041" s="17">
        <f t="shared" si="95"/>
        <v>0</v>
      </c>
      <c r="AF2041" s="10" t="s">
        <v>4910</v>
      </c>
      <c r="AG2041" s="5" t="s">
        <v>2019</v>
      </c>
      <c r="AH2041" s="5" t="s">
        <v>4717</v>
      </c>
    </row>
    <row r="2042" spans="1:34" ht="10" customHeight="1" x14ac:dyDescent="0.2">
      <c r="A2042" s="5" t="s">
        <v>4712</v>
      </c>
      <c r="B2042" s="5" t="s">
        <v>4713</v>
      </c>
      <c r="C2042" s="5" t="s">
        <v>4953</v>
      </c>
      <c r="D2042" s="5" t="s">
        <v>4954</v>
      </c>
      <c r="E2042" s="10" t="s">
        <v>188</v>
      </c>
      <c r="F2042" s="5" t="s">
        <v>4908</v>
      </c>
      <c r="I2042" s="11">
        <v>2</v>
      </c>
      <c r="K2042" s="10" t="s">
        <v>50</v>
      </c>
      <c r="L2042" s="5" t="s">
        <v>51</v>
      </c>
      <c r="M2042" s="5" t="s">
        <v>119</v>
      </c>
      <c r="N2042" s="5" t="s">
        <v>139</v>
      </c>
      <c r="O2042" s="12"/>
      <c r="S2042" s="13">
        <v>74891</v>
      </c>
      <c r="U2042" s="13">
        <v>74891</v>
      </c>
      <c r="AC2042" s="16" t="str">
        <f t="shared" si="93"/>
        <v/>
      </c>
      <c r="AD2042" s="17">
        <f t="shared" si="94"/>
        <v>74891</v>
      </c>
      <c r="AE2042" s="17">
        <f t="shared" si="95"/>
        <v>0</v>
      </c>
      <c r="AF2042" s="10" t="s">
        <v>4910</v>
      </c>
      <c r="AG2042" s="5" t="s">
        <v>2019</v>
      </c>
      <c r="AH2042" s="5" t="s">
        <v>4717</v>
      </c>
    </row>
    <row r="2043" spans="1:34" ht="10" customHeight="1" x14ac:dyDescent="0.2">
      <c r="A2043" s="5" t="s">
        <v>4712</v>
      </c>
      <c r="B2043" s="5" t="s">
        <v>4713</v>
      </c>
      <c r="C2043" s="5" t="s">
        <v>4955</v>
      </c>
      <c r="D2043" s="5" t="s">
        <v>4956</v>
      </c>
      <c r="E2043" s="10" t="s">
        <v>188</v>
      </c>
      <c r="F2043" s="5" t="s">
        <v>4908</v>
      </c>
      <c r="I2043" s="11">
        <v>2</v>
      </c>
      <c r="K2043" s="10" t="s">
        <v>50</v>
      </c>
      <c r="L2043" s="5" t="s">
        <v>51</v>
      </c>
      <c r="M2043" s="5" t="s">
        <v>119</v>
      </c>
      <c r="N2043" s="5" t="s">
        <v>120</v>
      </c>
      <c r="O2043" s="12"/>
      <c r="S2043" s="13">
        <v>56967</v>
      </c>
      <c r="U2043" s="13">
        <v>56967</v>
      </c>
      <c r="AC2043" s="16" t="str">
        <f t="shared" si="93"/>
        <v/>
      </c>
      <c r="AD2043" s="17">
        <f t="shared" si="94"/>
        <v>56967</v>
      </c>
      <c r="AE2043" s="17">
        <f t="shared" si="95"/>
        <v>0</v>
      </c>
      <c r="AF2043" s="10" t="s">
        <v>4910</v>
      </c>
      <c r="AG2043" s="5" t="s">
        <v>2019</v>
      </c>
      <c r="AH2043" s="5" t="s">
        <v>4717</v>
      </c>
    </row>
    <row r="2044" spans="1:34" ht="10" customHeight="1" x14ac:dyDescent="0.2">
      <c r="A2044" s="5" t="s">
        <v>4712</v>
      </c>
      <c r="B2044" s="5" t="s">
        <v>4713</v>
      </c>
      <c r="C2044" s="5" t="s">
        <v>4957</v>
      </c>
      <c r="D2044" s="5" t="s">
        <v>4958</v>
      </c>
      <c r="E2044" s="10" t="s">
        <v>188</v>
      </c>
      <c r="F2044" s="5" t="s">
        <v>4908</v>
      </c>
      <c r="I2044" s="11">
        <v>2</v>
      </c>
      <c r="K2044" s="10" t="s">
        <v>50</v>
      </c>
      <c r="L2044" s="5" t="s">
        <v>51</v>
      </c>
      <c r="M2044" s="5" t="s">
        <v>119</v>
      </c>
      <c r="N2044" s="5" t="s">
        <v>4959</v>
      </c>
      <c r="O2044" s="12"/>
      <c r="S2044" s="13">
        <v>42351</v>
      </c>
      <c r="U2044" s="13">
        <v>42351</v>
      </c>
      <c r="AC2044" s="16" t="str">
        <f t="shared" si="93"/>
        <v/>
      </c>
      <c r="AD2044" s="17">
        <f t="shared" si="94"/>
        <v>42351</v>
      </c>
      <c r="AE2044" s="17">
        <f t="shared" si="95"/>
        <v>0</v>
      </c>
      <c r="AF2044" s="10" t="s">
        <v>4910</v>
      </c>
      <c r="AG2044" s="5" t="s">
        <v>2049</v>
      </c>
      <c r="AH2044" s="5" t="s">
        <v>4717</v>
      </c>
    </row>
    <row r="2045" spans="1:34" ht="10" customHeight="1" x14ac:dyDescent="0.2">
      <c r="A2045" s="5" t="s">
        <v>4712</v>
      </c>
      <c r="B2045" s="5" t="s">
        <v>4713</v>
      </c>
      <c r="C2045" s="5" t="s">
        <v>4960</v>
      </c>
      <c r="D2045" s="5" t="s">
        <v>4961</v>
      </c>
      <c r="E2045" s="10" t="s">
        <v>188</v>
      </c>
      <c r="F2045" s="5" t="s">
        <v>4908</v>
      </c>
      <c r="I2045" s="11">
        <v>2</v>
      </c>
      <c r="K2045" s="10" t="s">
        <v>50</v>
      </c>
      <c r="L2045" s="5" t="s">
        <v>51</v>
      </c>
      <c r="M2045" s="5" t="s">
        <v>149</v>
      </c>
      <c r="N2045" s="5" t="s">
        <v>4909</v>
      </c>
      <c r="O2045" s="12"/>
      <c r="S2045" s="13">
        <v>179791</v>
      </c>
      <c r="U2045" s="13">
        <v>179791</v>
      </c>
      <c r="AC2045" s="16" t="str">
        <f t="shared" si="93"/>
        <v/>
      </c>
      <c r="AD2045" s="17">
        <f t="shared" si="94"/>
        <v>179791</v>
      </c>
      <c r="AE2045" s="17">
        <f t="shared" si="95"/>
        <v>0</v>
      </c>
      <c r="AF2045" s="10" t="s">
        <v>4910</v>
      </c>
      <c r="AG2045" s="5" t="s">
        <v>2049</v>
      </c>
      <c r="AH2045" s="5" t="s">
        <v>4717</v>
      </c>
    </row>
    <row r="2046" spans="1:34" ht="10" customHeight="1" x14ac:dyDescent="0.2">
      <c r="A2046" s="5" t="s">
        <v>4712</v>
      </c>
      <c r="B2046" s="5" t="s">
        <v>4713</v>
      </c>
      <c r="C2046" s="5" t="s">
        <v>4962</v>
      </c>
      <c r="D2046" s="5" t="s">
        <v>4963</v>
      </c>
      <c r="E2046" s="10" t="s">
        <v>188</v>
      </c>
      <c r="F2046" s="5" t="s">
        <v>4908</v>
      </c>
      <c r="I2046" s="11">
        <v>2</v>
      </c>
      <c r="K2046" s="10" t="s">
        <v>50</v>
      </c>
      <c r="L2046" s="5" t="s">
        <v>51</v>
      </c>
      <c r="M2046" s="5" t="s">
        <v>119</v>
      </c>
      <c r="N2046" s="5" t="s">
        <v>120</v>
      </c>
      <c r="O2046" s="12"/>
      <c r="S2046" s="13">
        <v>103218</v>
      </c>
      <c r="U2046" s="13">
        <v>103218</v>
      </c>
      <c r="AC2046" s="16" t="str">
        <f t="shared" si="93"/>
        <v/>
      </c>
      <c r="AD2046" s="17">
        <f t="shared" si="94"/>
        <v>103218</v>
      </c>
      <c r="AE2046" s="17">
        <f t="shared" si="95"/>
        <v>0</v>
      </c>
      <c r="AF2046" s="10" t="s">
        <v>4910</v>
      </c>
      <c r="AG2046" s="5" t="s">
        <v>2049</v>
      </c>
      <c r="AH2046" s="5" t="s">
        <v>4717</v>
      </c>
    </row>
    <row r="2047" spans="1:34" ht="10" customHeight="1" x14ac:dyDescent="0.2">
      <c r="A2047" s="5" t="s">
        <v>4712</v>
      </c>
      <c r="B2047" s="5" t="s">
        <v>4713</v>
      </c>
      <c r="C2047" s="5" t="s">
        <v>4964</v>
      </c>
      <c r="D2047" s="5" t="s">
        <v>4965</v>
      </c>
      <c r="E2047" s="10" t="s">
        <v>57</v>
      </c>
      <c r="F2047" s="5" t="s">
        <v>4742</v>
      </c>
      <c r="I2047" s="11">
        <v>2</v>
      </c>
      <c r="K2047" s="10" t="s">
        <v>50</v>
      </c>
      <c r="L2047" s="5" t="s">
        <v>51</v>
      </c>
      <c r="M2047" s="5" t="s">
        <v>4966</v>
      </c>
      <c r="N2047" s="5" t="s">
        <v>4967</v>
      </c>
      <c r="O2047" s="12"/>
      <c r="S2047" s="13">
        <v>60807</v>
      </c>
      <c r="U2047" s="13">
        <v>60807</v>
      </c>
      <c r="AC2047" s="16" t="str">
        <f t="shared" si="93"/>
        <v/>
      </c>
      <c r="AD2047" s="17">
        <f t="shared" si="94"/>
        <v>60807</v>
      </c>
      <c r="AE2047" s="17">
        <f t="shared" si="95"/>
        <v>0</v>
      </c>
      <c r="AF2047" s="10" t="s">
        <v>4968</v>
      </c>
      <c r="AG2047" s="5" t="s">
        <v>2069</v>
      </c>
      <c r="AH2047" s="5" t="s">
        <v>4717</v>
      </c>
    </row>
    <row r="2048" spans="1:34" ht="10" customHeight="1" x14ac:dyDescent="0.2">
      <c r="A2048" s="5" t="s">
        <v>4712</v>
      </c>
      <c r="B2048" s="5" t="s">
        <v>4713</v>
      </c>
      <c r="C2048" s="5" t="s">
        <v>4969</v>
      </c>
      <c r="D2048" s="5" t="s">
        <v>4970</v>
      </c>
      <c r="E2048" s="10" t="s">
        <v>57</v>
      </c>
      <c r="F2048" s="5" t="s">
        <v>4740</v>
      </c>
      <c r="I2048" s="11">
        <v>2</v>
      </c>
      <c r="K2048" s="10" t="s">
        <v>50</v>
      </c>
      <c r="L2048" s="5" t="s">
        <v>51</v>
      </c>
      <c r="M2048" s="5" t="s">
        <v>4966</v>
      </c>
      <c r="N2048" s="5" t="s">
        <v>4967</v>
      </c>
      <c r="O2048" s="12"/>
      <c r="S2048" s="13">
        <v>15165</v>
      </c>
      <c r="U2048" s="13">
        <v>15165</v>
      </c>
      <c r="AC2048" s="16" t="str">
        <f t="shared" si="93"/>
        <v/>
      </c>
      <c r="AD2048" s="17">
        <f t="shared" si="94"/>
        <v>15165</v>
      </c>
      <c r="AE2048" s="17">
        <f t="shared" si="95"/>
        <v>0</v>
      </c>
      <c r="AF2048" s="10" t="s">
        <v>4968</v>
      </c>
      <c r="AG2048" s="5" t="s">
        <v>2069</v>
      </c>
      <c r="AH2048" s="5" t="s">
        <v>4717</v>
      </c>
    </row>
    <row r="2049" spans="1:34" ht="10" customHeight="1" x14ac:dyDescent="0.2">
      <c r="A2049" s="5" t="s">
        <v>4712</v>
      </c>
      <c r="B2049" s="5" t="s">
        <v>4713</v>
      </c>
      <c r="C2049" s="5" t="s">
        <v>4971</v>
      </c>
      <c r="D2049" s="5" t="s">
        <v>4972</v>
      </c>
      <c r="E2049" s="10" t="s">
        <v>57</v>
      </c>
      <c r="F2049" s="5" t="s">
        <v>4740</v>
      </c>
      <c r="I2049" s="11">
        <v>2</v>
      </c>
      <c r="K2049" s="10" t="s">
        <v>190</v>
      </c>
      <c r="L2049" s="5" t="s">
        <v>51</v>
      </c>
      <c r="M2049" s="5" t="s">
        <v>182</v>
      </c>
      <c r="N2049" s="5" t="s">
        <v>191</v>
      </c>
      <c r="O2049" s="12"/>
      <c r="S2049" s="13">
        <v>7051</v>
      </c>
      <c r="U2049" s="13">
        <v>7051</v>
      </c>
      <c r="AC2049" s="16" t="str">
        <f t="shared" si="93"/>
        <v/>
      </c>
      <c r="AD2049" s="17">
        <f t="shared" si="94"/>
        <v>7051</v>
      </c>
      <c r="AE2049" s="17">
        <f t="shared" si="95"/>
        <v>0</v>
      </c>
      <c r="AF2049" s="10" t="s">
        <v>4968</v>
      </c>
      <c r="AG2049" s="5" t="s">
        <v>2069</v>
      </c>
      <c r="AH2049" s="5" t="s">
        <v>4717</v>
      </c>
    </row>
    <row r="2050" spans="1:34" ht="10" customHeight="1" x14ac:dyDescent="0.2">
      <c r="A2050" s="5" t="s">
        <v>4712</v>
      </c>
      <c r="B2050" s="5" t="s">
        <v>4713</v>
      </c>
      <c r="C2050" s="5" t="s">
        <v>4973</v>
      </c>
      <c r="D2050" s="5" t="s">
        <v>4974</v>
      </c>
      <c r="E2050" s="10" t="s">
        <v>57</v>
      </c>
      <c r="F2050" s="5" t="s">
        <v>4742</v>
      </c>
      <c r="I2050" s="11">
        <v>2</v>
      </c>
      <c r="K2050" s="10" t="s">
        <v>190</v>
      </c>
      <c r="L2050" s="5" t="s">
        <v>51</v>
      </c>
      <c r="M2050" s="5" t="s">
        <v>182</v>
      </c>
      <c r="N2050" s="5" t="s">
        <v>191</v>
      </c>
      <c r="O2050" s="12"/>
      <c r="S2050" s="13">
        <v>8087</v>
      </c>
      <c r="U2050" s="13">
        <v>8087</v>
      </c>
      <c r="AC2050" s="16" t="str">
        <f t="shared" si="93"/>
        <v/>
      </c>
      <c r="AD2050" s="17">
        <f t="shared" si="94"/>
        <v>8087</v>
      </c>
      <c r="AE2050" s="17">
        <f t="shared" si="95"/>
        <v>0</v>
      </c>
      <c r="AF2050" s="10" t="s">
        <v>4968</v>
      </c>
      <c r="AG2050" s="5" t="s">
        <v>2069</v>
      </c>
      <c r="AH2050" s="5" t="s">
        <v>4717</v>
      </c>
    </row>
    <row r="2051" spans="1:34" ht="10" customHeight="1" x14ac:dyDescent="0.2">
      <c r="A2051" s="5" t="s">
        <v>4712</v>
      </c>
      <c r="B2051" s="5" t="s">
        <v>4713</v>
      </c>
      <c r="C2051" s="5" t="s">
        <v>4975</v>
      </c>
      <c r="D2051" s="5" t="s">
        <v>4976</v>
      </c>
      <c r="E2051" s="10" t="s">
        <v>57</v>
      </c>
      <c r="F2051" s="5" t="s">
        <v>4740</v>
      </c>
      <c r="I2051" s="11">
        <v>2</v>
      </c>
      <c r="K2051" s="10" t="s">
        <v>190</v>
      </c>
      <c r="L2051" s="5" t="s">
        <v>51</v>
      </c>
      <c r="M2051" s="5" t="s">
        <v>182</v>
      </c>
      <c r="N2051" s="5" t="s">
        <v>191</v>
      </c>
      <c r="O2051" s="12"/>
      <c r="S2051" s="13">
        <v>18342</v>
      </c>
      <c r="U2051" s="13">
        <v>18342</v>
      </c>
      <c r="AC2051" s="16" t="str">
        <f t="shared" si="93"/>
        <v/>
      </c>
      <c r="AD2051" s="17">
        <f t="shared" si="94"/>
        <v>18342</v>
      </c>
      <c r="AE2051" s="17">
        <f t="shared" si="95"/>
        <v>0</v>
      </c>
      <c r="AF2051" s="10" t="s">
        <v>4968</v>
      </c>
      <c r="AG2051" s="5" t="s">
        <v>2077</v>
      </c>
      <c r="AH2051" s="5" t="s">
        <v>4717</v>
      </c>
    </row>
    <row r="2052" spans="1:34" ht="10" customHeight="1" x14ac:dyDescent="0.2">
      <c r="A2052" s="5" t="s">
        <v>4712</v>
      </c>
      <c r="B2052" s="5" t="s">
        <v>4713</v>
      </c>
      <c r="C2052" s="5" t="s">
        <v>4977</v>
      </c>
      <c r="D2052" s="5" t="s">
        <v>4978</v>
      </c>
      <c r="E2052" s="10" t="s">
        <v>57</v>
      </c>
      <c r="F2052" s="5" t="s">
        <v>4742</v>
      </c>
      <c r="I2052" s="11">
        <v>2</v>
      </c>
      <c r="K2052" s="10" t="s">
        <v>190</v>
      </c>
      <c r="L2052" s="5" t="s">
        <v>51</v>
      </c>
      <c r="M2052" s="5" t="s">
        <v>182</v>
      </c>
      <c r="N2052" s="5" t="s">
        <v>191</v>
      </c>
      <c r="O2052" s="12"/>
      <c r="S2052" s="13">
        <v>9683</v>
      </c>
      <c r="U2052" s="13">
        <v>9683</v>
      </c>
      <c r="AC2052" s="16" t="str">
        <f t="shared" si="93"/>
        <v/>
      </c>
      <c r="AD2052" s="17">
        <f t="shared" si="94"/>
        <v>9683</v>
      </c>
      <c r="AE2052" s="17">
        <f t="shared" si="95"/>
        <v>0</v>
      </c>
      <c r="AF2052" s="10" t="s">
        <v>4968</v>
      </c>
      <c r="AG2052" s="5" t="s">
        <v>2077</v>
      </c>
      <c r="AH2052" s="5" t="s">
        <v>4717</v>
      </c>
    </row>
    <row r="2053" spans="1:34" ht="10" customHeight="1" x14ac:dyDescent="0.2">
      <c r="A2053" s="5" t="s">
        <v>4712</v>
      </c>
      <c r="B2053" s="5" t="s">
        <v>4713</v>
      </c>
      <c r="C2053" s="5" t="s">
        <v>4979</v>
      </c>
      <c r="D2053" s="5" t="s">
        <v>4980</v>
      </c>
      <c r="E2053" s="10" t="s">
        <v>57</v>
      </c>
      <c r="F2053" s="5" t="s">
        <v>4714</v>
      </c>
      <c r="I2053" s="11">
        <v>2</v>
      </c>
      <c r="K2053" s="10" t="s">
        <v>190</v>
      </c>
      <c r="L2053" s="5" t="s">
        <v>51</v>
      </c>
      <c r="M2053" s="5" t="s">
        <v>182</v>
      </c>
      <c r="N2053" s="5" t="s">
        <v>191</v>
      </c>
      <c r="O2053" s="12"/>
      <c r="S2053" s="13">
        <v>21018</v>
      </c>
      <c r="U2053" s="13">
        <v>21018</v>
      </c>
      <c r="AC2053" s="16" t="str">
        <f t="shared" si="93"/>
        <v/>
      </c>
      <c r="AD2053" s="17">
        <f t="shared" si="94"/>
        <v>21018</v>
      </c>
      <c r="AE2053" s="17">
        <f t="shared" si="95"/>
        <v>0</v>
      </c>
      <c r="AF2053" s="10" t="s">
        <v>4968</v>
      </c>
      <c r="AG2053" s="5" t="s">
        <v>2077</v>
      </c>
      <c r="AH2053" s="5" t="s">
        <v>4717</v>
      </c>
    </row>
    <row r="2054" spans="1:34" ht="10" customHeight="1" x14ac:dyDescent="0.2">
      <c r="A2054" s="5" t="s">
        <v>4712</v>
      </c>
      <c r="B2054" s="5" t="s">
        <v>4713</v>
      </c>
      <c r="C2054" s="5" t="s">
        <v>4981</v>
      </c>
      <c r="D2054" s="5" t="s">
        <v>4982</v>
      </c>
      <c r="E2054" s="10" t="s">
        <v>57</v>
      </c>
      <c r="F2054" s="5" t="s">
        <v>4743</v>
      </c>
      <c r="I2054" s="11">
        <v>2</v>
      </c>
      <c r="K2054" s="10" t="s">
        <v>190</v>
      </c>
      <c r="L2054" s="5" t="s">
        <v>51</v>
      </c>
      <c r="M2054" s="5" t="s">
        <v>182</v>
      </c>
      <c r="N2054" s="5" t="s">
        <v>191</v>
      </c>
      <c r="O2054" s="12"/>
      <c r="S2054" s="13">
        <v>630</v>
      </c>
      <c r="U2054" s="13">
        <v>630</v>
      </c>
      <c r="AC2054" s="16" t="str">
        <f t="shared" ref="AC2054:AC2117" si="96">IF(OR(E2054="",E2054="[PARENT]"),"ADD",IF(E2054="[ALT_VIEW]","ALT",""))</f>
        <v/>
      </c>
      <c r="AD2054" s="17">
        <f t="shared" ref="AD2054:AD2117" si="97">IF(Y2054&lt;&gt;"",Y2054,IF(U2054&lt;&gt;"",U2054,S2054))</f>
        <v>630</v>
      </c>
      <c r="AE2054" s="17">
        <f t="shared" ref="AE2054:AE2117" si="98">IF(AB2054&lt;&gt;"",AB2054,Z2054)</f>
        <v>0</v>
      </c>
      <c r="AF2054" s="10" t="s">
        <v>4968</v>
      </c>
      <c r="AG2054" s="5" t="s">
        <v>2077</v>
      </c>
      <c r="AH2054" s="5" t="s">
        <v>4717</v>
      </c>
    </row>
    <row r="2055" spans="1:34" ht="10" customHeight="1" x14ac:dyDescent="0.2">
      <c r="A2055" s="5" t="s">
        <v>4712</v>
      </c>
      <c r="B2055" s="5" t="s">
        <v>4713</v>
      </c>
      <c r="C2055" s="5" t="s">
        <v>4983</v>
      </c>
      <c r="D2055" s="5" t="s">
        <v>4984</v>
      </c>
      <c r="E2055" s="10" t="s">
        <v>57</v>
      </c>
      <c r="F2055" s="5" t="s">
        <v>4742</v>
      </c>
      <c r="I2055" s="11">
        <v>2</v>
      </c>
      <c r="K2055" s="10" t="s">
        <v>50</v>
      </c>
      <c r="L2055" s="5" t="s">
        <v>232</v>
      </c>
      <c r="M2055" s="5" t="s">
        <v>4985</v>
      </c>
      <c r="N2055" s="5" t="s">
        <v>4986</v>
      </c>
      <c r="O2055" s="12"/>
      <c r="S2055" s="13">
        <v>7528</v>
      </c>
      <c r="U2055" s="13">
        <v>7528</v>
      </c>
      <c r="AC2055" s="16" t="str">
        <f t="shared" si="96"/>
        <v/>
      </c>
      <c r="AD2055" s="17">
        <f t="shared" si="97"/>
        <v>7528</v>
      </c>
      <c r="AE2055" s="17">
        <f t="shared" si="98"/>
        <v>0</v>
      </c>
      <c r="AF2055" s="10" t="s">
        <v>4968</v>
      </c>
      <c r="AG2055" s="5" t="s">
        <v>2077</v>
      </c>
      <c r="AH2055" s="5" t="s">
        <v>4717</v>
      </c>
    </row>
    <row r="2056" spans="1:34" ht="10" customHeight="1" x14ac:dyDescent="0.2">
      <c r="A2056" s="5" t="s">
        <v>4712</v>
      </c>
      <c r="B2056" s="5" t="s">
        <v>4713</v>
      </c>
      <c r="C2056" s="5" t="s">
        <v>4987</v>
      </c>
      <c r="D2056" s="5" t="s">
        <v>4988</v>
      </c>
      <c r="E2056" s="10" t="s">
        <v>57</v>
      </c>
      <c r="F2056" s="5" t="s">
        <v>4742</v>
      </c>
      <c r="I2056" s="11">
        <v>2</v>
      </c>
      <c r="K2056" s="10" t="s">
        <v>50</v>
      </c>
      <c r="L2056" s="5" t="s">
        <v>51</v>
      </c>
      <c r="M2056" s="5" t="s">
        <v>4859</v>
      </c>
      <c r="N2056" s="5" t="s">
        <v>4860</v>
      </c>
      <c r="O2056" s="12"/>
      <c r="S2056" s="13">
        <v>32346</v>
      </c>
      <c r="U2056" s="13">
        <v>32346</v>
      </c>
      <c r="AC2056" s="16" t="str">
        <f t="shared" si="96"/>
        <v/>
      </c>
      <c r="AD2056" s="17">
        <f t="shared" si="97"/>
        <v>32346</v>
      </c>
      <c r="AE2056" s="17">
        <f t="shared" si="98"/>
        <v>0</v>
      </c>
      <c r="AF2056" s="10" t="s">
        <v>4968</v>
      </c>
      <c r="AG2056" s="5" t="s">
        <v>2077</v>
      </c>
      <c r="AH2056" s="5" t="s">
        <v>4717</v>
      </c>
    </row>
    <row r="2057" spans="1:34" ht="10" customHeight="1" x14ac:dyDescent="0.2">
      <c r="A2057" s="5" t="s">
        <v>4712</v>
      </c>
      <c r="B2057" s="5" t="s">
        <v>4713</v>
      </c>
      <c r="C2057" s="5" t="s">
        <v>4989</v>
      </c>
      <c r="D2057" s="5" t="s">
        <v>4990</v>
      </c>
      <c r="E2057" s="10" t="s">
        <v>57</v>
      </c>
      <c r="F2057" s="5" t="s">
        <v>4743</v>
      </c>
      <c r="I2057" s="11">
        <v>2</v>
      </c>
      <c r="K2057" s="10" t="s">
        <v>50</v>
      </c>
      <c r="L2057" s="5" t="s">
        <v>232</v>
      </c>
      <c r="M2057" s="5" t="s">
        <v>4643</v>
      </c>
      <c r="N2057" s="5" t="s">
        <v>4644</v>
      </c>
      <c r="O2057" s="12"/>
      <c r="S2057" s="13">
        <v>18892</v>
      </c>
      <c r="U2057" s="13">
        <v>18892</v>
      </c>
      <c r="AC2057" s="16" t="str">
        <f t="shared" si="96"/>
        <v/>
      </c>
      <c r="AD2057" s="17">
        <f t="shared" si="97"/>
        <v>18892</v>
      </c>
      <c r="AE2057" s="17">
        <f t="shared" si="98"/>
        <v>0</v>
      </c>
      <c r="AF2057" s="10" t="s">
        <v>4968</v>
      </c>
      <c r="AG2057" s="5" t="s">
        <v>2077</v>
      </c>
      <c r="AH2057" s="5" t="s">
        <v>4717</v>
      </c>
    </row>
    <row r="2058" spans="1:34" ht="10" customHeight="1" x14ac:dyDescent="0.2">
      <c r="A2058" s="5" t="s">
        <v>4712</v>
      </c>
      <c r="B2058" s="5" t="s">
        <v>4713</v>
      </c>
      <c r="C2058" s="5" t="s">
        <v>4991</v>
      </c>
      <c r="D2058" s="5" t="s">
        <v>4992</v>
      </c>
      <c r="E2058" s="10" t="s">
        <v>57</v>
      </c>
      <c r="F2058" s="5" t="s">
        <v>4743</v>
      </c>
      <c r="I2058" s="11">
        <v>2</v>
      </c>
      <c r="K2058" s="10" t="s">
        <v>190</v>
      </c>
      <c r="L2058" s="5" t="s">
        <v>51</v>
      </c>
      <c r="M2058" s="5" t="s">
        <v>214</v>
      </c>
      <c r="N2058" s="5" t="s">
        <v>215</v>
      </c>
      <c r="O2058" s="12"/>
      <c r="S2058" s="13">
        <v>5757</v>
      </c>
      <c r="U2058" s="13">
        <v>5757</v>
      </c>
      <c r="AC2058" s="16" t="str">
        <f t="shared" si="96"/>
        <v/>
      </c>
      <c r="AD2058" s="17">
        <f t="shared" si="97"/>
        <v>5757</v>
      </c>
      <c r="AE2058" s="17">
        <f t="shared" si="98"/>
        <v>0</v>
      </c>
      <c r="AF2058" s="10" t="s">
        <v>4968</v>
      </c>
      <c r="AG2058" s="5" t="s">
        <v>2077</v>
      </c>
      <c r="AH2058" s="5" t="s">
        <v>4717</v>
      </c>
    </row>
    <row r="2059" spans="1:34" ht="10" customHeight="1" x14ac:dyDescent="0.2">
      <c r="A2059" s="5" t="s">
        <v>4712</v>
      </c>
      <c r="B2059" s="5" t="s">
        <v>4713</v>
      </c>
      <c r="C2059" s="5" t="s">
        <v>4993</v>
      </c>
      <c r="D2059" s="5" t="s">
        <v>4994</v>
      </c>
      <c r="E2059" s="10" t="s">
        <v>57</v>
      </c>
      <c r="F2059" s="5" t="s">
        <v>4742</v>
      </c>
      <c r="I2059" s="11">
        <v>2</v>
      </c>
      <c r="K2059" s="10" t="s">
        <v>190</v>
      </c>
      <c r="L2059" s="5" t="s">
        <v>51</v>
      </c>
      <c r="M2059" s="5" t="s">
        <v>214</v>
      </c>
      <c r="N2059" s="5" t="s">
        <v>215</v>
      </c>
      <c r="O2059" s="12"/>
      <c r="S2059" s="13">
        <v>5763</v>
      </c>
      <c r="U2059" s="13">
        <v>5763</v>
      </c>
      <c r="AC2059" s="16" t="str">
        <f t="shared" si="96"/>
        <v/>
      </c>
      <c r="AD2059" s="17">
        <f t="shared" si="97"/>
        <v>5763</v>
      </c>
      <c r="AE2059" s="17">
        <f t="shared" si="98"/>
        <v>0</v>
      </c>
      <c r="AF2059" s="10" t="s">
        <v>4968</v>
      </c>
      <c r="AG2059" s="5" t="s">
        <v>2077</v>
      </c>
      <c r="AH2059" s="5" t="s">
        <v>4717</v>
      </c>
    </row>
    <row r="2060" spans="1:34" ht="10" customHeight="1" x14ac:dyDescent="0.2">
      <c r="A2060" s="5" t="s">
        <v>4712</v>
      </c>
      <c r="B2060" s="5" t="s">
        <v>4713</v>
      </c>
      <c r="C2060" s="5" t="s">
        <v>4995</v>
      </c>
      <c r="D2060" s="5" t="s">
        <v>4996</v>
      </c>
      <c r="E2060" s="10" t="s">
        <v>57</v>
      </c>
      <c r="F2060" s="5" t="s">
        <v>4742</v>
      </c>
      <c r="I2060" s="11">
        <v>2</v>
      </c>
      <c r="K2060" s="10" t="s">
        <v>190</v>
      </c>
      <c r="L2060" s="5" t="s">
        <v>51</v>
      </c>
      <c r="M2060" s="5" t="s">
        <v>214</v>
      </c>
      <c r="N2060" s="5" t="s">
        <v>215</v>
      </c>
      <c r="O2060" s="12"/>
      <c r="S2060" s="13">
        <v>6131</v>
      </c>
      <c r="U2060" s="13">
        <v>6131</v>
      </c>
      <c r="AC2060" s="16" t="str">
        <f t="shared" si="96"/>
        <v/>
      </c>
      <c r="AD2060" s="17">
        <f t="shared" si="97"/>
        <v>6131</v>
      </c>
      <c r="AE2060" s="17">
        <f t="shared" si="98"/>
        <v>0</v>
      </c>
      <c r="AF2060" s="10" t="s">
        <v>4968</v>
      </c>
      <c r="AG2060" s="5" t="s">
        <v>2077</v>
      </c>
      <c r="AH2060" s="5" t="s">
        <v>4717</v>
      </c>
    </row>
    <row r="2061" spans="1:34" ht="10" customHeight="1" x14ac:dyDescent="0.2">
      <c r="A2061" s="5" t="s">
        <v>4712</v>
      </c>
      <c r="B2061" s="5" t="s">
        <v>4713</v>
      </c>
      <c r="C2061" s="5" t="s">
        <v>4997</v>
      </c>
      <c r="D2061" s="5" t="s">
        <v>4998</v>
      </c>
      <c r="E2061" s="10" t="s">
        <v>57</v>
      </c>
      <c r="F2061" s="5" t="s">
        <v>4742</v>
      </c>
      <c r="I2061" s="11">
        <v>2</v>
      </c>
      <c r="K2061" s="10" t="s">
        <v>190</v>
      </c>
      <c r="L2061" s="5" t="s">
        <v>51</v>
      </c>
      <c r="M2061" s="5" t="s">
        <v>214</v>
      </c>
      <c r="N2061" s="5" t="s">
        <v>215</v>
      </c>
      <c r="O2061" s="12"/>
      <c r="S2061" s="13">
        <v>9880</v>
      </c>
      <c r="U2061" s="13">
        <v>9880</v>
      </c>
      <c r="AC2061" s="16" t="str">
        <f t="shared" si="96"/>
        <v/>
      </c>
      <c r="AD2061" s="17">
        <f t="shared" si="97"/>
        <v>9880</v>
      </c>
      <c r="AE2061" s="17">
        <f t="shared" si="98"/>
        <v>0</v>
      </c>
      <c r="AF2061" s="10" t="s">
        <v>4968</v>
      </c>
      <c r="AG2061" s="5" t="s">
        <v>2077</v>
      </c>
      <c r="AH2061" s="5" t="s">
        <v>4717</v>
      </c>
    </row>
    <row r="2062" spans="1:34" ht="10" customHeight="1" x14ac:dyDescent="0.2">
      <c r="A2062" s="5" t="s">
        <v>4712</v>
      </c>
      <c r="B2062" s="5" t="s">
        <v>4713</v>
      </c>
      <c r="C2062" s="5" t="s">
        <v>4999</v>
      </c>
      <c r="D2062" s="5" t="s">
        <v>5000</v>
      </c>
      <c r="E2062" s="10" t="s">
        <v>57</v>
      </c>
      <c r="F2062" s="5" t="s">
        <v>4742</v>
      </c>
      <c r="I2062" s="11">
        <v>2</v>
      </c>
      <c r="K2062" s="10" t="s">
        <v>190</v>
      </c>
      <c r="L2062" s="5" t="s">
        <v>51</v>
      </c>
      <c r="M2062" s="5" t="s">
        <v>214</v>
      </c>
      <c r="N2062" s="5" t="s">
        <v>215</v>
      </c>
      <c r="O2062" s="12"/>
      <c r="S2062" s="13">
        <v>643</v>
      </c>
      <c r="U2062" s="13">
        <v>643</v>
      </c>
      <c r="AC2062" s="16" t="str">
        <f t="shared" si="96"/>
        <v/>
      </c>
      <c r="AD2062" s="17">
        <f t="shared" si="97"/>
        <v>643</v>
      </c>
      <c r="AE2062" s="17">
        <f t="shared" si="98"/>
        <v>0</v>
      </c>
      <c r="AF2062" s="10" t="s">
        <v>4968</v>
      </c>
      <c r="AG2062" s="5" t="s">
        <v>2077</v>
      </c>
      <c r="AH2062" s="5" t="s">
        <v>4717</v>
      </c>
    </row>
    <row r="2063" spans="1:34" ht="10" customHeight="1" x14ac:dyDescent="0.2">
      <c r="A2063" s="5" t="s">
        <v>4712</v>
      </c>
      <c r="B2063" s="5" t="s">
        <v>4713</v>
      </c>
      <c r="C2063" s="5" t="s">
        <v>5001</v>
      </c>
      <c r="D2063" s="5" t="s">
        <v>5002</v>
      </c>
      <c r="E2063" s="10" t="s">
        <v>57</v>
      </c>
      <c r="F2063" s="5" t="s">
        <v>4743</v>
      </c>
      <c r="I2063" s="11">
        <v>2</v>
      </c>
      <c r="K2063" s="10" t="s">
        <v>190</v>
      </c>
      <c r="L2063" s="5" t="s">
        <v>232</v>
      </c>
      <c r="M2063" s="5" t="s">
        <v>233</v>
      </c>
      <c r="N2063" s="5" t="s">
        <v>234</v>
      </c>
      <c r="O2063" s="12"/>
      <c r="S2063" s="13">
        <v>19856</v>
      </c>
      <c r="U2063" s="13">
        <v>19856</v>
      </c>
      <c r="AC2063" s="16" t="str">
        <f t="shared" si="96"/>
        <v/>
      </c>
      <c r="AD2063" s="17">
        <f t="shared" si="97"/>
        <v>19856</v>
      </c>
      <c r="AE2063" s="17">
        <f t="shared" si="98"/>
        <v>0</v>
      </c>
      <c r="AF2063" s="10" t="s">
        <v>4968</v>
      </c>
      <c r="AG2063" s="5" t="s">
        <v>2077</v>
      </c>
      <c r="AH2063" s="5" t="s">
        <v>4717</v>
      </c>
    </row>
    <row r="2064" spans="1:34" ht="10" customHeight="1" x14ac:dyDescent="0.2">
      <c r="A2064" s="5" t="s">
        <v>4712</v>
      </c>
      <c r="B2064" s="5" t="s">
        <v>4713</v>
      </c>
      <c r="C2064" s="5" t="s">
        <v>5003</v>
      </c>
      <c r="D2064" s="5" t="s">
        <v>5004</v>
      </c>
      <c r="E2064" s="10" t="s">
        <v>57</v>
      </c>
      <c r="F2064" s="5" t="s">
        <v>4743</v>
      </c>
      <c r="I2064" s="11">
        <v>2</v>
      </c>
      <c r="K2064" s="10" t="s">
        <v>190</v>
      </c>
      <c r="L2064" s="5" t="s">
        <v>232</v>
      </c>
      <c r="M2064" s="5" t="s">
        <v>233</v>
      </c>
      <c r="N2064" s="5" t="s">
        <v>234</v>
      </c>
      <c r="O2064" s="12"/>
      <c r="S2064" s="13">
        <v>1779</v>
      </c>
      <c r="U2064" s="13">
        <v>1779</v>
      </c>
      <c r="AC2064" s="16" t="str">
        <f t="shared" si="96"/>
        <v/>
      </c>
      <c r="AD2064" s="17">
        <f t="shared" si="97"/>
        <v>1779</v>
      </c>
      <c r="AE2064" s="17">
        <f t="shared" si="98"/>
        <v>0</v>
      </c>
      <c r="AF2064" s="10" t="s">
        <v>4968</v>
      </c>
      <c r="AG2064" s="5" t="s">
        <v>2077</v>
      </c>
      <c r="AH2064" s="5" t="s">
        <v>4717</v>
      </c>
    </row>
    <row r="2065" spans="1:34" ht="10" customHeight="1" x14ac:dyDescent="0.2">
      <c r="A2065" s="5" t="s">
        <v>4712</v>
      </c>
      <c r="B2065" s="5" t="s">
        <v>4713</v>
      </c>
      <c r="C2065" s="5" t="s">
        <v>5005</v>
      </c>
      <c r="D2065" s="5" t="s">
        <v>5006</v>
      </c>
      <c r="E2065" s="10" t="s">
        <v>57</v>
      </c>
      <c r="F2065" s="5" t="s">
        <v>4742</v>
      </c>
      <c r="I2065" s="11">
        <v>2</v>
      </c>
      <c r="K2065" s="10" t="s">
        <v>190</v>
      </c>
      <c r="L2065" s="5" t="s">
        <v>232</v>
      </c>
      <c r="M2065" s="5" t="s">
        <v>233</v>
      </c>
      <c r="N2065" s="5" t="s">
        <v>234</v>
      </c>
      <c r="O2065" s="12"/>
      <c r="S2065" s="13">
        <v>5063</v>
      </c>
      <c r="U2065" s="13">
        <v>5063</v>
      </c>
      <c r="AC2065" s="16" t="str">
        <f t="shared" si="96"/>
        <v/>
      </c>
      <c r="AD2065" s="17">
        <f t="shared" si="97"/>
        <v>5063</v>
      </c>
      <c r="AE2065" s="17">
        <f t="shared" si="98"/>
        <v>0</v>
      </c>
      <c r="AF2065" s="10" t="s">
        <v>4968</v>
      </c>
      <c r="AG2065" s="5" t="s">
        <v>2077</v>
      </c>
      <c r="AH2065" s="5" t="s">
        <v>4717</v>
      </c>
    </row>
    <row r="2066" spans="1:34" ht="10" customHeight="1" x14ac:dyDescent="0.2">
      <c r="A2066" s="5" t="s">
        <v>4712</v>
      </c>
      <c r="B2066" s="5" t="s">
        <v>4713</v>
      </c>
      <c r="C2066" s="5" t="s">
        <v>5007</v>
      </c>
      <c r="D2066" s="5" t="s">
        <v>5008</v>
      </c>
      <c r="E2066" s="10" t="s">
        <v>57</v>
      </c>
      <c r="F2066" s="5" t="s">
        <v>4742</v>
      </c>
      <c r="I2066" s="11">
        <v>2</v>
      </c>
      <c r="K2066" s="10" t="s">
        <v>190</v>
      </c>
      <c r="L2066" s="5" t="s">
        <v>232</v>
      </c>
      <c r="M2066" s="5" t="s">
        <v>233</v>
      </c>
      <c r="N2066" s="5" t="s">
        <v>234</v>
      </c>
      <c r="O2066" s="12"/>
      <c r="S2066" s="13">
        <v>1038</v>
      </c>
      <c r="U2066" s="13">
        <v>1038</v>
      </c>
      <c r="AC2066" s="16" t="str">
        <f t="shared" si="96"/>
        <v/>
      </c>
      <c r="AD2066" s="17">
        <f t="shared" si="97"/>
        <v>1038</v>
      </c>
      <c r="AE2066" s="17">
        <f t="shared" si="98"/>
        <v>0</v>
      </c>
      <c r="AF2066" s="10" t="s">
        <v>4968</v>
      </c>
      <c r="AG2066" s="5" t="s">
        <v>2077</v>
      </c>
      <c r="AH2066" s="5" t="s">
        <v>4717</v>
      </c>
    </row>
    <row r="2067" spans="1:34" ht="10" customHeight="1" x14ac:dyDescent="0.2">
      <c r="A2067" s="5" t="s">
        <v>4712</v>
      </c>
      <c r="B2067" s="5" t="s">
        <v>4713</v>
      </c>
      <c r="C2067" s="5" t="s">
        <v>5009</v>
      </c>
      <c r="D2067" s="5" t="s">
        <v>5010</v>
      </c>
      <c r="E2067" s="10" t="s">
        <v>57</v>
      </c>
      <c r="F2067" s="5" t="s">
        <v>4743</v>
      </c>
      <c r="I2067" s="11">
        <v>2</v>
      </c>
      <c r="K2067" s="10" t="s">
        <v>190</v>
      </c>
      <c r="L2067" s="5" t="s">
        <v>232</v>
      </c>
      <c r="M2067" s="5" t="s">
        <v>233</v>
      </c>
      <c r="N2067" s="5" t="s">
        <v>234</v>
      </c>
      <c r="O2067" s="12"/>
      <c r="S2067" s="13">
        <v>955</v>
      </c>
      <c r="U2067" s="13">
        <v>955</v>
      </c>
      <c r="AC2067" s="16" t="str">
        <f t="shared" si="96"/>
        <v/>
      </c>
      <c r="AD2067" s="17">
        <f t="shared" si="97"/>
        <v>955</v>
      </c>
      <c r="AE2067" s="17">
        <f t="shared" si="98"/>
        <v>0</v>
      </c>
      <c r="AF2067" s="10" t="s">
        <v>4968</v>
      </c>
      <c r="AG2067" s="5" t="s">
        <v>2077</v>
      </c>
      <c r="AH2067" s="5" t="s">
        <v>4717</v>
      </c>
    </row>
    <row r="2068" spans="1:34" ht="10" customHeight="1" x14ac:dyDescent="0.2">
      <c r="A2068" s="5" t="s">
        <v>4712</v>
      </c>
      <c r="B2068" s="5" t="s">
        <v>4713</v>
      </c>
      <c r="C2068" s="5" t="s">
        <v>5011</v>
      </c>
      <c r="D2068" s="5" t="s">
        <v>5012</v>
      </c>
      <c r="E2068" s="10" t="s">
        <v>57</v>
      </c>
      <c r="F2068" s="5" t="s">
        <v>4742</v>
      </c>
      <c r="I2068" s="11">
        <v>2</v>
      </c>
      <c r="K2068" s="10" t="s">
        <v>190</v>
      </c>
      <c r="L2068" s="5" t="s">
        <v>232</v>
      </c>
      <c r="M2068" s="5" t="s">
        <v>233</v>
      </c>
      <c r="N2068" s="5" t="s">
        <v>234</v>
      </c>
      <c r="O2068" s="12"/>
      <c r="S2068" s="13">
        <v>3464</v>
      </c>
      <c r="U2068" s="13">
        <v>3464</v>
      </c>
      <c r="AC2068" s="16" t="str">
        <f t="shared" si="96"/>
        <v/>
      </c>
      <c r="AD2068" s="17">
        <f t="shared" si="97"/>
        <v>3464</v>
      </c>
      <c r="AE2068" s="17">
        <f t="shared" si="98"/>
        <v>0</v>
      </c>
      <c r="AF2068" s="10" t="s">
        <v>4968</v>
      </c>
      <c r="AG2068" s="5" t="s">
        <v>2077</v>
      </c>
      <c r="AH2068" s="5" t="s">
        <v>4717</v>
      </c>
    </row>
    <row r="2069" spans="1:34" ht="10" customHeight="1" x14ac:dyDescent="0.2">
      <c r="A2069" s="5" t="s">
        <v>4712</v>
      </c>
      <c r="B2069" s="5" t="s">
        <v>4713</v>
      </c>
      <c r="C2069" s="5" t="s">
        <v>5013</v>
      </c>
      <c r="D2069" s="5" t="s">
        <v>5014</v>
      </c>
      <c r="E2069" s="10" t="s">
        <v>57</v>
      </c>
      <c r="F2069" s="5" t="s">
        <v>4742</v>
      </c>
      <c r="I2069" s="11">
        <v>2</v>
      </c>
      <c r="K2069" s="10" t="s">
        <v>190</v>
      </c>
      <c r="L2069" s="5" t="s">
        <v>232</v>
      </c>
      <c r="M2069" s="5" t="s">
        <v>233</v>
      </c>
      <c r="N2069" s="5" t="s">
        <v>234</v>
      </c>
      <c r="O2069" s="12"/>
      <c r="S2069" s="13">
        <v>1617</v>
      </c>
      <c r="U2069" s="13">
        <v>1617</v>
      </c>
      <c r="AC2069" s="16" t="str">
        <f t="shared" si="96"/>
        <v/>
      </c>
      <c r="AD2069" s="17">
        <f t="shared" si="97"/>
        <v>1617</v>
      </c>
      <c r="AE2069" s="17">
        <f t="shared" si="98"/>
        <v>0</v>
      </c>
      <c r="AF2069" s="10" t="s">
        <v>4968</v>
      </c>
      <c r="AG2069" s="5" t="s">
        <v>2077</v>
      </c>
      <c r="AH2069" s="5" t="s">
        <v>4717</v>
      </c>
    </row>
    <row r="2070" spans="1:34" ht="10" customHeight="1" x14ac:dyDescent="0.2">
      <c r="A2070" s="5" t="s">
        <v>4712</v>
      </c>
      <c r="B2070" s="5" t="s">
        <v>4713</v>
      </c>
      <c r="C2070" s="5" t="s">
        <v>5015</v>
      </c>
      <c r="D2070" s="5" t="s">
        <v>5016</v>
      </c>
      <c r="E2070" s="10" t="s">
        <v>57</v>
      </c>
      <c r="F2070" s="5" t="s">
        <v>4743</v>
      </c>
      <c r="I2070" s="11">
        <v>2</v>
      </c>
      <c r="K2070" s="10" t="s">
        <v>190</v>
      </c>
      <c r="L2070" s="5" t="s">
        <v>232</v>
      </c>
      <c r="M2070" s="5" t="s">
        <v>233</v>
      </c>
      <c r="N2070" s="5" t="s">
        <v>234</v>
      </c>
      <c r="O2070" s="12"/>
      <c r="S2070" s="13">
        <v>808</v>
      </c>
      <c r="U2070" s="13">
        <v>808</v>
      </c>
      <c r="AC2070" s="16" t="str">
        <f t="shared" si="96"/>
        <v/>
      </c>
      <c r="AD2070" s="17">
        <f t="shared" si="97"/>
        <v>808</v>
      </c>
      <c r="AE2070" s="17">
        <f t="shared" si="98"/>
        <v>0</v>
      </c>
      <c r="AF2070" s="10" t="s">
        <v>4968</v>
      </c>
      <c r="AG2070" s="5" t="s">
        <v>2085</v>
      </c>
      <c r="AH2070" s="5" t="s">
        <v>4717</v>
      </c>
    </row>
    <row r="2071" spans="1:34" ht="10" customHeight="1" x14ac:dyDescent="0.2">
      <c r="A2071" s="5" t="s">
        <v>4712</v>
      </c>
      <c r="B2071" s="5" t="s">
        <v>4713</v>
      </c>
      <c r="C2071" s="5" t="s">
        <v>5017</v>
      </c>
      <c r="D2071" s="5" t="s">
        <v>5018</v>
      </c>
      <c r="E2071" s="10" t="s">
        <v>57</v>
      </c>
      <c r="F2071" s="5" t="s">
        <v>4742</v>
      </c>
      <c r="I2071" s="11">
        <v>2</v>
      </c>
      <c r="K2071" s="10" t="s">
        <v>50</v>
      </c>
      <c r="L2071" s="5" t="s">
        <v>232</v>
      </c>
      <c r="M2071" s="5" t="s">
        <v>5019</v>
      </c>
      <c r="N2071" s="5" t="s">
        <v>5020</v>
      </c>
      <c r="O2071" s="12"/>
      <c r="S2071" s="13">
        <v>7358</v>
      </c>
      <c r="U2071" s="13">
        <v>7358</v>
      </c>
      <c r="AC2071" s="16" t="str">
        <f t="shared" si="96"/>
        <v/>
      </c>
      <c r="AD2071" s="17">
        <f t="shared" si="97"/>
        <v>7358</v>
      </c>
      <c r="AE2071" s="17">
        <f t="shared" si="98"/>
        <v>0</v>
      </c>
      <c r="AF2071" s="10" t="s">
        <v>4968</v>
      </c>
      <c r="AG2071" s="5" t="s">
        <v>2085</v>
      </c>
      <c r="AH2071" s="5" t="s">
        <v>4717</v>
      </c>
    </row>
    <row r="2072" spans="1:34" ht="10" customHeight="1" x14ac:dyDescent="0.2">
      <c r="A2072" s="5" t="s">
        <v>4712</v>
      </c>
      <c r="B2072" s="5" t="s">
        <v>4713</v>
      </c>
      <c r="C2072" s="5" t="s">
        <v>5021</v>
      </c>
      <c r="D2072" s="5" t="s">
        <v>5022</v>
      </c>
      <c r="E2072" s="10" t="s">
        <v>57</v>
      </c>
      <c r="F2072" s="5" t="s">
        <v>4743</v>
      </c>
      <c r="I2072" s="11">
        <v>2</v>
      </c>
      <c r="K2072" s="10" t="s">
        <v>50</v>
      </c>
      <c r="L2072" s="5" t="s">
        <v>232</v>
      </c>
      <c r="M2072" s="5" t="s">
        <v>5019</v>
      </c>
      <c r="N2072" s="5" t="s">
        <v>5020</v>
      </c>
      <c r="O2072" s="12"/>
      <c r="S2072" s="13">
        <v>7358</v>
      </c>
      <c r="U2072" s="13">
        <v>7358</v>
      </c>
      <c r="AC2072" s="16" t="str">
        <f t="shared" si="96"/>
        <v/>
      </c>
      <c r="AD2072" s="17">
        <f t="shared" si="97"/>
        <v>7358</v>
      </c>
      <c r="AE2072" s="17">
        <f t="shared" si="98"/>
        <v>0</v>
      </c>
      <c r="AF2072" s="10" t="s">
        <v>4968</v>
      </c>
      <c r="AG2072" s="5" t="s">
        <v>2085</v>
      </c>
      <c r="AH2072" s="5" t="s">
        <v>4717</v>
      </c>
    </row>
    <row r="2073" spans="1:34" ht="10" customHeight="1" x14ac:dyDescent="0.2">
      <c r="A2073" s="5" t="s">
        <v>4712</v>
      </c>
      <c r="B2073" s="5" t="s">
        <v>4713</v>
      </c>
      <c r="C2073" s="5" t="s">
        <v>5023</v>
      </c>
      <c r="D2073" s="5" t="s">
        <v>5024</v>
      </c>
      <c r="E2073" s="10" t="s">
        <v>57</v>
      </c>
      <c r="F2073" s="5" t="s">
        <v>4743</v>
      </c>
      <c r="I2073" s="11">
        <v>2</v>
      </c>
      <c r="K2073" s="10" t="s">
        <v>50</v>
      </c>
      <c r="L2073" s="5" t="s">
        <v>232</v>
      </c>
      <c r="M2073" s="5" t="s">
        <v>5019</v>
      </c>
      <c r="N2073" s="5" t="s">
        <v>5020</v>
      </c>
      <c r="O2073" s="12"/>
      <c r="S2073" s="13">
        <v>9175</v>
      </c>
      <c r="U2073" s="13">
        <v>9175</v>
      </c>
      <c r="AC2073" s="16" t="str">
        <f t="shared" si="96"/>
        <v/>
      </c>
      <c r="AD2073" s="17">
        <f t="shared" si="97"/>
        <v>9175</v>
      </c>
      <c r="AE2073" s="17">
        <f t="shared" si="98"/>
        <v>0</v>
      </c>
      <c r="AF2073" s="10" t="s">
        <v>4968</v>
      </c>
      <c r="AG2073" s="5" t="s">
        <v>2085</v>
      </c>
      <c r="AH2073" s="5" t="s">
        <v>4717</v>
      </c>
    </row>
    <row r="2074" spans="1:34" ht="10" customHeight="1" x14ac:dyDescent="0.2">
      <c r="A2074" s="5" t="s">
        <v>4712</v>
      </c>
      <c r="B2074" s="5" t="s">
        <v>4713</v>
      </c>
      <c r="C2074" s="5" t="s">
        <v>5025</v>
      </c>
      <c r="D2074" s="5" t="s">
        <v>5026</v>
      </c>
      <c r="E2074" s="10" t="s">
        <v>57</v>
      </c>
      <c r="F2074" s="5" t="s">
        <v>4740</v>
      </c>
      <c r="I2074" s="11">
        <v>2</v>
      </c>
      <c r="K2074" s="10" t="s">
        <v>50</v>
      </c>
      <c r="L2074" s="5" t="s">
        <v>232</v>
      </c>
      <c r="M2074" s="5" t="s">
        <v>5019</v>
      </c>
      <c r="N2074" s="5" t="s">
        <v>5020</v>
      </c>
      <c r="O2074" s="12"/>
      <c r="S2074" s="13">
        <v>9175</v>
      </c>
      <c r="U2074" s="13">
        <v>9175</v>
      </c>
      <c r="AC2074" s="16" t="str">
        <f t="shared" si="96"/>
        <v/>
      </c>
      <c r="AD2074" s="17">
        <f t="shared" si="97"/>
        <v>9175</v>
      </c>
      <c r="AE2074" s="17">
        <f t="shared" si="98"/>
        <v>0</v>
      </c>
      <c r="AF2074" s="10" t="s">
        <v>4968</v>
      </c>
      <c r="AG2074" s="5" t="s">
        <v>2085</v>
      </c>
      <c r="AH2074" s="5" t="s">
        <v>4717</v>
      </c>
    </row>
    <row r="2075" spans="1:34" ht="10" customHeight="1" x14ac:dyDescent="0.2">
      <c r="A2075" s="5" t="s">
        <v>4712</v>
      </c>
      <c r="B2075" s="5" t="s">
        <v>4713</v>
      </c>
      <c r="C2075" s="5" t="s">
        <v>5027</v>
      </c>
      <c r="D2075" s="5" t="s">
        <v>5028</v>
      </c>
      <c r="E2075" s="10" t="s">
        <v>57</v>
      </c>
      <c r="F2075" s="5" t="s">
        <v>4742</v>
      </c>
      <c r="I2075" s="11">
        <v>2</v>
      </c>
      <c r="K2075" s="10" t="s">
        <v>190</v>
      </c>
      <c r="L2075" s="5" t="s">
        <v>232</v>
      </c>
      <c r="M2075" s="5" t="s">
        <v>5029</v>
      </c>
      <c r="N2075" s="5" t="s">
        <v>5030</v>
      </c>
      <c r="O2075" s="12"/>
      <c r="S2075" s="13">
        <v>49265</v>
      </c>
      <c r="U2075" s="13">
        <v>49265</v>
      </c>
      <c r="AC2075" s="16" t="str">
        <f t="shared" si="96"/>
        <v/>
      </c>
      <c r="AD2075" s="17">
        <f t="shared" si="97"/>
        <v>49265</v>
      </c>
      <c r="AE2075" s="17">
        <f t="shared" si="98"/>
        <v>0</v>
      </c>
      <c r="AF2075" s="10" t="s">
        <v>4968</v>
      </c>
      <c r="AG2075" s="5" t="s">
        <v>2085</v>
      </c>
      <c r="AH2075" s="5" t="s">
        <v>4717</v>
      </c>
    </row>
    <row r="2076" spans="1:34" ht="10" customHeight="1" x14ac:dyDescent="0.2">
      <c r="A2076" s="5" t="s">
        <v>4712</v>
      </c>
      <c r="B2076" s="5" t="s">
        <v>4713</v>
      </c>
      <c r="C2076" s="5" t="s">
        <v>5031</v>
      </c>
      <c r="D2076" s="5" t="s">
        <v>5032</v>
      </c>
      <c r="E2076" s="10" t="s">
        <v>57</v>
      </c>
      <c r="F2076" s="5" t="s">
        <v>4740</v>
      </c>
      <c r="I2076" s="11">
        <v>2</v>
      </c>
      <c r="K2076" s="10" t="s">
        <v>190</v>
      </c>
      <c r="L2076" s="5" t="s">
        <v>232</v>
      </c>
      <c r="M2076" s="5" t="s">
        <v>5029</v>
      </c>
      <c r="N2076" s="5" t="s">
        <v>5030</v>
      </c>
      <c r="O2076" s="12"/>
      <c r="S2076" s="13">
        <v>17141</v>
      </c>
      <c r="U2076" s="13">
        <v>17141</v>
      </c>
      <c r="AC2076" s="16" t="str">
        <f t="shared" si="96"/>
        <v/>
      </c>
      <c r="AD2076" s="17">
        <f t="shared" si="97"/>
        <v>17141</v>
      </c>
      <c r="AE2076" s="17">
        <f t="shared" si="98"/>
        <v>0</v>
      </c>
      <c r="AF2076" s="10" t="s">
        <v>4968</v>
      </c>
      <c r="AG2076" s="5" t="s">
        <v>2085</v>
      </c>
      <c r="AH2076" s="5" t="s">
        <v>4717</v>
      </c>
    </row>
    <row r="2077" spans="1:34" ht="10" customHeight="1" x14ac:dyDescent="0.2">
      <c r="A2077" s="5" t="s">
        <v>4712</v>
      </c>
      <c r="B2077" s="5" t="s">
        <v>4713</v>
      </c>
      <c r="C2077" s="5" t="s">
        <v>5033</v>
      </c>
      <c r="D2077" s="5" t="s">
        <v>5034</v>
      </c>
      <c r="E2077" s="10" t="s">
        <v>57</v>
      </c>
      <c r="F2077" s="5" t="s">
        <v>4742</v>
      </c>
      <c r="I2077" s="11">
        <v>2</v>
      </c>
      <c r="K2077" s="10" t="s">
        <v>190</v>
      </c>
      <c r="L2077" s="5" t="s">
        <v>51</v>
      </c>
      <c r="M2077" s="5" t="s">
        <v>202</v>
      </c>
      <c r="N2077" s="5" t="s">
        <v>5035</v>
      </c>
      <c r="O2077" s="12"/>
      <c r="S2077" s="13">
        <v>27595</v>
      </c>
      <c r="U2077" s="13">
        <v>27595</v>
      </c>
      <c r="AC2077" s="16" t="str">
        <f t="shared" si="96"/>
        <v/>
      </c>
      <c r="AD2077" s="17">
        <f t="shared" si="97"/>
        <v>27595</v>
      </c>
      <c r="AE2077" s="17">
        <f t="shared" si="98"/>
        <v>0</v>
      </c>
      <c r="AF2077" s="10" t="s">
        <v>4968</v>
      </c>
      <c r="AG2077" s="5" t="s">
        <v>2085</v>
      </c>
      <c r="AH2077" s="5" t="s">
        <v>4717</v>
      </c>
    </row>
    <row r="2078" spans="1:34" ht="10" customHeight="1" x14ac:dyDescent="0.2">
      <c r="A2078" s="5" t="s">
        <v>4712</v>
      </c>
      <c r="B2078" s="5" t="s">
        <v>4713</v>
      </c>
      <c r="C2078" s="5" t="s">
        <v>5036</v>
      </c>
      <c r="D2078" s="5" t="s">
        <v>5037</v>
      </c>
      <c r="E2078" s="10" t="s">
        <v>57</v>
      </c>
      <c r="F2078" s="5" t="s">
        <v>4742</v>
      </c>
      <c r="I2078" s="11">
        <v>2</v>
      </c>
      <c r="K2078" s="10" t="s">
        <v>190</v>
      </c>
      <c r="L2078" s="5" t="s">
        <v>51</v>
      </c>
      <c r="M2078" s="5" t="s">
        <v>202</v>
      </c>
      <c r="N2078" s="5" t="s">
        <v>5035</v>
      </c>
      <c r="O2078" s="12"/>
      <c r="S2078" s="13">
        <v>17622</v>
      </c>
      <c r="U2078" s="13">
        <v>17622</v>
      </c>
      <c r="AC2078" s="16" t="str">
        <f t="shared" si="96"/>
        <v/>
      </c>
      <c r="AD2078" s="17">
        <f t="shared" si="97"/>
        <v>17622</v>
      </c>
      <c r="AE2078" s="17">
        <f t="shared" si="98"/>
        <v>0</v>
      </c>
      <c r="AF2078" s="10" t="s">
        <v>4968</v>
      </c>
      <c r="AG2078" s="5" t="s">
        <v>2085</v>
      </c>
      <c r="AH2078" s="5" t="s">
        <v>4717</v>
      </c>
    </row>
    <row r="2079" spans="1:34" ht="10" customHeight="1" x14ac:dyDescent="0.2">
      <c r="A2079" s="5" t="s">
        <v>4712</v>
      </c>
      <c r="B2079" s="5" t="s">
        <v>4713</v>
      </c>
      <c r="C2079" s="5" t="s">
        <v>5038</v>
      </c>
      <c r="D2079" s="5" t="s">
        <v>5039</v>
      </c>
      <c r="E2079" s="10" t="s">
        <v>57</v>
      </c>
      <c r="F2079" s="5" t="s">
        <v>4742</v>
      </c>
      <c r="I2079" s="11">
        <v>2</v>
      </c>
      <c r="K2079" s="10" t="s">
        <v>190</v>
      </c>
      <c r="L2079" s="5" t="s">
        <v>51</v>
      </c>
      <c r="M2079" s="5" t="s">
        <v>202</v>
      </c>
      <c r="N2079" s="5" t="s">
        <v>5035</v>
      </c>
      <c r="O2079" s="12"/>
      <c r="S2079" s="13">
        <v>34203</v>
      </c>
      <c r="U2079" s="13">
        <v>34203</v>
      </c>
      <c r="AC2079" s="16" t="str">
        <f t="shared" si="96"/>
        <v/>
      </c>
      <c r="AD2079" s="17">
        <f t="shared" si="97"/>
        <v>34203</v>
      </c>
      <c r="AE2079" s="17">
        <f t="shared" si="98"/>
        <v>0</v>
      </c>
      <c r="AF2079" s="10" t="s">
        <v>4968</v>
      </c>
      <c r="AG2079" s="5" t="s">
        <v>2085</v>
      </c>
      <c r="AH2079" s="5" t="s">
        <v>4717</v>
      </c>
    </row>
    <row r="2080" spans="1:34" ht="10" customHeight="1" x14ac:dyDescent="0.2">
      <c r="A2080" s="5" t="s">
        <v>4712</v>
      </c>
      <c r="B2080" s="5" t="s">
        <v>4713</v>
      </c>
      <c r="C2080" s="5" t="s">
        <v>5040</v>
      </c>
      <c r="D2080" s="5" t="s">
        <v>5041</v>
      </c>
      <c r="E2080" s="10" t="s">
        <v>57</v>
      </c>
      <c r="F2080" s="5" t="s">
        <v>4742</v>
      </c>
      <c r="I2080" s="11">
        <v>2</v>
      </c>
      <c r="K2080" s="10" t="s">
        <v>190</v>
      </c>
      <c r="L2080" s="5" t="s">
        <v>51</v>
      </c>
      <c r="M2080" s="5" t="s">
        <v>202</v>
      </c>
      <c r="N2080" s="5" t="s">
        <v>5035</v>
      </c>
      <c r="O2080" s="12"/>
      <c r="S2080" s="13">
        <v>30203</v>
      </c>
      <c r="U2080" s="13">
        <v>30203</v>
      </c>
      <c r="AC2080" s="16" t="str">
        <f t="shared" si="96"/>
        <v/>
      </c>
      <c r="AD2080" s="17">
        <f t="shared" si="97"/>
        <v>30203</v>
      </c>
      <c r="AE2080" s="17">
        <f t="shared" si="98"/>
        <v>0</v>
      </c>
      <c r="AF2080" s="10" t="s">
        <v>4968</v>
      </c>
      <c r="AG2080" s="5" t="s">
        <v>2085</v>
      </c>
      <c r="AH2080" s="5" t="s">
        <v>4717</v>
      </c>
    </row>
    <row r="2081" spans="1:34" ht="10" customHeight="1" x14ac:dyDescent="0.2">
      <c r="A2081" s="5" t="s">
        <v>4712</v>
      </c>
      <c r="B2081" s="5" t="s">
        <v>4713</v>
      </c>
      <c r="C2081" s="5" t="s">
        <v>5042</v>
      </c>
      <c r="D2081" s="5" t="s">
        <v>5043</v>
      </c>
      <c r="E2081" s="10" t="s">
        <v>57</v>
      </c>
      <c r="F2081" s="5" t="s">
        <v>4742</v>
      </c>
      <c r="I2081" s="11">
        <v>2</v>
      </c>
      <c r="K2081" s="10" t="s">
        <v>190</v>
      </c>
      <c r="L2081" s="5" t="s">
        <v>51</v>
      </c>
      <c r="M2081" s="5" t="s">
        <v>202</v>
      </c>
      <c r="N2081" s="5" t="s">
        <v>5035</v>
      </c>
      <c r="O2081" s="12"/>
      <c r="S2081" s="13">
        <v>40255</v>
      </c>
      <c r="U2081" s="13">
        <v>40255</v>
      </c>
      <c r="AC2081" s="16" t="str">
        <f t="shared" si="96"/>
        <v/>
      </c>
      <c r="AD2081" s="17">
        <f t="shared" si="97"/>
        <v>40255</v>
      </c>
      <c r="AE2081" s="17">
        <f t="shared" si="98"/>
        <v>0</v>
      </c>
      <c r="AF2081" s="10" t="s">
        <v>4968</v>
      </c>
      <c r="AG2081" s="5" t="s">
        <v>2085</v>
      </c>
      <c r="AH2081" s="5" t="s">
        <v>4717</v>
      </c>
    </row>
    <row r="2082" spans="1:34" ht="10" customHeight="1" x14ac:dyDescent="0.2">
      <c r="A2082" s="5" t="s">
        <v>4712</v>
      </c>
      <c r="B2082" s="5" t="s">
        <v>4713</v>
      </c>
      <c r="C2082" s="5" t="s">
        <v>5044</v>
      </c>
      <c r="D2082" s="5" t="s">
        <v>5045</v>
      </c>
      <c r="E2082" s="10" t="s">
        <v>57</v>
      </c>
      <c r="F2082" s="5" t="s">
        <v>4742</v>
      </c>
      <c r="I2082" s="11">
        <v>2</v>
      </c>
      <c r="K2082" s="10" t="s">
        <v>190</v>
      </c>
      <c r="L2082" s="5" t="s">
        <v>51</v>
      </c>
      <c r="M2082" s="5" t="s">
        <v>202</v>
      </c>
      <c r="N2082" s="5" t="s">
        <v>5035</v>
      </c>
      <c r="O2082" s="12"/>
      <c r="S2082" s="13">
        <v>20787</v>
      </c>
      <c r="U2082" s="13">
        <v>20787</v>
      </c>
      <c r="AC2082" s="16" t="str">
        <f t="shared" si="96"/>
        <v/>
      </c>
      <c r="AD2082" s="17">
        <f t="shared" si="97"/>
        <v>20787</v>
      </c>
      <c r="AE2082" s="17">
        <f t="shared" si="98"/>
        <v>0</v>
      </c>
      <c r="AF2082" s="10" t="s">
        <v>4968</v>
      </c>
      <c r="AG2082" s="5" t="s">
        <v>2085</v>
      </c>
      <c r="AH2082" s="5" t="s">
        <v>4717</v>
      </c>
    </row>
    <row r="2083" spans="1:34" ht="10" customHeight="1" x14ac:dyDescent="0.2">
      <c r="A2083" s="5" t="s">
        <v>4712</v>
      </c>
      <c r="B2083" s="5" t="s">
        <v>4713</v>
      </c>
      <c r="C2083" s="5" t="s">
        <v>5046</v>
      </c>
      <c r="D2083" s="5" t="s">
        <v>5047</v>
      </c>
      <c r="E2083" s="10" t="s">
        <v>57</v>
      </c>
      <c r="F2083" s="5" t="s">
        <v>4743</v>
      </c>
      <c r="I2083" s="11">
        <v>2</v>
      </c>
      <c r="K2083" s="10" t="s">
        <v>190</v>
      </c>
      <c r="L2083" s="5" t="s">
        <v>51</v>
      </c>
      <c r="M2083" s="5" t="s">
        <v>202</v>
      </c>
      <c r="N2083" s="5" t="s">
        <v>5035</v>
      </c>
      <c r="O2083" s="12"/>
      <c r="S2083" s="13">
        <v>13288</v>
      </c>
      <c r="U2083" s="13">
        <v>13288</v>
      </c>
      <c r="AC2083" s="16" t="str">
        <f t="shared" si="96"/>
        <v/>
      </c>
      <c r="AD2083" s="17">
        <f t="shared" si="97"/>
        <v>13288</v>
      </c>
      <c r="AE2083" s="17">
        <f t="shared" si="98"/>
        <v>0</v>
      </c>
      <c r="AF2083" s="10" t="s">
        <v>4968</v>
      </c>
      <c r="AG2083" s="5" t="s">
        <v>2093</v>
      </c>
      <c r="AH2083" s="5" t="s">
        <v>4717</v>
      </c>
    </row>
    <row r="2084" spans="1:34" ht="10" customHeight="1" x14ac:dyDescent="0.2">
      <c r="A2084" s="5" t="s">
        <v>4712</v>
      </c>
      <c r="B2084" s="5" t="s">
        <v>4713</v>
      </c>
      <c r="C2084" s="5" t="s">
        <v>5048</v>
      </c>
      <c r="D2084" s="5" t="s">
        <v>5049</v>
      </c>
      <c r="E2084" s="10" t="s">
        <v>57</v>
      </c>
      <c r="F2084" s="5" t="s">
        <v>4742</v>
      </c>
      <c r="I2084" s="11">
        <v>2</v>
      </c>
      <c r="K2084" s="10" t="s">
        <v>190</v>
      </c>
      <c r="L2084" s="5" t="s">
        <v>51</v>
      </c>
      <c r="M2084" s="5" t="s">
        <v>202</v>
      </c>
      <c r="N2084" s="5" t="s">
        <v>5035</v>
      </c>
      <c r="O2084" s="12"/>
      <c r="S2084" s="13">
        <v>17623</v>
      </c>
      <c r="U2084" s="13">
        <v>17623</v>
      </c>
      <c r="AC2084" s="16" t="str">
        <f t="shared" si="96"/>
        <v/>
      </c>
      <c r="AD2084" s="17">
        <f t="shared" si="97"/>
        <v>17623</v>
      </c>
      <c r="AE2084" s="17">
        <f t="shared" si="98"/>
        <v>0</v>
      </c>
      <c r="AF2084" s="10" t="s">
        <v>4968</v>
      </c>
      <c r="AG2084" s="5" t="s">
        <v>2093</v>
      </c>
      <c r="AH2084" s="5" t="s">
        <v>4717</v>
      </c>
    </row>
    <row r="2085" spans="1:34" ht="10" customHeight="1" x14ac:dyDescent="0.2">
      <c r="A2085" s="5" t="s">
        <v>4712</v>
      </c>
      <c r="B2085" s="5" t="s">
        <v>4713</v>
      </c>
      <c r="C2085" s="5" t="s">
        <v>5050</v>
      </c>
      <c r="D2085" s="5" t="s">
        <v>5051</v>
      </c>
      <c r="E2085" s="10" t="s">
        <v>57</v>
      </c>
      <c r="F2085" s="5" t="s">
        <v>4742</v>
      </c>
      <c r="I2085" s="11">
        <v>2</v>
      </c>
      <c r="K2085" s="10" t="s">
        <v>190</v>
      </c>
      <c r="L2085" s="5" t="s">
        <v>51</v>
      </c>
      <c r="M2085" s="5" t="s">
        <v>202</v>
      </c>
      <c r="N2085" s="5" t="s">
        <v>5035</v>
      </c>
      <c r="O2085" s="12"/>
      <c r="S2085" s="13">
        <v>23768</v>
      </c>
      <c r="U2085" s="13">
        <v>23768</v>
      </c>
      <c r="AC2085" s="16" t="str">
        <f t="shared" si="96"/>
        <v/>
      </c>
      <c r="AD2085" s="17">
        <f t="shared" si="97"/>
        <v>23768</v>
      </c>
      <c r="AE2085" s="17">
        <f t="shared" si="98"/>
        <v>0</v>
      </c>
      <c r="AF2085" s="10" t="s">
        <v>4968</v>
      </c>
      <c r="AG2085" s="5" t="s">
        <v>2093</v>
      </c>
      <c r="AH2085" s="5" t="s">
        <v>4717</v>
      </c>
    </row>
    <row r="2086" spans="1:34" ht="10" customHeight="1" x14ac:dyDescent="0.2">
      <c r="A2086" s="5" t="s">
        <v>4712</v>
      </c>
      <c r="B2086" s="5" t="s">
        <v>4713</v>
      </c>
      <c r="C2086" s="5" t="s">
        <v>5052</v>
      </c>
      <c r="D2086" s="5" t="s">
        <v>5053</v>
      </c>
      <c r="E2086" s="10" t="s">
        <v>57</v>
      </c>
      <c r="F2086" s="5" t="s">
        <v>4742</v>
      </c>
      <c r="I2086" s="11">
        <v>2</v>
      </c>
      <c r="K2086" s="10" t="s">
        <v>190</v>
      </c>
      <c r="L2086" s="5" t="s">
        <v>51</v>
      </c>
      <c r="M2086" s="5" t="s">
        <v>202</v>
      </c>
      <c r="N2086" s="5" t="s">
        <v>5035</v>
      </c>
      <c r="O2086" s="12"/>
      <c r="S2086" s="13">
        <v>23768</v>
      </c>
      <c r="U2086" s="13">
        <v>23768</v>
      </c>
      <c r="AC2086" s="16" t="str">
        <f t="shared" si="96"/>
        <v/>
      </c>
      <c r="AD2086" s="17">
        <f t="shared" si="97"/>
        <v>23768</v>
      </c>
      <c r="AE2086" s="17">
        <f t="shared" si="98"/>
        <v>0</v>
      </c>
      <c r="AF2086" s="10" t="s">
        <v>4968</v>
      </c>
      <c r="AG2086" s="5" t="s">
        <v>2093</v>
      </c>
      <c r="AH2086" s="5" t="s">
        <v>4717</v>
      </c>
    </row>
    <row r="2087" spans="1:34" ht="10" customHeight="1" x14ac:dyDescent="0.2">
      <c r="A2087" s="5" t="s">
        <v>4712</v>
      </c>
      <c r="B2087" s="5" t="s">
        <v>4713</v>
      </c>
      <c r="C2087" s="5" t="s">
        <v>5054</v>
      </c>
      <c r="D2087" s="5" t="s">
        <v>5055</v>
      </c>
      <c r="E2087" s="10" t="s">
        <v>57</v>
      </c>
      <c r="F2087" s="5" t="s">
        <v>4740</v>
      </c>
      <c r="I2087" s="11">
        <v>2</v>
      </c>
      <c r="K2087" s="10" t="s">
        <v>190</v>
      </c>
      <c r="L2087" s="5" t="s">
        <v>51</v>
      </c>
      <c r="M2087" s="5" t="s">
        <v>202</v>
      </c>
      <c r="N2087" s="5" t="s">
        <v>5035</v>
      </c>
      <c r="O2087" s="12"/>
      <c r="S2087" s="13">
        <v>16965</v>
      </c>
      <c r="U2087" s="13">
        <v>16965</v>
      </c>
      <c r="AC2087" s="16" t="str">
        <f t="shared" si="96"/>
        <v/>
      </c>
      <c r="AD2087" s="17">
        <f t="shared" si="97"/>
        <v>16965</v>
      </c>
      <c r="AE2087" s="17">
        <f t="shared" si="98"/>
        <v>0</v>
      </c>
      <c r="AF2087" s="10" t="s">
        <v>4968</v>
      </c>
      <c r="AG2087" s="5" t="s">
        <v>2093</v>
      </c>
      <c r="AH2087" s="5" t="s">
        <v>4717</v>
      </c>
    </row>
    <row r="2088" spans="1:34" ht="10" customHeight="1" x14ac:dyDescent="0.2">
      <c r="A2088" s="5" t="s">
        <v>4712</v>
      </c>
      <c r="B2088" s="5" t="s">
        <v>4713</v>
      </c>
      <c r="C2088" s="5" t="s">
        <v>5056</v>
      </c>
      <c r="D2088" s="5" t="s">
        <v>5057</v>
      </c>
      <c r="E2088" s="10" t="s">
        <v>57</v>
      </c>
      <c r="F2088" s="5" t="s">
        <v>4740</v>
      </c>
      <c r="I2088" s="11">
        <v>2</v>
      </c>
      <c r="K2088" s="10" t="s">
        <v>190</v>
      </c>
      <c r="L2088" s="5" t="s">
        <v>51</v>
      </c>
      <c r="M2088" s="5" t="s">
        <v>202</v>
      </c>
      <c r="N2088" s="5" t="s">
        <v>5035</v>
      </c>
      <c r="O2088" s="12"/>
      <c r="S2088" s="13">
        <v>18523</v>
      </c>
      <c r="U2088" s="13">
        <v>18523</v>
      </c>
      <c r="AC2088" s="16" t="str">
        <f t="shared" si="96"/>
        <v/>
      </c>
      <c r="AD2088" s="17">
        <f t="shared" si="97"/>
        <v>18523</v>
      </c>
      <c r="AE2088" s="17">
        <f t="shared" si="98"/>
        <v>0</v>
      </c>
      <c r="AF2088" s="10" t="s">
        <v>4968</v>
      </c>
      <c r="AG2088" s="5" t="s">
        <v>2093</v>
      </c>
      <c r="AH2088" s="5" t="s">
        <v>4717</v>
      </c>
    </row>
    <row r="2089" spans="1:34" ht="10" customHeight="1" x14ac:dyDescent="0.2">
      <c r="A2089" s="5" t="s">
        <v>4712</v>
      </c>
      <c r="B2089" s="5" t="s">
        <v>4713</v>
      </c>
      <c r="C2089" s="5" t="s">
        <v>5058</v>
      </c>
      <c r="D2089" s="5" t="s">
        <v>5059</v>
      </c>
      <c r="E2089" s="10" t="s">
        <v>57</v>
      </c>
      <c r="F2089" s="5" t="s">
        <v>4740</v>
      </c>
      <c r="I2089" s="11">
        <v>2</v>
      </c>
      <c r="K2089" s="10" t="s">
        <v>190</v>
      </c>
      <c r="L2089" s="5" t="s">
        <v>51</v>
      </c>
      <c r="M2089" s="5" t="s">
        <v>202</v>
      </c>
      <c r="N2089" s="5" t="s">
        <v>5035</v>
      </c>
      <c r="O2089" s="12"/>
      <c r="S2089" s="13">
        <v>16965</v>
      </c>
      <c r="U2089" s="13">
        <v>16965</v>
      </c>
      <c r="AC2089" s="16" t="str">
        <f t="shared" si="96"/>
        <v/>
      </c>
      <c r="AD2089" s="17">
        <f t="shared" si="97"/>
        <v>16965</v>
      </c>
      <c r="AE2089" s="17">
        <f t="shared" si="98"/>
        <v>0</v>
      </c>
      <c r="AF2089" s="10" t="s">
        <v>4968</v>
      </c>
      <c r="AG2089" s="5" t="s">
        <v>2093</v>
      </c>
      <c r="AH2089" s="5" t="s">
        <v>4717</v>
      </c>
    </row>
    <row r="2090" spans="1:34" ht="10" customHeight="1" x14ac:dyDescent="0.2">
      <c r="A2090" s="5" t="s">
        <v>4712</v>
      </c>
      <c r="B2090" s="5" t="s">
        <v>4713</v>
      </c>
      <c r="C2090" s="5" t="s">
        <v>5060</v>
      </c>
      <c r="D2090" s="5" t="s">
        <v>5061</v>
      </c>
      <c r="E2090" s="10" t="s">
        <v>57</v>
      </c>
      <c r="F2090" s="5" t="s">
        <v>4740</v>
      </c>
      <c r="I2090" s="11">
        <v>2</v>
      </c>
      <c r="K2090" s="10" t="s">
        <v>190</v>
      </c>
      <c r="L2090" s="5" t="s">
        <v>51</v>
      </c>
      <c r="M2090" s="5" t="s">
        <v>202</v>
      </c>
      <c r="N2090" s="5" t="s">
        <v>5035</v>
      </c>
      <c r="O2090" s="12"/>
      <c r="S2090" s="13">
        <v>17623</v>
      </c>
      <c r="U2090" s="13">
        <v>17623</v>
      </c>
      <c r="AC2090" s="16" t="str">
        <f t="shared" si="96"/>
        <v/>
      </c>
      <c r="AD2090" s="17">
        <f t="shared" si="97"/>
        <v>17623</v>
      </c>
      <c r="AE2090" s="17">
        <f t="shared" si="98"/>
        <v>0</v>
      </c>
      <c r="AF2090" s="10" t="s">
        <v>4968</v>
      </c>
      <c r="AG2090" s="5" t="s">
        <v>2093</v>
      </c>
      <c r="AH2090" s="5" t="s">
        <v>4717</v>
      </c>
    </row>
    <row r="2091" spans="1:34" ht="10" customHeight="1" x14ac:dyDescent="0.2">
      <c r="A2091" s="5" t="s">
        <v>4712</v>
      </c>
      <c r="B2091" s="5" t="s">
        <v>4713</v>
      </c>
      <c r="C2091" s="5" t="s">
        <v>5062</v>
      </c>
      <c r="D2091" s="5" t="s">
        <v>5063</v>
      </c>
      <c r="E2091" s="10" t="s">
        <v>57</v>
      </c>
      <c r="F2091" s="5" t="s">
        <v>4743</v>
      </c>
      <c r="I2091" s="11">
        <v>2</v>
      </c>
      <c r="K2091" s="10" t="s">
        <v>190</v>
      </c>
      <c r="L2091" s="5" t="s">
        <v>51</v>
      </c>
      <c r="M2091" s="5" t="s">
        <v>202</v>
      </c>
      <c r="N2091" s="5" t="s">
        <v>203</v>
      </c>
      <c r="O2091" s="12"/>
      <c r="S2091" s="13">
        <v>56514</v>
      </c>
      <c r="U2091" s="13">
        <v>56514</v>
      </c>
      <c r="AC2091" s="16" t="str">
        <f t="shared" si="96"/>
        <v/>
      </c>
      <c r="AD2091" s="17">
        <f t="shared" si="97"/>
        <v>56514</v>
      </c>
      <c r="AE2091" s="17">
        <f t="shared" si="98"/>
        <v>0</v>
      </c>
      <c r="AF2091" s="10" t="s">
        <v>4968</v>
      </c>
      <c r="AG2091" s="5" t="s">
        <v>2093</v>
      </c>
      <c r="AH2091" s="5" t="s">
        <v>4717</v>
      </c>
    </row>
    <row r="2092" spans="1:34" ht="10" customHeight="1" x14ac:dyDescent="0.2">
      <c r="A2092" s="5" t="s">
        <v>4712</v>
      </c>
      <c r="B2092" s="5" t="s">
        <v>4713</v>
      </c>
      <c r="C2092" s="5" t="s">
        <v>5064</v>
      </c>
      <c r="D2092" s="5" t="s">
        <v>5065</v>
      </c>
      <c r="E2092" s="10" t="s">
        <v>57</v>
      </c>
      <c r="F2092" s="5" t="s">
        <v>4740</v>
      </c>
      <c r="I2092" s="11">
        <v>2</v>
      </c>
      <c r="K2092" s="10" t="s">
        <v>190</v>
      </c>
      <c r="L2092" s="5" t="s">
        <v>51</v>
      </c>
      <c r="M2092" s="5" t="s">
        <v>202</v>
      </c>
      <c r="N2092" s="5" t="s">
        <v>203</v>
      </c>
      <c r="O2092" s="12"/>
      <c r="S2092" s="13">
        <v>32237</v>
      </c>
      <c r="U2092" s="13">
        <v>32237</v>
      </c>
      <c r="AC2092" s="16" t="str">
        <f t="shared" si="96"/>
        <v/>
      </c>
      <c r="AD2092" s="17">
        <f t="shared" si="97"/>
        <v>32237</v>
      </c>
      <c r="AE2092" s="17">
        <f t="shared" si="98"/>
        <v>0</v>
      </c>
      <c r="AF2092" s="10" t="s">
        <v>4968</v>
      </c>
      <c r="AG2092" s="5" t="s">
        <v>2093</v>
      </c>
      <c r="AH2092" s="5" t="s">
        <v>4717</v>
      </c>
    </row>
    <row r="2093" spans="1:34" ht="10" customHeight="1" x14ac:dyDescent="0.2">
      <c r="A2093" s="5" t="s">
        <v>4712</v>
      </c>
      <c r="B2093" s="5" t="s">
        <v>4713</v>
      </c>
      <c r="C2093" s="5" t="s">
        <v>5066</v>
      </c>
      <c r="D2093" s="5" t="s">
        <v>5067</v>
      </c>
      <c r="E2093" s="10" t="s">
        <v>57</v>
      </c>
      <c r="F2093" s="5" t="s">
        <v>4740</v>
      </c>
      <c r="I2093" s="11">
        <v>2</v>
      </c>
      <c r="K2093" s="10" t="s">
        <v>190</v>
      </c>
      <c r="L2093" s="5" t="s">
        <v>51</v>
      </c>
      <c r="M2093" s="5" t="s">
        <v>202</v>
      </c>
      <c r="N2093" s="5" t="s">
        <v>203</v>
      </c>
      <c r="O2093" s="12"/>
      <c r="S2093" s="13">
        <v>32237</v>
      </c>
      <c r="U2093" s="13">
        <v>32237</v>
      </c>
      <c r="AC2093" s="16" t="str">
        <f t="shared" si="96"/>
        <v/>
      </c>
      <c r="AD2093" s="17">
        <f t="shared" si="97"/>
        <v>32237</v>
      </c>
      <c r="AE2093" s="17">
        <f t="shared" si="98"/>
        <v>0</v>
      </c>
      <c r="AF2093" s="10" t="s">
        <v>4968</v>
      </c>
      <c r="AG2093" s="5" t="s">
        <v>2093</v>
      </c>
      <c r="AH2093" s="5" t="s">
        <v>4717</v>
      </c>
    </row>
    <row r="2094" spans="1:34" ht="10" customHeight="1" x14ac:dyDescent="0.2">
      <c r="A2094" s="5" t="s">
        <v>4712</v>
      </c>
      <c r="B2094" s="5" t="s">
        <v>4713</v>
      </c>
      <c r="C2094" s="5" t="s">
        <v>5068</v>
      </c>
      <c r="D2094" s="5" t="s">
        <v>5069</v>
      </c>
      <c r="E2094" s="10" t="s">
        <v>57</v>
      </c>
      <c r="F2094" s="5" t="s">
        <v>4714</v>
      </c>
      <c r="I2094" s="11">
        <v>2</v>
      </c>
      <c r="K2094" s="10" t="s">
        <v>190</v>
      </c>
      <c r="L2094" s="5" t="s">
        <v>51</v>
      </c>
      <c r="M2094" s="5" t="s">
        <v>202</v>
      </c>
      <c r="N2094" s="5" t="s">
        <v>203</v>
      </c>
      <c r="O2094" s="12"/>
      <c r="S2094" s="13">
        <v>11755</v>
      </c>
      <c r="U2094" s="13">
        <v>11755</v>
      </c>
      <c r="AC2094" s="16" t="str">
        <f t="shared" si="96"/>
        <v/>
      </c>
      <c r="AD2094" s="17">
        <f t="shared" si="97"/>
        <v>11755</v>
      </c>
      <c r="AE2094" s="17">
        <f t="shared" si="98"/>
        <v>0</v>
      </c>
      <c r="AF2094" s="10" t="s">
        <v>4968</v>
      </c>
      <c r="AG2094" s="5" t="s">
        <v>2093</v>
      </c>
      <c r="AH2094" s="5" t="s">
        <v>4717</v>
      </c>
    </row>
    <row r="2095" spans="1:34" ht="10" customHeight="1" x14ac:dyDescent="0.2">
      <c r="A2095" s="5" t="s">
        <v>4712</v>
      </c>
      <c r="B2095" s="5" t="s">
        <v>4713</v>
      </c>
      <c r="C2095" s="5" t="s">
        <v>5070</v>
      </c>
      <c r="D2095" s="5" t="s">
        <v>5071</v>
      </c>
      <c r="E2095" s="10" t="s">
        <v>57</v>
      </c>
      <c r="F2095" s="5" t="s">
        <v>4740</v>
      </c>
      <c r="I2095" s="11">
        <v>2</v>
      </c>
      <c r="K2095" s="10" t="s">
        <v>190</v>
      </c>
      <c r="L2095" s="5" t="s">
        <v>51</v>
      </c>
      <c r="M2095" s="5" t="s">
        <v>202</v>
      </c>
      <c r="N2095" s="5" t="s">
        <v>203</v>
      </c>
      <c r="O2095" s="12"/>
      <c r="S2095" s="13">
        <v>44148</v>
      </c>
      <c r="U2095" s="13">
        <v>44148</v>
      </c>
      <c r="AC2095" s="16" t="str">
        <f t="shared" si="96"/>
        <v/>
      </c>
      <c r="AD2095" s="17">
        <f t="shared" si="97"/>
        <v>44148</v>
      </c>
      <c r="AE2095" s="17">
        <f t="shared" si="98"/>
        <v>0</v>
      </c>
      <c r="AF2095" s="10" t="s">
        <v>4968</v>
      </c>
      <c r="AG2095" s="5" t="s">
        <v>2093</v>
      </c>
      <c r="AH2095" s="5" t="s">
        <v>4717</v>
      </c>
    </row>
    <row r="2096" spans="1:34" ht="10" customHeight="1" x14ac:dyDescent="0.2">
      <c r="A2096" s="5" t="s">
        <v>4712</v>
      </c>
      <c r="B2096" s="5" t="s">
        <v>4713</v>
      </c>
      <c r="C2096" s="5" t="s">
        <v>5072</v>
      </c>
      <c r="D2096" s="5" t="s">
        <v>5073</v>
      </c>
      <c r="E2096" s="10" t="s">
        <v>57</v>
      </c>
      <c r="F2096" s="5" t="s">
        <v>4740</v>
      </c>
      <c r="I2096" s="11">
        <v>2</v>
      </c>
      <c r="K2096" s="10" t="s">
        <v>190</v>
      </c>
      <c r="L2096" s="5" t="s">
        <v>51</v>
      </c>
      <c r="M2096" s="5" t="s">
        <v>202</v>
      </c>
      <c r="N2096" s="5" t="s">
        <v>203</v>
      </c>
      <c r="O2096" s="12"/>
      <c r="S2096" s="13">
        <v>32237</v>
      </c>
      <c r="U2096" s="13">
        <v>32237</v>
      </c>
      <c r="AC2096" s="16" t="str">
        <f t="shared" si="96"/>
        <v/>
      </c>
      <c r="AD2096" s="17">
        <f t="shared" si="97"/>
        <v>32237</v>
      </c>
      <c r="AE2096" s="17">
        <f t="shared" si="98"/>
        <v>0</v>
      </c>
      <c r="AF2096" s="10" t="s">
        <v>4968</v>
      </c>
      <c r="AG2096" s="5" t="s">
        <v>2101</v>
      </c>
      <c r="AH2096" s="5" t="s">
        <v>4717</v>
      </c>
    </row>
    <row r="2097" spans="1:34" ht="10" customHeight="1" x14ac:dyDescent="0.2">
      <c r="A2097" s="5" t="s">
        <v>4712</v>
      </c>
      <c r="B2097" s="5" t="s">
        <v>4713</v>
      </c>
      <c r="C2097" s="5" t="s">
        <v>5074</v>
      </c>
      <c r="D2097" s="5" t="s">
        <v>5075</v>
      </c>
      <c r="E2097" s="10" t="s">
        <v>57</v>
      </c>
      <c r="F2097" s="5" t="s">
        <v>4714</v>
      </c>
      <c r="I2097" s="11">
        <v>2</v>
      </c>
      <c r="K2097" s="10" t="s">
        <v>190</v>
      </c>
      <c r="L2097" s="5" t="s">
        <v>51</v>
      </c>
      <c r="M2097" s="5" t="s">
        <v>202</v>
      </c>
      <c r="N2097" s="5" t="s">
        <v>203</v>
      </c>
      <c r="O2097" s="12"/>
      <c r="S2097" s="13">
        <v>15946</v>
      </c>
      <c r="U2097" s="13">
        <v>15946</v>
      </c>
      <c r="AC2097" s="16" t="str">
        <f t="shared" si="96"/>
        <v/>
      </c>
      <c r="AD2097" s="17">
        <f t="shared" si="97"/>
        <v>15946</v>
      </c>
      <c r="AE2097" s="17">
        <f t="shared" si="98"/>
        <v>0</v>
      </c>
      <c r="AF2097" s="10" t="s">
        <v>4968</v>
      </c>
      <c r="AG2097" s="5" t="s">
        <v>2101</v>
      </c>
      <c r="AH2097" s="5" t="s">
        <v>4717</v>
      </c>
    </row>
    <row r="2098" spans="1:34" ht="10" customHeight="1" x14ac:dyDescent="0.2">
      <c r="A2098" s="5" t="s">
        <v>4712</v>
      </c>
      <c r="B2098" s="5" t="s">
        <v>4713</v>
      </c>
      <c r="C2098" s="5" t="s">
        <v>5076</v>
      </c>
      <c r="D2098" s="5" t="s">
        <v>5077</v>
      </c>
      <c r="E2098" s="10" t="s">
        <v>57</v>
      </c>
      <c r="F2098" s="5" t="s">
        <v>4714</v>
      </c>
      <c r="I2098" s="11">
        <v>2</v>
      </c>
      <c r="K2098" s="10" t="s">
        <v>190</v>
      </c>
      <c r="L2098" s="5" t="s">
        <v>51</v>
      </c>
      <c r="M2098" s="5" t="s">
        <v>202</v>
      </c>
      <c r="N2098" s="5" t="s">
        <v>203</v>
      </c>
      <c r="O2098" s="12"/>
      <c r="S2098" s="13">
        <v>11755</v>
      </c>
      <c r="U2098" s="13">
        <v>11755</v>
      </c>
      <c r="AC2098" s="16" t="str">
        <f t="shared" si="96"/>
        <v/>
      </c>
      <c r="AD2098" s="17">
        <f t="shared" si="97"/>
        <v>11755</v>
      </c>
      <c r="AE2098" s="17">
        <f t="shared" si="98"/>
        <v>0</v>
      </c>
      <c r="AF2098" s="10" t="s">
        <v>4968</v>
      </c>
      <c r="AG2098" s="5" t="s">
        <v>2101</v>
      </c>
      <c r="AH2098" s="5" t="s">
        <v>4717</v>
      </c>
    </row>
    <row r="2099" spans="1:34" ht="10" customHeight="1" x14ac:dyDescent="0.2">
      <c r="A2099" s="5" t="s">
        <v>4712</v>
      </c>
      <c r="B2099" s="5" t="s">
        <v>4713</v>
      </c>
      <c r="C2099" s="5" t="s">
        <v>5078</v>
      </c>
      <c r="D2099" s="5" t="s">
        <v>5079</v>
      </c>
      <c r="E2099" s="10" t="s">
        <v>57</v>
      </c>
      <c r="F2099" s="5" t="s">
        <v>4742</v>
      </c>
      <c r="I2099" s="11">
        <v>2</v>
      </c>
      <c r="K2099" s="10" t="s">
        <v>190</v>
      </c>
      <c r="L2099" s="5" t="s">
        <v>51</v>
      </c>
      <c r="M2099" s="5" t="s">
        <v>202</v>
      </c>
      <c r="N2099" s="5" t="s">
        <v>203</v>
      </c>
      <c r="O2099" s="12"/>
      <c r="S2099" s="13">
        <v>28069</v>
      </c>
      <c r="U2099" s="13">
        <v>28069</v>
      </c>
      <c r="AC2099" s="16" t="str">
        <f t="shared" si="96"/>
        <v/>
      </c>
      <c r="AD2099" s="17">
        <f t="shared" si="97"/>
        <v>28069</v>
      </c>
      <c r="AE2099" s="17">
        <f t="shared" si="98"/>
        <v>0</v>
      </c>
      <c r="AF2099" s="10" t="s">
        <v>4968</v>
      </c>
      <c r="AG2099" s="5" t="s">
        <v>2101</v>
      </c>
      <c r="AH2099" s="5" t="s">
        <v>4717</v>
      </c>
    </row>
    <row r="2100" spans="1:34" ht="10" customHeight="1" x14ac:dyDescent="0.2">
      <c r="A2100" s="5" t="s">
        <v>4712</v>
      </c>
      <c r="B2100" s="5" t="s">
        <v>4713</v>
      </c>
      <c r="C2100" s="5" t="s">
        <v>5080</v>
      </c>
      <c r="D2100" s="5" t="s">
        <v>5081</v>
      </c>
      <c r="E2100" s="10" t="s">
        <v>57</v>
      </c>
      <c r="F2100" s="5" t="s">
        <v>4742</v>
      </c>
      <c r="I2100" s="11">
        <v>2</v>
      </c>
      <c r="K2100" s="10" t="s">
        <v>190</v>
      </c>
      <c r="L2100" s="5" t="s">
        <v>51</v>
      </c>
      <c r="M2100" s="5" t="s">
        <v>202</v>
      </c>
      <c r="N2100" s="5" t="s">
        <v>203</v>
      </c>
      <c r="O2100" s="12"/>
      <c r="S2100" s="13">
        <v>32237</v>
      </c>
      <c r="U2100" s="13">
        <v>32237</v>
      </c>
      <c r="AC2100" s="16" t="str">
        <f t="shared" si="96"/>
        <v/>
      </c>
      <c r="AD2100" s="17">
        <f t="shared" si="97"/>
        <v>32237</v>
      </c>
      <c r="AE2100" s="17">
        <f t="shared" si="98"/>
        <v>0</v>
      </c>
      <c r="AF2100" s="10" t="s">
        <v>4968</v>
      </c>
      <c r="AG2100" s="5" t="s">
        <v>2101</v>
      </c>
      <c r="AH2100" s="5" t="s">
        <v>4717</v>
      </c>
    </row>
    <row r="2101" spans="1:34" ht="10" customHeight="1" x14ac:dyDescent="0.2">
      <c r="A2101" s="5" t="s">
        <v>4712</v>
      </c>
      <c r="B2101" s="5" t="s">
        <v>4713</v>
      </c>
      <c r="C2101" s="5" t="s">
        <v>5082</v>
      </c>
      <c r="D2101" s="5" t="s">
        <v>5083</v>
      </c>
      <c r="E2101" s="10" t="s">
        <v>57</v>
      </c>
      <c r="F2101" s="5" t="s">
        <v>4740</v>
      </c>
      <c r="I2101" s="11">
        <v>2</v>
      </c>
      <c r="K2101" s="10" t="s">
        <v>190</v>
      </c>
      <c r="L2101" s="5" t="s">
        <v>51</v>
      </c>
      <c r="M2101" s="5" t="s">
        <v>202</v>
      </c>
      <c r="N2101" s="5" t="s">
        <v>203</v>
      </c>
      <c r="O2101" s="12"/>
      <c r="S2101" s="13">
        <v>27033</v>
      </c>
      <c r="U2101" s="13">
        <v>27033</v>
      </c>
      <c r="AC2101" s="16" t="str">
        <f t="shared" si="96"/>
        <v/>
      </c>
      <c r="AD2101" s="17">
        <f t="shared" si="97"/>
        <v>27033</v>
      </c>
      <c r="AE2101" s="17">
        <f t="shared" si="98"/>
        <v>0</v>
      </c>
      <c r="AF2101" s="10" t="s">
        <v>4968</v>
      </c>
      <c r="AG2101" s="5" t="s">
        <v>2101</v>
      </c>
      <c r="AH2101" s="5" t="s">
        <v>4717</v>
      </c>
    </row>
    <row r="2102" spans="1:34" ht="10" customHeight="1" x14ac:dyDescent="0.2">
      <c r="A2102" s="5" t="s">
        <v>4712</v>
      </c>
      <c r="B2102" s="5" t="s">
        <v>4713</v>
      </c>
      <c r="C2102" s="5" t="s">
        <v>5084</v>
      </c>
      <c r="D2102" s="5" t="s">
        <v>5085</v>
      </c>
      <c r="E2102" s="10" t="s">
        <v>57</v>
      </c>
      <c r="F2102" s="5" t="s">
        <v>4742</v>
      </c>
      <c r="I2102" s="11">
        <v>2</v>
      </c>
      <c r="K2102" s="10" t="s">
        <v>190</v>
      </c>
      <c r="L2102" s="5" t="s">
        <v>51</v>
      </c>
      <c r="M2102" s="5" t="s">
        <v>202</v>
      </c>
      <c r="N2102" s="5" t="s">
        <v>203</v>
      </c>
      <c r="O2102" s="12"/>
      <c r="S2102" s="13">
        <v>27479</v>
      </c>
      <c r="U2102" s="13">
        <v>27479</v>
      </c>
      <c r="AC2102" s="16" t="str">
        <f t="shared" si="96"/>
        <v/>
      </c>
      <c r="AD2102" s="17">
        <f t="shared" si="97"/>
        <v>27479</v>
      </c>
      <c r="AE2102" s="17">
        <f t="shared" si="98"/>
        <v>0</v>
      </c>
      <c r="AF2102" s="10" t="s">
        <v>4968</v>
      </c>
      <c r="AG2102" s="5" t="s">
        <v>2101</v>
      </c>
      <c r="AH2102" s="5" t="s">
        <v>4717</v>
      </c>
    </row>
    <row r="2103" spans="1:34" ht="10" customHeight="1" x14ac:dyDescent="0.2">
      <c r="A2103" s="5" t="s">
        <v>4712</v>
      </c>
      <c r="B2103" s="5" t="s">
        <v>4713</v>
      </c>
      <c r="C2103" s="5" t="s">
        <v>5086</v>
      </c>
      <c r="D2103" s="5" t="s">
        <v>5087</v>
      </c>
      <c r="E2103" s="10" t="s">
        <v>57</v>
      </c>
      <c r="F2103" s="5" t="s">
        <v>4742</v>
      </c>
      <c r="I2103" s="11">
        <v>2</v>
      </c>
      <c r="K2103" s="10" t="s">
        <v>190</v>
      </c>
      <c r="L2103" s="5" t="s">
        <v>51</v>
      </c>
      <c r="M2103" s="5" t="s">
        <v>202</v>
      </c>
      <c r="N2103" s="5" t="s">
        <v>203</v>
      </c>
      <c r="O2103" s="12"/>
      <c r="S2103" s="13">
        <v>26128</v>
      </c>
      <c r="U2103" s="13">
        <v>26128</v>
      </c>
      <c r="AC2103" s="16" t="str">
        <f t="shared" si="96"/>
        <v/>
      </c>
      <c r="AD2103" s="17">
        <f t="shared" si="97"/>
        <v>26128</v>
      </c>
      <c r="AE2103" s="17">
        <f t="shared" si="98"/>
        <v>0</v>
      </c>
      <c r="AF2103" s="10" t="s">
        <v>4968</v>
      </c>
      <c r="AG2103" s="5" t="s">
        <v>2101</v>
      </c>
      <c r="AH2103" s="5" t="s">
        <v>4717</v>
      </c>
    </row>
    <row r="2104" spans="1:34" ht="10" customHeight="1" x14ac:dyDescent="0.2">
      <c r="A2104" s="5" t="s">
        <v>4712</v>
      </c>
      <c r="B2104" s="5" t="s">
        <v>4713</v>
      </c>
      <c r="C2104" s="5" t="s">
        <v>5088</v>
      </c>
      <c r="D2104" s="5" t="s">
        <v>5089</v>
      </c>
      <c r="E2104" s="10" t="s">
        <v>57</v>
      </c>
      <c r="F2104" s="5" t="s">
        <v>4742</v>
      </c>
      <c r="I2104" s="11">
        <v>2</v>
      </c>
      <c r="K2104" s="10" t="s">
        <v>190</v>
      </c>
      <c r="L2104" s="5" t="s">
        <v>51</v>
      </c>
      <c r="M2104" s="5" t="s">
        <v>202</v>
      </c>
      <c r="N2104" s="5" t="s">
        <v>203</v>
      </c>
      <c r="O2104" s="12"/>
      <c r="S2104" s="13">
        <v>25953</v>
      </c>
      <c r="U2104" s="13">
        <v>25953</v>
      </c>
      <c r="AC2104" s="16" t="str">
        <f t="shared" si="96"/>
        <v/>
      </c>
      <c r="AD2104" s="17">
        <f t="shared" si="97"/>
        <v>25953</v>
      </c>
      <c r="AE2104" s="17">
        <f t="shared" si="98"/>
        <v>0</v>
      </c>
      <c r="AF2104" s="10" t="s">
        <v>4968</v>
      </c>
      <c r="AG2104" s="5" t="s">
        <v>2101</v>
      </c>
      <c r="AH2104" s="5" t="s">
        <v>4717</v>
      </c>
    </row>
    <row r="2105" spans="1:34" ht="10" customHeight="1" x14ac:dyDescent="0.2">
      <c r="A2105" s="5" t="s">
        <v>4712</v>
      </c>
      <c r="B2105" s="5" t="s">
        <v>4713</v>
      </c>
      <c r="C2105" s="5" t="s">
        <v>5090</v>
      </c>
      <c r="D2105" s="5" t="s">
        <v>5091</v>
      </c>
      <c r="E2105" s="10" t="s">
        <v>57</v>
      </c>
      <c r="F2105" s="5" t="s">
        <v>4742</v>
      </c>
      <c r="I2105" s="11">
        <v>2</v>
      </c>
      <c r="K2105" s="10" t="s">
        <v>190</v>
      </c>
      <c r="L2105" s="5" t="s">
        <v>51</v>
      </c>
      <c r="M2105" s="5" t="s">
        <v>202</v>
      </c>
      <c r="N2105" s="5" t="s">
        <v>203</v>
      </c>
      <c r="O2105" s="12"/>
      <c r="S2105" s="13">
        <v>21623</v>
      </c>
      <c r="U2105" s="13">
        <v>21623</v>
      </c>
      <c r="AC2105" s="16" t="str">
        <f t="shared" si="96"/>
        <v/>
      </c>
      <c r="AD2105" s="17">
        <f t="shared" si="97"/>
        <v>21623</v>
      </c>
      <c r="AE2105" s="17">
        <f t="shared" si="98"/>
        <v>0</v>
      </c>
      <c r="AF2105" s="10" t="s">
        <v>4968</v>
      </c>
      <c r="AG2105" s="5" t="s">
        <v>2101</v>
      </c>
      <c r="AH2105" s="5" t="s">
        <v>4717</v>
      </c>
    </row>
    <row r="2106" spans="1:34" ht="10" customHeight="1" x14ac:dyDescent="0.2">
      <c r="A2106" s="5" t="s">
        <v>4712</v>
      </c>
      <c r="B2106" s="5" t="s">
        <v>4713</v>
      </c>
      <c r="C2106" s="5" t="s">
        <v>5092</v>
      </c>
      <c r="D2106" s="5" t="s">
        <v>5093</v>
      </c>
      <c r="E2106" s="10" t="s">
        <v>57</v>
      </c>
      <c r="F2106" s="5" t="s">
        <v>4740</v>
      </c>
      <c r="I2106" s="11">
        <v>2</v>
      </c>
      <c r="K2106" s="10" t="s">
        <v>190</v>
      </c>
      <c r="L2106" s="5" t="s">
        <v>51</v>
      </c>
      <c r="M2106" s="5" t="s">
        <v>202</v>
      </c>
      <c r="N2106" s="5" t="s">
        <v>203</v>
      </c>
      <c r="O2106" s="12"/>
      <c r="S2106" s="13">
        <v>20259</v>
      </c>
      <c r="U2106" s="13">
        <v>20259</v>
      </c>
      <c r="AC2106" s="16" t="str">
        <f t="shared" si="96"/>
        <v/>
      </c>
      <c r="AD2106" s="17">
        <f t="shared" si="97"/>
        <v>20259</v>
      </c>
      <c r="AE2106" s="17">
        <f t="shared" si="98"/>
        <v>0</v>
      </c>
      <c r="AF2106" s="10" t="s">
        <v>4968</v>
      </c>
      <c r="AG2106" s="5" t="s">
        <v>2101</v>
      </c>
      <c r="AH2106" s="5" t="s">
        <v>4717</v>
      </c>
    </row>
    <row r="2107" spans="1:34" ht="10" customHeight="1" x14ac:dyDescent="0.2">
      <c r="A2107" s="5" t="s">
        <v>4712</v>
      </c>
      <c r="B2107" s="5" t="s">
        <v>4713</v>
      </c>
      <c r="C2107" s="5" t="s">
        <v>5094</v>
      </c>
      <c r="D2107" s="5" t="s">
        <v>5095</v>
      </c>
      <c r="E2107" s="10" t="s">
        <v>57</v>
      </c>
      <c r="F2107" s="5" t="s">
        <v>4743</v>
      </c>
      <c r="I2107" s="11">
        <v>2</v>
      </c>
      <c r="K2107" s="10" t="s">
        <v>190</v>
      </c>
      <c r="L2107" s="5" t="s">
        <v>51</v>
      </c>
      <c r="M2107" s="5" t="s">
        <v>202</v>
      </c>
      <c r="N2107" s="5" t="s">
        <v>203</v>
      </c>
      <c r="O2107" s="12"/>
      <c r="S2107" s="13">
        <v>55297</v>
      </c>
      <c r="U2107" s="13">
        <v>55297</v>
      </c>
      <c r="AC2107" s="16" t="str">
        <f t="shared" si="96"/>
        <v/>
      </c>
      <c r="AD2107" s="17">
        <f t="shared" si="97"/>
        <v>55297</v>
      </c>
      <c r="AE2107" s="17">
        <f t="shared" si="98"/>
        <v>0</v>
      </c>
      <c r="AF2107" s="10" t="s">
        <v>4968</v>
      </c>
      <c r="AG2107" s="5" t="s">
        <v>2101</v>
      </c>
      <c r="AH2107" s="5" t="s">
        <v>4717</v>
      </c>
    </row>
    <row r="2108" spans="1:34" ht="10" customHeight="1" x14ac:dyDescent="0.2">
      <c r="A2108" s="5" t="s">
        <v>4712</v>
      </c>
      <c r="B2108" s="5" t="s">
        <v>4713</v>
      </c>
      <c r="C2108" s="5" t="s">
        <v>5096</v>
      </c>
      <c r="D2108" s="5" t="s">
        <v>5097</v>
      </c>
      <c r="E2108" s="10" t="s">
        <v>57</v>
      </c>
      <c r="F2108" s="5" t="s">
        <v>4743</v>
      </c>
      <c r="I2108" s="11">
        <v>2</v>
      </c>
      <c r="K2108" s="10" t="s">
        <v>190</v>
      </c>
      <c r="L2108" s="5" t="s">
        <v>51</v>
      </c>
      <c r="M2108" s="5" t="s">
        <v>202</v>
      </c>
      <c r="N2108" s="5" t="s">
        <v>203</v>
      </c>
      <c r="O2108" s="12"/>
      <c r="S2108" s="13">
        <v>55297</v>
      </c>
      <c r="U2108" s="13">
        <v>55297</v>
      </c>
      <c r="AC2108" s="16" t="str">
        <f t="shared" si="96"/>
        <v/>
      </c>
      <c r="AD2108" s="17">
        <f t="shared" si="97"/>
        <v>55297</v>
      </c>
      <c r="AE2108" s="17">
        <f t="shared" si="98"/>
        <v>0</v>
      </c>
      <c r="AF2108" s="10" t="s">
        <v>4968</v>
      </c>
      <c r="AG2108" s="5" t="s">
        <v>2101</v>
      </c>
      <c r="AH2108" s="5" t="s">
        <v>4717</v>
      </c>
    </row>
    <row r="2109" spans="1:34" ht="10" customHeight="1" x14ac:dyDescent="0.2">
      <c r="A2109" s="5" t="s">
        <v>4712</v>
      </c>
      <c r="B2109" s="5" t="s">
        <v>4713</v>
      </c>
      <c r="C2109" s="5" t="s">
        <v>5098</v>
      </c>
      <c r="D2109" s="5" t="s">
        <v>5099</v>
      </c>
      <c r="E2109" s="10" t="s">
        <v>57</v>
      </c>
      <c r="F2109" s="5" t="s">
        <v>4743</v>
      </c>
      <c r="I2109" s="11">
        <v>2</v>
      </c>
      <c r="K2109" s="10" t="s">
        <v>190</v>
      </c>
      <c r="L2109" s="5" t="s">
        <v>51</v>
      </c>
      <c r="M2109" s="5" t="s">
        <v>202</v>
      </c>
      <c r="N2109" s="5" t="s">
        <v>203</v>
      </c>
      <c r="O2109" s="12"/>
      <c r="S2109" s="13">
        <v>55297</v>
      </c>
      <c r="U2109" s="13">
        <v>55297</v>
      </c>
      <c r="AC2109" s="16" t="str">
        <f t="shared" si="96"/>
        <v/>
      </c>
      <c r="AD2109" s="17">
        <f t="shared" si="97"/>
        <v>55297</v>
      </c>
      <c r="AE2109" s="17">
        <f t="shared" si="98"/>
        <v>0</v>
      </c>
      <c r="AF2109" s="10" t="s">
        <v>4968</v>
      </c>
      <c r="AG2109" s="5" t="s">
        <v>2101</v>
      </c>
      <c r="AH2109" s="5" t="s">
        <v>4717</v>
      </c>
    </row>
    <row r="2110" spans="1:34" ht="10" customHeight="1" x14ac:dyDescent="0.2">
      <c r="A2110" s="5" t="s">
        <v>4712</v>
      </c>
      <c r="B2110" s="5" t="s">
        <v>4713</v>
      </c>
      <c r="C2110" s="5" t="s">
        <v>5100</v>
      </c>
      <c r="D2110" s="5" t="s">
        <v>5101</v>
      </c>
      <c r="E2110" s="10" t="s">
        <v>57</v>
      </c>
      <c r="F2110" s="5" t="s">
        <v>4742</v>
      </c>
      <c r="I2110" s="11">
        <v>2</v>
      </c>
      <c r="K2110" s="10" t="s">
        <v>190</v>
      </c>
      <c r="L2110" s="5" t="s">
        <v>51</v>
      </c>
      <c r="M2110" s="5" t="s">
        <v>202</v>
      </c>
      <c r="N2110" s="5" t="s">
        <v>5102</v>
      </c>
      <c r="O2110" s="12"/>
      <c r="S2110" s="13">
        <v>16524</v>
      </c>
      <c r="U2110" s="13">
        <v>16524</v>
      </c>
      <c r="AC2110" s="16" t="str">
        <f t="shared" si="96"/>
        <v/>
      </c>
      <c r="AD2110" s="17">
        <f t="shared" si="97"/>
        <v>16524</v>
      </c>
      <c r="AE2110" s="17">
        <f t="shared" si="98"/>
        <v>0</v>
      </c>
      <c r="AF2110" s="10" t="s">
        <v>4968</v>
      </c>
      <c r="AG2110" s="5" t="s">
        <v>2101</v>
      </c>
      <c r="AH2110" s="5" t="s">
        <v>4717</v>
      </c>
    </row>
    <row r="2111" spans="1:34" ht="10" customHeight="1" x14ac:dyDescent="0.2">
      <c r="A2111" s="5" t="s">
        <v>4712</v>
      </c>
      <c r="B2111" s="5" t="s">
        <v>4713</v>
      </c>
      <c r="C2111" s="5" t="s">
        <v>5100</v>
      </c>
      <c r="D2111" s="5" t="s">
        <v>5103</v>
      </c>
      <c r="E2111" s="10" t="s">
        <v>57</v>
      </c>
      <c r="F2111" s="5" t="s">
        <v>4743</v>
      </c>
      <c r="I2111" s="11">
        <v>2</v>
      </c>
      <c r="K2111" s="10" t="s">
        <v>190</v>
      </c>
      <c r="L2111" s="5" t="s">
        <v>51</v>
      </c>
      <c r="M2111" s="5" t="s">
        <v>202</v>
      </c>
      <c r="N2111" s="5" t="s">
        <v>5102</v>
      </c>
      <c r="O2111" s="12"/>
      <c r="S2111" s="13">
        <v>10976</v>
      </c>
      <c r="U2111" s="13">
        <v>10976</v>
      </c>
      <c r="AC2111" s="16" t="str">
        <f t="shared" si="96"/>
        <v/>
      </c>
      <c r="AD2111" s="17">
        <f t="shared" si="97"/>
        <v>10976</v>
      </c>
      <c r="AE2111" s="17">
        <f t="shared" si="98"/>
        <v>0</v>
      </c>
      <c r="AF2111" s="10" t="s">
        <v>4968</v>
      </c>
      <c r="AG2111" s="5" t="s">
        <v>2101</v>
      </c>
      <c r="AH2111" s="5" t="s">
        <v>4717</v>
      </c>
    </row>
    <row r="2112" spans="1:34" ht="10" customHeight="1" x14ac:dyDescent="0.2">
      <c r="A2112" s="5" t="s">
        <v>4712</v>
      </c>
      <c r="B2112" s="5" t="s">
        <v>4713</v>
      </c>
      <c r="C2112" s="5" t="s">
        <v>5104</v>
      </c>
      <c r="D2112" s="5" t="s">
        <v>5105</v>
      </c>
      <c r="E2112" s="10" t="s">
        <v>57</v>
      </c>
      <c r="F2112" s="5" t="s">
        <v>4743</v>
      </c>
      <c r="I2112" s="11">
        <v>2</v>
      </c>
      <c r="K2112" s="10" t="s">
        <v>190</v>
      </c>
      <c r="L2112" s="5" t="s">
        <v>51</v>
      </c>
      <c r="M2112" s="5" t="s">
        <v>202</v>
      </c>
      <c r="N2112" s="5" t="s">
        <v>5102</v>
      </c>
      <c r="O2112" s="12"/>
      <c r="S2112" s="13">
        <v>19282</v>
      </c>
      <c r="U2112" s="13">
        <v>19282</v>
      </c>
      <c r="AC2112" s="16" t="str">
        <f t="shared" si="96"/>
        <v/>
      </c>
      <c r="AD2112" s="17">
        <f t="shared" si="97"/>
        <v>19282</v>
      </c>
      <c r="AE2112" s="17">
        <f t="shared" si="98"/>
        <v>0</v>
      </c>
      <c r="AF2112" s="10" t="s">
        <v>4968</v>
      </c>
      <c r="AG2112" s="5" t="s">
        <v>2101</v>
      </c>
      <c r="AH2112" s="5" t="s">
        <v>4717</v>
      </c>
    </row>
    <row r="2113" spans="1:34" ht="10" customHeight="1" x14ac:dyDescent="0.2">
      <c r="A2113" s="5" t="s">
        <v>4712</v>
      </c>
      <c r="B2113" s="5" t="s">
        <v>4713</v>
      </c>
      <c r="C2113" s="5" t="s">
        <v>5106</v>
      </c>
      <c r="D2113" s="5" t="s">
        <v>5107</v>
      </c>
      <c r="E2113" s="10" t="s">
        <v>57</v>
      </c>
      <c r="F2113" s="5" t="s">
        <v>4740</v>
      </c>
      <c r="I2113" s="11">
        <v>2</v>
      </c>
      <c r="K2113" s="10" t="s">
        <v>50</v>
      </c>
      <c r="L2113" s="5" t="s">
        <v>51</v>
      </c>
      <c r="M2113" s="5" t="s">
        <v>226</v>
      </c>
      <c r="N2113" s="5" t="s">
        <v>5108</v>
      </c>
      <c r="O2113" s="12"/>
      <c r="S2113" s="13">
        <v>13939</v>
      </c>
      <c r="U2113" s="13">
        <v>13939</v>
      </c>
      <c r="AC2113" s="16" t="str">
        <f t="shared" si="96"/>
        <v/>
      </c>
      <c r="AD2113" s="17">
        <f t="shared" si="97"/>
        <v>13939</v>
      </c>
      <c r="AE2113" s="17">
        <f t="shared" si="98"/>
        <v>0</v>
      </c>
      <c r="AF2113" s="10" t="s">
        <v>4968</v>
      </c>
      <c r="AG2113" s="5" t="s">
        <v>2101</v>
      </c>
      <c r="AH2113" s="5" t="s">
        <v>4717</v>
      </c>
    </row>
    <row r="2114" spans="1:34" ht="10" customHeight="1" x14ac:dyDescent="0.2">
      <c r="A2114" s="5" t="s">
        <v>4712</v>
      </c>
      <c r="B2114" s="5" t="s">
        <v>4713</v>
      </c>
      <c r="C2114" s="5" t="s">
        <v>5109</v>
      </c>
      <c r="D2114" s="5" t="s">
        <v>5110</v>
      </c>
      <c r="E2114" s="10" t="s">
        <v>57</v>
      </c>
      <c r="F2114" s="5" t="s">
        <v>4742</v>
      </c>
      <c r="I2114" s="11">
        <v>2</v>
      </c>
      <c r="K2114" s="10" t="s">
        <v>50</v>
      </c>
      <c r="L2114" s="5" t="s">
        <v>51</v>
      </c>
      <c r="M2114" s="5" t="s">
        <v>226</v>
      </c>
      <c r="N2114" s="5" t="s">
        <v>5108</v>
      </c>
      <c r="O2114" s="12"/>
      <c r="S2114" s="13">
        <v>6690</v>
      </c>
      <c r="U2114" s="13">
        <v>6690</v>
      </c>
      <c r="AC2114" s="16" t="str">
        <f t="shared" si="96"/>
        <v/>
      </c>
      <c r="AD2114" s="17">
        <f t="shared" si="97"/>
        <v>6690</v>
      </c>
      <c r="AE2114" s="17">
        <f t="shared" si="98"/>
        <v>0</v>
      </c>
      <c r="AF2114" s="10" t="s">
        <v>4968</v>
      </c>
      <c r="AG2114" s="5" t="s">
        <v>2101</v>
      </c>
      <c r="AH2114" s="5" t="s">
        <v>4717</v>
      </c>
    </row>
    <row r="2115" spans="1:34" ht="10" customHeight="1" x14ac:dyDescent="0.2">
      <c r="A2115" s="5" t="s">
        <v>4712</v>
      </c>
      <c r="B2115" s="5" t="s">
        <v>4713</v>
      </c>
      <c r="C2115" s="5" t="s">
        <v>5111</v>
      </c>
      <c r="D2115" s="5" t="s">
        <v>5112</v>
      </c>
      <c r="E2115" s="10" t="s">
        <v>57</v>
      </c>
      <c r="F2115" s="5" t="s">
        <v>4740</v>
      </c>
      <c r="I2115" s="11">
        <v>2</v>
      </c>
      <c r="K2115" s="10" t="s">
        <v>50</v>
      </c>
      <c r="L2115" s="5" t="s">
        <v>51</v>
      </c>
      <c r="M2115" s="5" t="s">
        <v>226</v>
      </c>
      <c r="N2115" s="5" t="s">
        <v>5113</v>
      </c>
      <c r="O2115" s="12"/>
      <c r="S2115" s="13">
        <v>2883</v>
      </c>
      <c r="U2115" s="13">
        <v>2883</v>
      </c>
      <c r="AC2115" s="16" t="str">
        <f t="shared" si="96"/>
        <v/>
      </c>
      <c r="AD2115" s="17">
        <f t="shared" si="97"/>
        <v>2883</v>
      </c>
      <c r="AE2115" s="17">
        <f t="shared" si="98"/>
        <v>0</v>
      </c>
      <c r="AF2115" s="10" t="s">
        <v>4968</v>
      </c>
      <c r="AG2115" s="5" t="s">
        <v>2101</v>
      </c>
      <c r="AH2115" s="5" t="s">
        <v>4717</v>
      </c>
    </row>
    <row r="2116" spans="1:34" ht="10" customHeight="1" x14ac:dyDescent="0.2">
      <c r="A2116" s="5" t="s">
        <v>4712</v>
      </c>
      <c r="B2116" s="5" t="s">
        <v>4713</v>
      </c>
      <c r="C2116" s="5" t="s">
        <v>5114</v>
      </c>
      <c r="D2116" s="5" t="s">
        <v>5115</v>
      </c>
      <c r="E2116" s="10" t="s">
        <v>57</v>
      </c>
      <c r="F2116" s="5" t="s">
        <v>4743</v>
      </c>
      <c r="I2116" s="11">
        <v>2</v>
      </c>
      <c r="K2116" s="10" t="s">
        <v>190</v>
      </c>
      <c r="L2116" s="5" t="s">
        <v>51</v>
      </c>
      <c r="M2116" s="5" t="s">
        <v>226</v>
      </c>
      <c r="N2116" s="5" t="s">
        <v>227</v>
      </c>
      <c r="O2116" s="12"/>
      <c r="S2116" s="13">
        <v>4536</v>
      </c>
      <c r="U2116" s="13">
        <v>4536</v>
      </c>
      <c r="AC2116" s="16" t="str">
        <f t="shared" si="96"/>
        <v/>
      </c>
      <c r="AD2116" s="17">
        <f t="shared" si="97"/>
        <v>4536</v>
      </c>
      <c r="AE2116" s="17">
        <f t="shared" si="98"/>
        <v>0</v>
      </c>
      <c r="AF2116" s="10" t="s">
        <v>4968</v>
      </c>
      <c r="AG2116" s="5" t="s">
        <v>2101</v>
      </c>
      <c r="AH2116" s="5" t="s">
        <v>4717</v>
      </c>
    </row>
    <row r="2117" spans="1:34" ht="10" customHeight="1" x14ac:dyDescent="0.2">
      <c r="A2117" s="5" t="s">
        <v>4712</v>
      </c>
      <c r="B2117" s="5" t="s">
        <v>4713</v>
      </c>
      <c r="C2117" s="5" t="s">
        <v>5116</v>
      </c>
      <c r="D2117" s="5" t="s">
        <v>5117</v>
      </c>
      <c r="E2117" s="10" t="s">
        <v>57</v>
      </c>
      <c r="F2117" s="5" t="s">
        <v>4743</v>
      </c>
      <c r="I2117" s="11">
        <v>2</v>
      </c>
      <c r="K2117" s="10" t="s">
        <v>190</v>
      </c>
      <c r="L2117" s="5" t="s">
        <v>51</v>
      </c>
      <c r="M2117" s="5" t="s">
        <v>226</v>
      </c>
      <c r="N2117" s="5" t="s">
        <v>227</v>
      </c>
      <c r="O2117" s="12"/>
      <c r="S2117" s="13">
        <v>182</v>
      </c>
      <c r="U2117" s="13">
        <v>182</v>
      </c>
      <c r="AC2117" s="16" t="str">
        <f t="shared" si="96"/>
        <v/>
      </c>
      <c r="AD2117" s="17">
        <f t="shared" si="97"/>
        <v>182</v>
      </c>
      <c r="AE2117" s="17">
        <f t="shared" si="98"/>
        <v>0</v>
      </c>
      <c r="AF2117" s="10" t="s">
        <v>4968</v>
      </c>
      <c r="AG2117" s="5" t="s">
        <v>2101</v>
      </c>
      <c r="AH2117" s="5" t="s">
        <v>4717</v>
      </c>
    </row>
    <row r="2118" spans="1:34" ht="10" customHeight="1" x14ac:dyDescent="0.2">
      <c r="A2118" s="5" t="s">
        <v>4712</v>
      </c>
      <c r="B2118" s="5" t="s">
        <v>4713</v>
      </c>
      <c r="C2118" s="5" t="s">
        <v>5118</v>
      </c>
      <c r="D2118" s="5" t="s">
        <v>5119</v>
      </c>
      <c r="E2118" s="10" t="s">
        <v>57</v>
      </c>
      <c r="F2118" s="5" t="s">
        <v>4743</v>
      </c>
      <c r="I2118" s="11">
        <v>2</v>
      </c>
      <c r="K2118" s="10" t="s">
        <v>190</v>
      </c>
      <c r="L2118" s="5" t="s">
        <v>51</v>
      </c>
      <c r="M2118" s="5" t="s">
        <v>226</v>
      </c>
      <c r="N2118" s="5" t="s">
        <v>227</v>
      </c>
      <c r="O2118" s="12"/>
      <c r="S2118" s="13">
        <v>2855</v>
      </c>
      <c r="U2118" s="13">
        <v>2855</v>
      </c>
      <c r="AC2118" s="16" t="str">
        <f t="shared" ref="AC2118:AC2181" si="99">IF(OR(E2118="",E2118="[PARENT]"),"ADD",IF(E2118="[ALT_VIEW]","ALT",""))</f>
        <v/>
      </c>
      <c r="AD2118" s="17">
        <f t="shared" ref="AD2118:AD2181" si="100">IF(Y2118&lt;&gt;"",Y2118,IF(U2118&lt;&gt;"",U2118,S2118))</f>
        <v>2855</v>
      </c>
      <c r="AE2118" s="17">
        <f t="shared" ref="AE2118:AE2181" si="101">IF(AB2118&lt;&gt;"",AB2118,Z2118)</f>
        <v>0</v>
      </c>
      <c r="AF2118" s="10" t="s">
        <v>4968</v>
      </c>
      <c r="AG2118" s="5" t="s">
        <v>2101</v>
      </c>
      <c r="AH2118" s="5" t="s">
        <v>4717</v>
      </c>
    </row>
    <row r="2119" spans="1:34" ht="10" customHeight="1" x14ac:dyDescent="0.2">
      <c r="A2119" s="5" t="s">
        <v>4712</v>
      </c>
      <c r="B2119" s="5" t="s">
        <v>4713</v>
      </c>
      <c r="C2119" s="5" t="s">
        <v>5120</v>
      </c>
      <c r="D2119" s="5" t="s">
        <v>5121</v>
      </c>
      <c r="E2119" s="10" t="s">
        <v>57</v>
      </c>
      <c r="F2119" s="5" t="s">
        <v>4743</v>
      </c>
      <c r="I2119" s="11">
        <v>2</v>
      </c>
      <c r="K2119" s="10" t="s">
        <v>190</v>
      </c>
      <c r="L2119" s="5" t="s">
        <v>51</v>
      </c>
      <c r="M2119" s="5" t="s">
        <v>226</v>
      </c>
      <c r="N2119" s="5" t="s">
        <v>227</v>
      </c>
      <c r="O2119" s="12"/>
      <c r="S2119" s="13">
        <v>2389</v>
      </c>
      <c r="U2119" s="13">
        <v>2389</v>
      </c>
      <c r="AC2119" s="16" t="str">
        <f t="shared" si="99"/>
        <v/>
      </c>
      <c r="AD2119" s="17">
        <f t="shared" si="100"/>
        <v>2389</v>
      </c>
      <c r="AE2119" s="17">
        <f t="shared" si="101"/>
        <v>0</v>
      </c>
      <c r="AF2119" s="10" t="s">
        <v>4968</v>
      </c>
      <c r="AG2119" s="5" t="s">
        <v>101</v>
      </c>
      <c r="AH2119" s="5" t="s">
        <v>4717</v>
      </c>
    </row>
    <row r="2120" spans="1:34" ht="10" customHeight="1" x14ac:dyDescent="0.2">
      <c r="A2120" s="5" t="s">
        <v>4712</v>
      </c>
      <c r="B2120" s="5" t="s">
        <v>4713</v>
      </c>
      <c r="C2120" s="5" t="s">
        <v>5122</v>
      </c>
      <c r="D2120" s="5" t="s">
        <v>5123</v>
      </c>
      <c r="E2120" s="10" t="s">
        <v>57</v>
      </c>
      <c r="F2120" s="5" t="s">
        <v>4742</v>
      </c>
      <c r="I2120" s="11">
        <v>2</v>
      </c>
      <c r="K2120" s="10" t="s">
        <v>190</v>
      </c>
      <c r="L2120" s="5" t="s">
        <v>51</v>
      </c>
      <c r="M2120" s="5" t="s">
        <v>182</v>
      </c>
      <c r="N2120" s="5" t="s">
        <v>197</v>
      </c>
      <c r="O2120" s="12"/>
      <c r="S2120" s="13">
        <v>5537</v>
      </c>
      <c r="U2120" s="13">
        <v>5537</v>
      </c>
      <c r="AC2120" s="16" t="str">
        <f t="shared" si="99"/>
        <v/>
      </c>
      <c r="AD2120" s="17">
        <f t="shared" si="100"/>
        <v>5537</v>
      </c>
      <c r="AE2120" s="17">
        <f t="shared" si="101"/>
        <v>0</v>
      </c>
      <c r="AF2120" s="10" t="s">
        <v>4968</v>
      </c>
      <c r="AG2120" s="5" t="s">
        <v>101</v>
      </c>
      <c r="AH2120" s="5" t="s">
        <v>4717</v>
      </c>
    </row>
    <row r="2121" spans="1:34" ht="10" customHeight="1" x14ac:dyDescent="0.2">
      <c r="A2121" s="5" t="s">
        <v>4712</v>
      </c>
      <c r="B2121" s="5" t="s">
        <v>4713</v>
      </c>
      <c r="C2121" s="5" t="s">
        <v>5124</v>
      </c>
      <c r="D2121" s="5" t="s">
        <v>5125</v>
      </c>
      <c r="E2121" s="10" t="s">
        <v>57</v>
      </c>
      <c r="F2121" s="5" t="s">
        <v>4743</v>
      </c>
      <c r="I2121" s="11">
        <v>2</v>
      </c>
      <c r="K2121" s="10" t="s">
        <v>190</v>
      </c>
      <c r="L2121" s="5" t="s">
        <v>51</v>
      </c>
      <c r="M2121" s="5" t="s">
        <v>182</v>
      </c>
      <c r="N2121" s="5" t="s">
        <v>197</v>
      </c>
      <c r="O2121" s="12"/>
      <c r="S2121" s="13">
        <v>35848</v>
      </c>
      <c r="U2121" s="13">
        <v>35848</v>
      </c>
      <c r="AC2121" s="16" t="str">
        <f t="shared" si="99"/>
        <v/>
      </c>
      <c r="AD2121" s="17">
        <f t="shared" si="100"/>
        <v>35848</v>
      </c>
      <c r="AE2121" s="17">
        <f t="shared" si="101"/>
        <v>0</v>
      </c>
      <c r="AF2121" s="10" t="s">
        <v>4968</v>
      </c>
      <c r="AG2121" s="5" t="s">
        <v>101</v>
      </c>
      <c r="AH2121" s="5" t="s">
        <v>4717</v>
      </c>
    </row>
    <row r="2122" spans="1:34" ht="10" customHeight="1" x14ac:dyDescent="0.2">
      <c r="A2122" s="5" t="s">
        <v>4712</v>
      </c>
      <c r="B2122" s="5" t="s">
        <v>4713</v>
      </c>
      <c r="C2122" s="5" t="s">
        <v>5126</v>
      </c>
      <c r="D2122" s="5" t="s">
        <v>5127</v>
      </c>
      <c r="E2122" s="10" t="s">
        <v>57</v>
      </c>
      <c r="F2122" s="5" t="s">
        <v>4743</v>
      </c>
      <c r="I2122" s="11">
        <v>2</v>
      </c>
      <c r="K2122" s="10" t="s">
        <v>190</v>
      </c>
      <c r="L2122" s="5" t="s">
        <v>51</v>
      </c>
      <c r="M2122" s="5" t="s">
        <v>182</v>
      </c>
      <c r="N2122" s="5" t="s">
        <v>197</v>
      </c>
      <c r="O2122" s="12"/>
      <c r="S2122" s="13">
        <v>24297</v>
      </c>
      <c r="U2122" s="13">
        <v>24297</v>
      </c>
      <c r="AC2122" s="16" t="str">
        <f t="shared" si="99"/>
        <v/>
      </c>
      <c r="AD2122" s="17">
        <f t="shared" si="100"/>
        <v>24297</v>
      </c>
      <c r="AE2122" s="17">
        <f t="shared" si="101"/>
        <v>0</v>
      </c>
      <c r="AF2122" s="10" t="s">
        <v>4968</v>
      </c>
      <c r="AG2122" s="5" t="s">
        <v>101</v>
      </c>
      <c r="AH2122" s="5" t="s">
        <v>4717</v>
      </c>
    </row>
    <row r="2123" spans="1:34" ht="10" customHeight="1" x14ac:dyDescent="0.2">
      <c r="A2123" s="5" t="s">
        <v>4712</v>
      </c>
      <c r="B2123" s="5" t="s">
        <v>4713</v>
      </c>
      <c r="C2123" s="5" t="s">
        <v>5128</v>
      </c>
      <c r="D2123" s="5" t="s">
        <v>5129</v>
      </c>
      <c r="E2123" s="10" t="s">
        <v>57</v>
      </c>
      <c r="F2123" s="5" t="s">
        <v>4743</v>
      </c>
      <c r="I2123" s="11">
        <v>2</v>
      </c>
      <c r="K2123" s="10" t="s">
        <v>190</v>
      </c>
      <c r="L2123" s="5" t="s">
        <v>51</v>
      </c>
      <c r="M2123" s="5" t="s">
        <v>182</v>
      </c>
      <c r="N2123" s="5" t="s">
        <v>197</v>
      </c>
      <c r="O2123" s="12"/>
      <c r="S2123" s="13">
        <v>14949</v>
      </c>
      <c r="U2123" s="13">
        <v>14949</v>
      </c>
      <c r="AC2123" s="16" t="str">
        <f t="shared" si="99"/>
        <v/>
      </c>
      <c r="AD2123" s="17">
        <f t="shared" si="100"/>
        <v>14949</v>
      </c>
      <c r="AE2123" s="17">
        <f t="shared" si="101"/>
        <v>0</v>
      </c>
      <c r="AF2123" s="10" t="s">
        <v>4968</v>
      </c>
      <c r="AG2123" s="5" t="s">
        <v>101</v>
      </c>
      <c r="AH2123" s="5" t="s">
        <v>4717</v>
      </c>
    </row>
    <row r="2124" spans="1:34" ht="10" customHeight="1" x14ac:dyDescent="0.2">
      <c r="A2124" s="5" t="s">
        <v>4712</v>
      </c>
      <c r="B2124" s="5" t="s">
        <v>4713</v>
      </c>
      <c r="C2124" s="5" t="s">
        <v>5130</v>
      </c>
      <c r="D2124" s="5" t="s">
        <v>5131</v>
      </c>
      <c r="E2124" s="10" t="s">
        <v>57</v>
      </c>
      <c r="F2124" s="5" t="s">
        <v>4743</v>
      </c>
      <c r="I2124" s="11">
        <v>2</v>
      </c>
      <c r="K2124" s="10" t="s">
        <v>190</v>
      </c>
      <c r="L2124" s="5" t="s">
        <v>51</v>
      </c>
      <c r="M2124" s="5" t="s">
        <v>182</v>
      </c>
      <c r="N2124" s="5" t="s">
        <v>191</v>
      </c>
      <c r="O2124" s="12"/>
      <c r="S2124" s="13">
        <v>13875</v>
      </c>
      <c r="U2124" s="13">
        <v>13875</v>
      </c>
      <c r="AC2124" s="16" t="str">
        <f t="shared" si="99"/>
        <v/>
      </c>
      <c r="AD2124" s="17">
        <f t="shared" si="100"/>
        <v>13875</v>
      </c>
      <c r="AE2124" s="17">
        <f t="shared" si="101"/>
        <v>0</v>
      </c>
      <c r="AF2124" s="10" t="s">
        <v>4968</v>
      </c>
      <c r="AG2124" s="5" t="s">
        <v>101</v>
      </c>
      <c r="AH2124" s="5" t="s">
        <v>4717</v>
      </c>
    </row>
    <row r="2125" spans="1:34" ht="10" customHeight="1" x14ac:dyDescent="0.2">
      <c r="A2125" s="5" t="s">
        <v>4712</v>
      </c>
      <c r="B2125" s="5" t="s">
        <v>4713</v>
      </c>
      <c r="C2125" s="5" t="s">
        <v>5132</v>
      </c>
      <c r="D2125" s="5" t="s">
        <v>5133</v>
      </c>
      <c r="E2125" s="10" t="s">
        <v>57</v>
      </c>
      <c r="F2125" s="5" t="s">
        <v>4714</v>
      </c>
      <c r="I2125" s="11">
        <v>2</v>
      </c>
      <c r="K2125" s="10" t="s">
        <v>190</v>
      </c>
      <c r="L2125" s="5" t="s">
        <v>51</v>
      </c>
      <c r="M2125" s="5" t="s">
        <v>182</v>
      </c>
      <c r="N2125" s="5" t="s">
        <v>191</v>
      </c>
      <c r="O2125" s="12"/>
      <c r="S2125" s="13">
        <v>10075</v>
      </c>
      <c r="U2125" s="13">
        <v>10075</v>
      </c>
      <c r="AC2125" s="16" t="str">
        <f t="shared" si="99"/>
        <v/>
      </c>
      <c r="AD2125" s="17">
        <f t="shared" si="100"/>
        <v>10075</v>
      </c>
      <c r="AE2125" s="17">
        <f t="shared" si="101"/>
        <v>0</v>
      </c>
      <c r="AF2125" s="10" t="s">
        <v>4968</v>
      </c>
      <c r="AG2125" s="5" t="s">
        <v>101</v>
      </c>
      <c r="AH2125" s="5" t="s">
        <v>4717</v>
      </c>
    </row>
    <row r="2126" spans="1:34" ht="10" customHeight="1" x14ac:dyDescent="0.2">
      <c r="A2126" s="5" t="s">
        <v>4712</v>
      </c>
      <c r="B2126" s="5" t="s">
        <v>4713</v>
      </c>
      <c r="C2126" s="5" t="s">
        <v>4921</v>
      </c>
      <c r="D2126" s="5" t="s">
        <v>5134</v>
      </c>
      <c r="E2126" s="10" t="s">
        <v>5135</v>
      </c>
      <c r="I2126" s="11">
        <v>2</v>
      </c>
      <c r="K2126" s="10" t="s">
        <v>50</v>
      </c>
      <c r="L2126" s="5" t="s">
        <v>51</v>
      </c>
      <c r="M2126" s="5" t="s">
        <v>149</v>
      </c>
      <c r="N2126" s="5" t="s">
        <v>4903</v>
      </c>
      <c r="O2126" s="12"/>
      <c r="S2126" s="13">
        <v>48643</v>
      </c>
      <c r="U2126" s="13">
        <v>48643</v>
      </c>
      <c r="AC2126" s="16" t="str">
        <f t="shared" si="99"/>
        <v/>
      </c>
      <c r="AD2126" s="17">
        <f t="shared" si="100"/>
        <v>48643</v>
      </c>
      <c r="AE2126" s="17">
        <f t="shared" si="101"/>
        <v>0</v>
      </c>
      <c r="AF2126" s="10" t="s">
        <v>5136</v>
      </c>
      <c r="AG2126" s="5" t="s">
        <v>5137</v>
      </c>
      <c r="AH2126" s="5" t="s">
        <v>4717</v>
      </c>
    </row>
    <row r="2127" spans="1:34" ht="10" customHeight="1" x14ac:dyDescent="0.2">
      <c r="A2127" s="5" t="s">
        <v>4712</v>
      </c>
      <c r="B2127" s="5" t="s">
        <v>4713</v>
      </c>
      <c r="C2127" s="5" t="s">
        <v>4935</v>
      </c>
      <c r="D2127" s="5" t="s">
        <v>5138</v>
      </c>
      <c r="E2127" s="10" t="s">
        <v>5135</v>
      </c>
      <c r="I2127" s="11">
        <v>2</v>
      </c>
      <c r="K2127" s="10" t="s">
        <v>50</v>
      </c>
      <c r="L2127" s="5" t="s">
        <v>51</v>
      </c>
      <c r="M2127" s="5" t="s">
        <v>149</v>
      </c>
      <c r="N2127" s="5" t="s">
        <v>4909</v>
      </c>
      <c r="O2127" s="12"/>
      <c r="S2127" s="13">
        <v>17130</v>
      </c>
      <c r="U2127" s="13">
        <v>17130</v>
      </c>
      <c r="AC2127" s="16" t="str">
        <f t="shared" si="99"/>
        <v/>
      </c>
      <c r="AD2127" s="17">
        <f t="shared" si="100"/>
        <v>17130</v>
      </c>
      <c r="AE2127" s="17">
        <f t="shared" si="101"/>
        <v>0</v>
      </c>
      <c r="AF2127" s="10" t="s">
        <v>5136</v>
      </c>
      <c r="AG2127" s="5" t="s">
        <v>5137</v>
      </c>
      <c r="AH2127" s="5" t="s">
        <v>4717</v>
      </c>
    </row>
    <row r="2128" spans="1:34" ht="10" customHeight="1" x14ac:dyDescent="0.2">
      <c r="A2128" s="5" t="s">
        <v>4712</v>
      </c>
      <c r="B2128" s="5" t="s">
        <v>4713</v>
      </c>
      <c r="C2128" s="5" t="s">
        <v>4919</v>
      </c>
      <c r="D2128" s="5" t="s">
        <v>5139</v>
      </c>
      <c r="E2128" s="10" t="s">
        <v>5135</v>
      </c>
      <c r="I2128" s="11">
        <v>2</v>
      </c>
      <c r="K2128" s="10" t="s">
        <v>50</v>
      </c>
      <c r="L2128" s="5" t="s">
        <v>51</v>
      </c>
      <c r="M2128" s="5" t="s">
        <v>149</v>
      </c>
      <c r="N2128" s="5" t="s">
        <v>168</v>
      </c>
      <c r="O2128" s="12"/>
      <c r="S2128" s="13">
        <v>12514</v>
      </c>
      <c r="U2128" s="13">
        <v>12514</v>
      </c>
      <c r="AC2128" s="16" t="str">
        <f t="shared" si="99"/>
        <v/>
      </c>
      <c r="AD2128" s="17">
        <f t="shared" si="100"/>
        <v>12514</v>
      </c>
      <c r="AE2128" s="17">
        <f t="shared" si="101"/>
        <v>0</v>
      </c>
      <c r="AF2128" s="10" t="s">
        <v>5136</v>
      </c>
      <c r="AG2128" s="5" t="s">
        <v>5137</v>
      </c>
      <c r="AH2128" s="5" t="s">
        <v>4717</v>
      </c>
    </row>
    <row r="2129" spans="1:34" ht="10" customHeight="1" x14ac:dyDescent="0.2">
      <c r="A2129" s="5" t="s">
        <v>4712</v>
      </c>
      <c r="B2129" s="5" t="s">
        <v>4713</v>
      </c>
      <c r="C2129" s="5" t="s">
        <v>5140</v>
      </c>
      <c r="D2129" s="5" t="s">
        <v>5141</v>
      </c>
      <c r="E2129" s="10" t="s">
        <v>5135</v>
      </c>
      <c r="I2129" s="11">
        <v>2</v>
      </c>
      <c r="K2129" s="10" t="s">
        <v>50</v>
      </c>
      <c r="L2129" s="5" t="s">
        <v>51</v>
      </c>
      <c r="M2129" s="5" t="s">
        <v>149</v>
      </c>
      <c r="N2129" s="5" t="s">
        <v>4903</v>
      </c>
      <c r="O2129" s="12"/>
      <c r="S2129" s="13">
        <v>9374</v>
      </c>
      <c r="U2129" s="13">
        <v>9374</v>
      </c>
      <c r="AC2129" s="16" t="str">
        <f t="shared" si="99"/>
        <v/>
      </c>
      <c r="AD2129" s="17">
        <f t="shared" si="100"/>
        <v>9374</v>
      </c>
      <c r="AE2129" s="17">
        <f t="shared" si="101"/>
        <v>0</v>
      </c>
      <c r="AF2129" s="10" t="s">
        <v>5136</v>
      </c>
      <c r="AG2129" s="5" t="s">
        <v>5137</v>
      </c>
      <c r="AH2129" s="5" t="s">
        <v>4717</v>
      </c>
    </row>
    <row r="2130" spans="1:34" ht="10" customHeight="1" x14ac:dyDescent="0.2">
      <c r="A2130" s="5" t="s">
        <v>4712</v>
      </c>
      <c r="B2130" s="5" t="s">
        <v>4713</v>
      </c>
      <c r="C2130" s="5" t="s">
        <v>5142</v>
      </c>
      <c r="D2130" s="5" t="s">
        <v>5143</v>
      </c>
      <c r="E2130" s="10" t="s">
        <v>5135</v>
      </c>
      <c r="I2130" s="11">
        <v>2</v>
      </c>
      <c r="K2130" s="10" t="s">
        <v>50</v>
      </c>
      <c r="L2130" s="5" t="s">
        <v>51</v>
      </c>
      <c r="M2130" s="5" t="s">
        <v>119</v>
      </c>
      <c r="N2130" s="5" t="s">
        <v>120</v>
      </c>
      <c r="O2130" s="12"/>
      <c r="S2130" s="13">
        <v>8279</v>
      </c>
      <c r="U2130" s="13">
        <v>8279</v>
      </c>
      <c r="AC2130" s="16" t="str">
        <f t="shared" si="99"/>
        <v/>
      </c>
      <c r="AD2130" s="17">
        <f t="shared" si="100"/>
        <v>8279</v>
      </c>
      <c r="AE2130" s="17">
        <f t="shared" si="101"/>
        <v>0</v>
      </c>
      <c r="AF2130" s="10" t="s">
        <v>5136</v>
      </c>
      <c r="AG2130" s="5" t="s">
        <v>5137</v>
      </c>
      <c r="AH2130" s="5" t="s">
        <v>4717</v>
      </c>
    </row>
    <row r="2131" spans="1:34" ht="10" customHeight="1" x14ac:dyDescent="0.2">
      <c r="A2131" s="5" t="s">
        <v>4712</v>
      </c>
      <c r="B2131" s="5" t="s">
        <v>4713</v>
      </c>
      <c r="C2131" s="5" t="s">
        <v>5144</v>
      </c>
      <c r="D2131" s="5" t="s">
        <v>5145</v>
      </c>
      <c r="E2131" s="10" t="s">
        <v>5135</v>
      </c>
      <c r="I2131" s="11">
        <v>2</v>
      </c>
      <c r="K2131" s="10" t="s">
        <v>50</v>
      </c>
      <c r="L2131" s="5" t="s">
        <v>51</v>
      </c>
      <c r="M2131" s="5" t="s">
        <v>119</v>
      </c>
      <c r="N2131" s="5" t="s">
        <v>120</v>
      </c>
      <c r="O2131" s="12"/>
      <c r="S2131" s="13">
        <v>8474</v>
      </c>
      <c r="U2131" s="13">
        <v>8474</v>
      </c>
      <c r="AC2131" s="16" t="str">
        <f t="shared" si="99"/>
        <v/>
      </c>
      <c r="AD2131" s="17">
        <f t="shared" si="100"/>
        <v>8474</v>
      </c>
      <c r="AE2131" s="17">
        <f t="shared" si="101"/>
        <v>0</v>
      </c>
      <c r="AF2131" s="10" t="s">
        <v>5136</v>
      </c>
      <c r="AG2131" s="5" t="s">
        <v>5137</v>
      </c>
      <c r="AH2131" s="5" t="s">
        <v>4717</v>
      </c>
    </row>
    <row r="2132" spans="1:34" ht="10" customHeight="1" x14ac:dyDescent="0.2">
      <c r="A2132" s="5" t="s">
        <v>4712</v>
      </c>
      <c r="B2132" s="5" t="s">
        <v>4713</v>
      </c>
      <c r="C2132" s="5" t="s">
        <v>4943</v>
      </c>
      <c r="D2132" s="5" t="s">
        <v>5146</v>
      </c>
      <c r="E2132" s="10" t="s">
        <v>5135</v>
      </c>
      <c r="I2132" s="11">
        <v>2</v>
      </c>
      <c r="K2132" s="10" t="s">
        <v>50</v>
      </c>
      <c r="L2132" s="5" t="s">
        <v>51</v>
      </c>
      <c r="M2132" s="5" t="s">
        <v>149</v>
      </c>
      <c r="N2132" s="5" t="s">
        <v>150</v>
      </c>
      <c r="O2132" s="12"/>
      <c r="S2132" s="13">
        <v>3965</v>
      </c>
      <c r="U2132" s="13">
        <v>3965</v>
      </c>
      <c r="AC2132" s="16" t="str">
        <f t="shared" si="99"/>
        <v/>
      </c>
      <c r="AD2132" s="17">
        <f t="shared" si="100"/>
        <v>3965</v>
      </c>
      <c r="AE2132" s="17">
        <f t="shared" si="101"/>
        <v>0</v>
      </c>
      <c r="AF2132" s="10" t="s">
        <v>5136</v>
      </c>
      <c r="AG2132" s="5" t="s">
        <v>5137</v>
      </c>
      <c r="AH2132" s="5" t="s">
        <v>4717</v>
      </c>
    </row>
    <row r="2133" spans="1:34" ht="10" customHeight="1" x14ac:dyDescent="0.2">
      <c r="A2133" s="5" t="s">
        <v>4712</v>
      </c>
      <c r="B2133" s="5" t="s">
        <v>4713</v>
      </c>
      <c r="C2133" s="5" t="s">
        <v>4949</v>
      </c>
      <c r="D2133" s="5" t="s">
        <v>5147</v>
      </c>
      <c r="E2133" s="10" t="s">
        <v>5135</v>
      </c>
      <c r="I2133" s="11">
        <v>2</v>
      </c>
      <c r="K2133" s="10" t="s">
        <v>50</v>
      </c>
      <c r="L2133" s="5" t="s">
        <v>51</v>
      </c>
      <c r="M2133" s="5" t="s">
        <v>119</v>
      </c>
      <c r="N2133" s="5" t="s">
        <v>120</v>
      </c>
      <c r="O2133" s="12"/>
      <c r="S2133" s="13">
        <v>3254</v>
      </c>
      <c r="U2133" s="13">
        <v>3254</v>
      </c>
      <c r="AC2133" s="16" t="str">
        <f t="shared" si="99"/>
        <v/>
      </c>
      <c r="AD2133" s="17">
        <f t="shared" si="100"/>
        <v>3254</v>
      </c>
      <c r="AE2133" s="17">
        <f t="shared" si="101"/>
        <v>0</v>
      </c>
      <c r="AF2133" s="10" t="s">
        <v>5136</v>
      </c>
      <c r="AG2133" s="5" t="s">
        <v>5137</v>
      </c>
      <c r="AH2133" s="5" t="s">
        <v>4717</v>
      </c>
    </row>
    <row r="2134" spans="1:34" ht="10" customHeight="1" x14ac:dyDescent="0.2">
      <c r="A2134" s="5" t="s">
        <v>4712</v>
      </c>
      <c r="B2134" s="5" t="s">
        <v>4713</v>
      </c>
      <c r="C2134" s="5" t="s">
        <v>4887</v>
      </c>
      <c r="D2134" s="5" t="s">
        <v>5148</v>
      </c>
      <c r="E2134" s="10" t="s">
        <v>5135</v>
      </c>
      <c r="I2134" s="11">
        <v>2</v>
      </c>
      <c r="K2134" s="10" t="s">
        <v>50</v>
      </c>
      <c r="L2134" s="5" t="s">
        <v>51</v>
      </c>
      <c r="M2134" s="5" t="s">
        <v>119</v>
      </c>
      <c r="N2134" s="5" t="s">
        <v>120</v>
      </c>
      <c r="O2134" s="12"/>
      <c r="S2134" s="13">
        <v>2022</v>
      </c>
      <c r="U2134" s="13">
        <v>2022</v>
      </c>
      <c r="AC2134" s="16" t="str">
        <f t="shared" si="99"/>
        <v/>
      </c>
      <c r="AD2134" s="17">
        <f t="shared" si="100"/>
        <v>2022</v>
      </c>
      <c r="AE2134" s="17">
        <f t="shared" si="101"/>
        <v>0</v>
      </c>
      <c r="AF2134" s="10" t="s">
        <v>5136</v>
      </c>
      <c r="AG2134" s="5" t="s">
        <v>5137</v>
      </c>
      <c r="AH2134" s="5" t="s">
        <v>4717</v>
      </c>
    </row>
    <row r="2135" spans="1:34" ht="10" customHeight="1" x14ac:dyDescent="0.2">
      <c r="A2135" s="5" t="s">
        <v>4712</v>
      </c>
      <c r="B2135" s="5" t="s">
        <v>4713</v>
      </c>
      <c r="C2135" s="5" t="s">
        <v>5149</v>
      </c>
      <c r="D2135" s="5" t="s">
        <v>5150</v>
      </c>
      <c r="E2135" s="10" t="s">
        <v>5135</v>
      </c>
      <c r="I2135" s="11">
        <v>2</v>
      </c>
      <c r="K2135" s="10" t="s">
        <v>50</v>
      </c>
      <c r="L2135" s="5" t="s">
        <v>51</v>
      </c>
      <c r="M2135" s="5" t="s">
        <v>119</v>
      </c>
      <c r="N2135" s="5" t="s">
        <v>120</v>
      </c>
      <c r="O2135" s="12"/>
      <c r="S2135" s="13">
        <v>2873</v>
      </c>
      <c r="U2135" s="13">
        <v>2873</v>
      </c>
      <c r="AC2135" s="16" t="str">
        <f t="shared" si="99"/>
        <v/>
      </c>
      <c r="AD2135" s="17">
        <f t="shared" si="100"/>
        <v>2873</v>
      </c>
      <c r="AE2135" s="17">
        <f t="shared" si="101"/>
        <v>0</v>
      </c>
      <c r="AF2135" s="10" t="s">
        <v>5136</v>
      </c>
      <c r="AG2135" s="5" t="s">
        <v>5137</v>
      </c>
      <c r="AH2135" s="5" t="s">
        <v>4717</v>
      </c>
    </row>
    <row r="2136" spans="1:34" ht="10" customHeight="1" x14ac:dyDescent="0.2">
      <c r="A2136" s="5" t="s">
        <v>4712</v>
      </c>
      <c r="B2136" s="5" t="s">
        <v>4713</v>
      </c>
      <c r="C2136" s="5" t="s">
        <v>4923</v>
      </c>
      <c r="D2136" s="5" t="s">
        <v>5151</v>
      </c>
      <c r="E2136" s="10" t="s">
        <v>5135</v>
      </c>
      <c r="I2136" s="11">
        <v>2</v>
      </c>
      <c r="K2136" s="10" t="s">
        <v>50</v>
      </c>
      <c r="L2136" s="5" t="s">
        <v>51</v>
      </c>
      <c r="M2136" s="5" t="s">
        <v>119</v>
      </c>
      <c r="N2136" s="5" t="s">
        <v>120</v>
      </c>
      <c r="O2136" s="12"/>
      <c r="S2136" s="13">
        <v>2707</v>
      </c>
      <c r="U2136" s="13">
        <v>2707</v>
      </c>
      <c r="AC2136" s="16" t="str">
        <f t="shared" si="99"/>
        <v/>
      </c>
      <c r="AD2136" s="17">
        <f t="shared" si="100"/>
        <v>2707</v>
      </c>
      <c r="AE2136" s="17">
        <f t="shared" si="101"/>
        <v>0</v>
      </c>
      <c r="AF2136" s="10" t="s">
        <v>5136</v>
      </c>
      <c r="AG2136" s="5" t="s">
        <v>5137</v>
      </c>
      <c r="AH2136" s="5" t="s">
        <v>4717</v>
      </c>
    </row>
    <row r="2137" spans="1:34" ht="10" customHeight="1" x14ac:dyDescent="0.2">
      <c r="A2137" s="5" t="s">
        <v>4712</v>
      </c>
      <c r="B2137" s="5" t="s">
        <v>4713</v>
      </c>
      <c r="C2137" s="5" t="s">
        <v>4947</v>
      </c>
      <c r="D2137" s="5" t="s">
        <v>5152</v>
      </c>
      <c r="E2137" s="10" t="s">
        <v>5135</v>
      </c>
      <c r="I2137" s="11">
        <v>2</v>
      </c>
      <c r="K2137" s="10" t="s">
        <v>50</v>
      </c>
      <c r="L2137" s="5" t="s">
        <v>51</v>
      </c>
      <c r="M2137" s="5" t="s">
        <v>119</v>
      </c>
      <c r="N2137" s="5" t="s">
        <v>120</v>
      </c>
      <c r="O2137" s="12"/>
      <c r="S2137" s="13">
        <v>2226</v>
      </c>
      <c r="U2137" s="13">
        <v>2226</v>
      </c>
      <c r="AC2137" s="16" t="str">
        <f t="shared" si="99"/>
        <v/>
      </c>
      <c r="AD2137" s="17">
        <f t="shared" si="100"/>
        <v>2226</v>
      </c>
      <c r="AE2137" s="17">
        <f t="shared" si="101"/>
        <v>0</v>
      </c>
      <c r="AF2137" s="10" t="s">
        <v>5136</v>
      </c>
      <c r="AG2137" s="5" t="s">
        <v>5137</v>
      </c>
      <c r="AH2137" s="5" t="s">
        <v>4717</v>
      </c>
    </row>
    <row r="2138" spans="1:34" ht="10" customHeight="1" x14ac:dyDescent="0.2">
      <c r="A2138" s="5" t="s">
        <v>4712</v>
      </c>
      <c r="B2138" s="5" t="s">
        <v>4713</v>
      </c>
      <c r="C2138" s="5" t="s">
        <v>5153</v>
      </c>
      <c r="D2138" s="5" t="s">
        <v>5154</v>
      </c>
      <c r="E2138" s="10" t="s">
        <v>5135</v>
      </c>
      <c r="I2138" s="11">
        <v>2</v>
      </c>
      <c r="K2138" s="10" t="s">
        <v>50</v>
      </c>
      <c r="L2138" s="5" t="s">
        <v>51</v>
      </c>
      <c r="M2138" s="5" t="s">
        <v>119</v>
      </c>
      <c r="N2138" s="5" t="s">
        <v>139</v>
      </c>
      <c r="O2138" s="12"/>
      <c r="S2138" s="13">
        <v>1674</v>
      </c>
      <c r="U2138" s="13">
        <v>1674</v>
      </c>
      <c r="AC2138" s="16" t="str">
        <f t="shared" si="99"/>
        <v/>
      </c>
      <c r="AD2138" s="17">
        <f t="shared" si="100"/>
        <v>1674</v>
      </c>
      <c r="AE2138" s="17">
        <f t="shared" si="101"/>
        <v>0</v>
      </c>
      <c r="AF2138" s="10" t="s">
        <v>5136</v>
      </c>
      <c r="AG2138" s="5" t="s">
        <v>5137</v>
      </c>
      <c r="AH2138" s="5" t="s">
        <v>4717</v>
      </c>
    </row>
    <row r="2139" spans="1:34" ht="10" customHeight="1" x14ac:dyDescent="0.2">
      <c r="A2139" s="5" t="s">
        <v>4712</v>
      </c>
      <c r="B2139" s="5" t="s">
        <v>4713</v>
      </c>
      <c r="C2139" s="5" t="s">
        <v>4931</v>
      </c>
      <c r="D2139" s="5" t="s">
        <v>5155</v>
      </c>
      <c r="E2139" s="10" t="s">
        <v>5135</v>
      </c>
      <c r="I2139" s="11">
        <v>2</v>
      </c>
      <c r="K2139" s="10" t="s">
        <v>50</v>
      </c>
      <c r="L2139" s="5" t="s">
        <v>51</v>
      </c>
      <c r="M2139" s="5" t="s">
        <v>119</v>
      </c>
      <c r="N2139" s="5" t="s">
        <v>139</v>
      </c>
      <c r="O2139" s="12"/>
      <c r="S2139" s="13">
        <v>1431</v>
      </c>
      <c r="U2139" s="13">
        <v>1431</v>
      </c>
      <c r="AC2139" s="16" t="str">
        <f t="shared" si="99"/>
        <v/>
      </c>
      <c r="AD2139" s="17">
        <f t="shared" si="100"/>
        <v>1431</v>
      </c>
      <c r="AE2139" s="17">
        <f t="shared" si="101"/>
        <v>0</v>
      </c>
      <c r="AF2139" s="10" t="s">
        <v>5136</v>
      </c>
      <c r="AG2139" s="5" t="s">
        <v>5137</v>
      </c>
      <c r="AH2139" s="5" t="s">
        <v>4717</v>
      </c>
    </row>
    <row r="2140" spans="1:34" ht="10" customHeight="1" x14ac:dyDescent="0.2">
      <c r="A2140" s="5" t="s">
        <v>4712</v>
      </c>
      <c r="B2140" s="5" t="s">
        <v>4713</v>
      </c>
      <c r="C2140" s="5" t="s">
        <v>4951</v>
      </c>
      <c r="D2140" s="5" t="s">
        <v>5156</v>
      </c>
      <c r="E2140" s="10" t="s">
        <v>5135</v>
      </c>
      <c r="I2140" s="11">
        <v>2</v>
      </c>
      <c r="K2140" s="10" t="s">
        <v>50</v>
      </c>
      <c r="L2140" s="5" t="s">
        <v>51</v>
      </c>
      <c r="M2140" s="5" t="s">
        <v>119</v>
      </c>
      <c r="N2140" s="5" t="s">
        <v>139</v>
      </c>
      <c r="O2140" s="12"/>
      <c r="S2140" s="13">
        <v>926</v>
      </c>
      <c r="U2140" s="13">
        <v>926</v>
      </c>
      <c r="AC2140" s="16" t="str">
        <f t="shared" si="99"/>
        <v/>
      </c>
      <c r="AD2140" s="17">
        <f t="shared" si="100"/>
        <v>926</v>
      </c>
      <c r="AE2140" s="17">
        <f t="shared" si="101"/>
        <v>0</v>
      </c>
      <c r="AF2140" s="10" t="s">
        <v>5136</v>
      </c>
      <c r="AG2140" s="5" t="s">
        <v>5137</v>
      </c>
      <c r="AH2140" s="5" t="s">
        <v>4717</v>
      </c>
    </row>
    <row r="2141" spans="1:34" ht="10" customHeight="1" x14ac:dyDescent="0.2">
      <c r="A2141" s="5" t="s">
        <v>4712</v>
      </c>
      <c r="B2141" s="5" t="s">
        <v>4713</v>
      </c>
      <c r="C2141" s="5" t="s">
        <v>4953</v>
      </c>
      <c r="D2141" s="5" t="s">
        <v>5157</v>
      </c>
      <c r="E2141" s="10" t="s">
        <v>5135</v>
      </c>
      <c r="I2141" s="11">
        <v>2</v>
      </c>
      <c r="K2141" s="10" t="s">
        <v>50</v>
      </c>
      <c r="L2141" s="5" t="s">
        <v>51</v>
      </c>
      <c r="M2141" s="5" t="s">
        <v>119</v>
      </c>
      <c r="N2141" s="5" t="s">
        <v>139</v>
      </c>
      <c r="O2141" s="12"/>
      <c r="S2141" s="13">
        <v>926</v>
      </c>
      <c r="U2141" s="13">
        <v>926</v>
      </c>
      <c r="AC2141" s="16" t="str">
        <f t="shared" si="99"/>
        <v/>
      </c>
      <c r="AD2141" s="17">
        <f t="shared" si="100"/>
        <v>926</v>
      </c>
      <c r="AE2141" s="17">
        <f t="shared" si="101"/>
        <v>0</v>
      </c>
      <c r="AF2141" s="10" t="s">
        <v>5136</v>
      </c>
      <c r="AG2141" s="5" t="s">
        <v>5158</v>
      </c>
      <c r="AH2141" s="5" t="s">
        <v>4717</v>
      </c>
    </row>
    <row r="2142" spans="1:34" ht="10" customHeight="1" x14ac:dyDescent="0.2">
      <c r="A2142" s="5" t="s">
        <v>4712</v>
      </c>
      <c r="B2142" s="5" t="s">
        <v>4713</v>
      </c>
      <c r="C2142" s="5" t="s">
        <v>4863</v>
      </c>
      <c r="D2142" s="5" t="s">
        <v>5159</v>
      </c>
      <c r="E2142" s="10" t="s">
        <v>5135</v>
      </c>
      <c r="I2142" s="11">
        <v>2</v>
      </c>
      <c r="K2142" s="10" t="s">
        <v>50</v>
      </c>
      <c r="L2142" s="5" t="s">
        <v>51</v>
      </c>
      <c r="M2142" s="5" t="s">
        <v>119</v>
      </c>
      <c r="N2142" s="5" t="s">
        <v>120</v>
      </c>
      <c r="O2142" s="12"/>
      <c r="S2142" s="13">
        <v>367</v>
      </c>
      <c r="U2142" s="13">
        <v>367</v>
      </c>
      <c r="AC2142" s="16" t="str">
        <f t="shared" si="99"/>
        <v/>
      </c>
      <c r="AD2142" s="17">
        <f t="shared" si="100"/>
        <v>367</v>
      </c>
      <c r="AE2142" s="17">
        <f t="shared" si="101"/>
        <v>0</v>
      </c>
      <c r="AF2142" s="10" t="s">
        <v>5136</v>
      </c>
      <c r="AG2142" s="5" t="s">
        <v>5158</v>
      </c>
      <c r="AH2142" s="5" t="s">
        <v>4717</v>
      </c>
    </row>
    <row r="2143" spans="1:34" ht="10" customHeight="1" x14ac:dyDescent="0.2">
      <c r="A2143" s="5" t="s">
        <v>4712</v>
      </c>
      <c r="B2143" s="5" t="s">
        <v>4713</v>
      </c>
      <c r="C2143" s="5" t="s">
        <v>4873</v>
      </c>
      <c r="D2143" s="5" t="s">
        <v>5160</v>
      </c>
      <c r="E2143" s="10" t="s">
        <v>5135</v>
      </c>
      <c r="I2143" s="11">
        <v>2</v>
      </c>
      <c r="K2143" s="10" t="s">
        <v>50</v>
      </c>
      <c r="L2143" s="5" t="s">
        <v>51</v>
      </c>
      <c r="M2143" s="5" t="s">
        <v>149</v>
      </c>
      <c r="N2143" s="5" t="s">
        <v>150</v>
      </c>
      <c r="O2143" s="12"/>
      <c r="S2143" s="13">
        <v>217</v>
      </c>
      <c r="U2143" s="13">
        <v>217</v>
      </c>
      <c r="AC2143" s="16" t="str">
        <f t="shared" si="99"/>
        <v/>
      </c>
      <c r="AD2143" s="17">
        <f t="shared" si="100"/>
        <v>217</v>
      </c>
      <c r="AE2143" s="17">
        <f t="shared" si="101"/>
        <v>0</v>
      </c>
      <c r="AF2143" s="10" t="s">
        <v>5136</v>
      </c>
      <c r="AG2143" s="5" t="s">
        <v>5158</v>
      </c>
      <c r="AH2143" s="5" t="s">
        <v>4717</v>
      </c>
    </row>
    <row r="2144" spans="1:34" ht="10" customHeight="1" x14ac:dyDescent="0.2">
      <c r="A2144" s="5" t="s">
        <v>4712</v>
      </c>
      <c r="B2144" s="5" t="s">
        <v>4713</v>
      </c>
      <c r="C2144" s="5" t="s">
        <v>5161</v>
      </c>
      <c r="D2144" s="5" t="s">
        <v>5162</v>
      </c>
      <c r="E2144" s="10" t="s">
        <v>5135</v>
      </c>
      <c r="I2144" s="11">
        <v>2</v>
      </c>
      <c r="K2144" s="10" t="s">
        <v>50</v>
      </c>
      <c r="L2144" s="5" t="s">
        <v>51</v>
      </c>
      <c r="M2144" s="5" t="s">
        <v>119</v>
      </c>
      <c r="N2144" s="5" t="s">
        <v>120</v>
      </c>
      <c r="O2144" s="12"/>
      <c r="S2144" s="13">
        <v>189</v>
      </c>
      <c r="U2144" s="13">
        <v>189</v>
      </c>
      <c r="AC2144" s="16" t="str">
        <f t="shared" si="99"/>
        <v/>
      </c>
      <c r="AD2144" s="17">
        <f t="shared" si="100"/>
        <v>189</v>
      </c>
      <c r="AE2144" s="17">
        <f t="shared" si="101"/>
        <v>0</v>
      </c>
      <c r="AF2144" s="10" t="s">
        <v>5136</v>
      </c>
      <c r="AG2144" s="5" t="s">
        <v>5158</v>
      </c>
      <c r="AH2144" s="5" t="s">
        <v>4717</v>
      </c>
    </row>
    <row r="2145" spans="1:34" ht="10" customHeight="1" x14ac:dyDescent="0.2">
      <c r="A2145" s="5" t="s">
        <v>4712</v>
      </c>
      <c r="B2145" s="5" t="s">
        <v>4713</v>
      </c>
      <c r="C2145" s="5" t="s">
        <v>4865</v>
      </c>
      <c r="D2145" s="5" t="s">
        <v>5163</v>
      </c>
      <c r="E2145" s="10" t="s">
        <v>5135</v>
      </c>
      <c r="I2145" s="11">
        <v>2</v>
      </c>
      <c r="K2145" s="10" t="s">
        <v>50</v>
      </c>
      <c r="L2145" s="5" t="s">
        <v>51</v>
      </c>
      <c r="M2145" s="5" t="s">
        <v>119</v>
      </c>
      <c r="N2145" s="5" t="s">
        <v>120</v>
      </c>
      <c r="O2145" s="12"/>
      <c r="S2145" s="13">
        <v>96</v>
      </c>
      <c r="U2145" s="13">
        <v>96</v>
      </c>
      <c r="AC2145" s="16" t="str">
        <f t="shared" si="99"/>
        <v/>
      </c>
      <c r="AD2145" s="17">
        <f t="shared" si="100"/>
        <v>96</v>
      </c>
      <c r="AE2145" s="17">
        <f t="shared" si="101"/>
        <v>0</v>
      </c>
      <c r="AF2145" s="10" t="s">
        <v>5136</v>
      </c>
      <c r="AG2145" s="5" t="s">
        <v>4660</v>
      </c>
      <c r="AH2145" s="5" t="s">
        <v>4717</v>
      </c>
    </row>
    <row r="2146" spans="1:34" ht="10" customHeight="1" x14ac:dyDescent="0.2">
      <c r="A2146" s="5" t="s">
        <v>4712</v>
      </c>
      <c r="B2146" s="5" t="s">
        <v>4713</v>
      </c>
      <c r="C2146" s="5" t="s">
        <v>5164</v>
      </c>
      <c r="D2146" s="5" t="s">
        <v>5165</v>
      </c>
      <c r="E2146" s="10" t="s">
        <v>5135</v>
      </c>
      <c r="I2146" s="11">
        <v>2</v>
      </c>
      <c r="K2146" s="10" t="s">
        <v>50</v>
      </c>
      <c r="L2146" s="5" t="s">
        <v>51</v>
      </c>
      <c r="M2146" s="5" t="s">
        <v>119</v>
      </c>
      <c r="N2146" s="5" t="s">
        <v>120</v>
      </c>
      <c r="O2146" s="12"/>
      <c r="S2146" s="13">
        <v>84</v>
      </c>
      <c r="U2146" s="13">
        <v>84</v>
      </c>
      <c r="AC2146" s="16" t="str">
        <f t="shared" si="99"/>
        <v/>
      </c>
      <c r="AD2146" s="17">
        <f t="shared" si="100"/>
        <v>84</v>
      </c>
      <c r="AE2146" s="17">
        <f t="shared" si="101"/>
        <v>0</v>
      </c>
      <c r="AF2146" s="10" t="s">
        <v>5136</v>
      </c>
      <c r="AG2146" s="5" t="s">
        <v>2049</v>
      </c>
      <c r="AH2146" s="5" t="s">
        <v>4717</v>
      </c>
    </row>
    <row r="2147" spans="1:34" ht="10" customHeight="1" x14ac:dyDescent="0.2">
      <c r="A2147" s="5" t="s">
        <v>4712</v>
      </c>
      <c r="B2147" s="5" t="s">
        <v>4713</v>
      </c>
      <c r="C2147" s="5" t="s">
        <v>5166</v>
      </c>
      <c r="D2147" s="5" t="s">
        <v>5167</v>
      </c>
      <c r="E2147" s="10" t="s">
        <v>5135</v>
      </c>
      <c r="I2147" s="11">
        <v>2</v>
      </c>
      <c r="K2147" s="10" t="s">
        <v>50</v>
      </c>
      <c r="L2147" s="5" t="s">
        <v>51</v>
      </c>
      <c r="M2147" s="5" t="s">
        <v>119</v>
      </c>
      <c r="N2147" s="5" t="s">
        <v>120</v>
      </c>
      <c r="O2147" s="12"/>
      <c r="S2147" s="13">
        <v>65</v>
      </c>
      <c r="U2147" s="13">
        <v>65</v>
      </c>
      <c r="AC2147" s="16" t="str">
        <f t="shared" si="99"/>
        <v/>
      </c>
      <c r="AD2147" s="17">
        <f t="shared" si="100"/>
        <v>65</v>
      </c>
      <c r="AE2147" s="17">
        <f t="shared" si="101"/>
        <v>0</v>
      </c>
      <c r="AF2147" s="10" t="s">
        <v>5136</v>
      </c>
      <c r="AG2147" s="5" t="s">
        <v>4660</v>
      </c>
      <c r="AH2147" s="5" t="s">
        <v>4717</v>
      </c>
    </row>
    <row r="2148" spans="1:34" ht="10" customHeight="1" x14ac:dyDescent="0.2">
      <c r="A2148" s="5" t="s">
        <v>4712</v>
      </c>
      <c r="B2148" s="5" t="s">
        <v>4713</v>
      </c>
      <c r="C2148" s="5" t="s">
        <v>5168</v>
      </c>
      <c r="D2148" s="5" t="s">
        <v>5169</v>
      </c>
      <c r="E2148" s="10" t="s">
        <v>5135</v>
      </c>
      <c r="I2148" s="11">
        <v>2</v>
      </c>
      <c r="K2148" s="10" t="s">
        <v>50</v>
      </c>
      <c r="L2148" s="5" t="s">
        <v>51</v>
      </c>
      <c r="M2148" s="5" t="s">
        <v>119</v>
      </c>
      <c r="N2148" s="5" t="s">
        <v>120</v>
      </c>
      <c r="O2148" s="12"/>
      <c r="S2148" s="13">
        <v>65</v>
      </c>
      <c r="U2148" s="13">
        <v>65</v>
      </c>
      <c r="AC2148" s="16" t="str">
        <f t="shared" si="99"/>
        <v/>
      </c>
      <c r="AD2148" s="17">
        <f t="shared" si="100"/>
        <v>65</v>
      </c>
      <c r="AE2148" s="17">
        <f t="shared" si="101"/>
        <v>0</v>
      </c>
      <c r="AF2148" s="10" t="s">
        <v>5136</v>
      </c>
      <c r="AG2148" s="5" t="s">
        <v>5170</v>
      </c>
      <c r="AH2148" s="5" t="s">
        <v>4717</v>
      </c>
    </row>
    <row r="2149" spans="1:34" ht="10" customHeight="1" x14ac:dyDescent="0.2">
      <c r="A2149" s="5" t="s">
        <v>4712</v>
      </c>
      <c r="B2149" s="5" t="s">
        <v>4713</v>
      </c>
      <c r="C2149" s="5" t="s">
        <v>4955</v>
      </c>
      <c r="D2149" s="5" t="s">
        <v>5171</v>
      </c>
      <c r="E2149" s="10" t="s">
        <v>5135</v>
      </c>
      <c r="I2149" s="11">
        <v>2</v>
      </c>
      <c r="K2149" s="10" t="s">
        <v>50</v>
      </c>
      <c r="L2149" s="5" t="s">
        <v>51</v>
      </c>
      <c r="M2149" s="5" t="s">
        <v>119</v>
      </c>
      <c r="N2149" s="5" t="s">
        <v>120</v>
      </c>
      <c r="O2149" s="12"/>
      <c r="S2149" s="13">
        <v>61</v>
      </c>
      <c r="U2149" s="13">
        <v>61</v>
      </c>
      <c r="AC2149" s="16" t="str">
        <f t="shared" si="99"/>
        <v/>
      </c>
      <c r="AD2149" s="17">
        <f t="shared" si="100"/>
        <v>61</v>
      </c>
      <c r="AE2149" s="17">
        <f t="shared" si="101"/>
        <v>0</v>
      </c>
      <c r="AF2149" s="10" t="s">
        <v>5136</v>
      </c>
      <c r="AG2149" s="5" t="s">
        <v>90</v>
      </c>
      <c r="AH2149" s="5" t="s">
        <v>4717</v>
      </c>
    </row>
    <row r="2150" spans="1:34" ht="10" customHeight="1" x14ac:dyDescent="0.2">
      <c r="A2150" s="5" t="s">
        <v>4712</v>
      </c>
      <c r="B2150" s="5" t="s">
        <v>4713</v>
      </c>
      <c r="C2150" s="5" t="s">
        <v>5172</v>
      </c>
      <c r="D2150" s="5" t="s">
        <v>5173</v>
      </c>
      <c r="E2150" s="10" t="s">
        <v>5135</v>
      </c>
      <c r="I2150" s="11">
        <v>2</v>
      </c>
      <c r="K2150" s="10" t="s">
        <v>50</v>
      </c>
      <c r="L2150" s="5" t="s">
        <v>51</v>
      </c>
      <c r="M2150" s="5" t="s">
        <v>119</v>
      </c>
      <c r="N2150" s="5" t="s">
        <v>120</v>
      </c>
      <c r="O2150" s="12"/>
      <c r="S2150" s="13">
        <v>34</v>
      </c>
      <c r="U2150" s="13">
        <v>34</v>
      </c>
      <c r="AC2150" s="16" t="str">
        <f t="shared" si="99"/>
        <v/>
      </c>
      <c r="AD2150" s="17">
        <f t="shared" si="100"/>
        <v>34</v>
      </c>
      <c r="AE2150" s="17">
        <f t="shared" si="101"/>
        <v>0</v>
      </c>
      <c r="AF2150" s="10" t="s">
        <v>5136</v>
      </c>
      <c r="AG2150" s="5" t="s">
        <v>5170</v>
      </c>
      <c r="AH2150" s="5" t="s">
        <v>4717</v>
      </c>
    </row>
    <row r="2151" spans="1:34" ht="10" customHeight="1" x14ac:dyDescent="0.2">
      <c r="A2151" s="5" t="s">
        <v>4712</v>
      </c>
      <c r="B2151" s="5" t="s">
        <v>4713</v>
      </c>
      <c r="D2151" s="5" t="s">
        <v>5174</v>
      </c>
      <c r="E2151" s="10" t="s">
        <v>5135</v>
      </c>
      <c r="I2151" s="11">
        <v>2</v>
      </c>
      <c r="K2151" s="12"/>
      <c r="O2151" s="12"/>
      <c r="S2151" s="13">
        <v>127596</v>
      </c>
      <c r="U2151" s="13">
        <v>127596</v>
      </c>
      <c r="AC2151" s="16" t="str">
        <f t="shared" si="99"/>
        <v/>
      </c>
      <c r="AD2151" s="17">
        <f t="shared" si="100"/>
        <v>127596</v>
      </c>
      <c r="AE2151" s="17">
        <f t="shared" si="101"/>
        <v>0</v>
      </c>
      <c r="AF2151" s="10" t="s">
        <v>5136</v>
      </c>
      <c r="AG2151" s="5" t="s">
        <v>5158</v>
      </c>
      <c r="AH2151" s="5" t="s">
        <v>4717</v>
      </c>
    </row>
    <row r="2152" spans="1:34" ht="10" customHeight="1" x14ac:dyDescent="0.2">
      <c r="A2152" s="5" t="s">
        <v>4712</v>
      </c>
      <c r="B2152" s="5" t="s">
        <v>4713</v>
      </c>
      <c r="C2152" s="5" t="s">
        <v>4849</v>
      </c>
      <c r="D2152" s="5" t="s">
        <v>5175</v>
      </c>
      <c r="E2152" s="10" t="s">
        <v>5135</v>
      </c>
      <c r="I2152" s="11">
        <v>2</v>
      </c>
      <c r="K2152" s="10" t="s">
        <v>50</v>
      </c>
      <c r="L2152" s="5" t="s">
        <v>51</v>
      </c>
      <c r="M2152" s="5" t="s">
        <v>69</v>
      </c>
      <c r="N2152" s="5" t="s">
        <v>70</v>
      </c>
      <c r="O2152" s="12"/>
      <c r="S2152" s="13">
        <v>1746</v>
      </c>
      <c r="U2152" s="13">
        <v>1746</v>
      </c>
      <c r="AC2152" s="16" t="str">
        <f t="shared" si="99"/>
        <v/>
      </c>
      <c r="AD2152" s="17">
        <f t="shared" si="100"/>
        <v>1746</v>
      </c>
      <c r="AE2152" s="17">
        <f t="shared" si="101"/>
        <v>0</v>
      </c>
      <c r="AF2152" s="10" t="s">
        <v>5176</v>
      </c>
      <c r="AG2152" s="5" t="s">
        <v>5158</v>
      </c>
      <c r="AH2152" s="5" t="s">
        <v>4717</v>
      </c>
    </row>
    <row r="2153" spans="1:34" ht="10" customHeight="1" x14ac:dyDescent="0.2">
      <c r="A2153" s="5" t="s">
        <v>4712</v>
      </c>
      <c r="B2153" s="5" t="s">
        <v>4713</v>
      </c>
      <c r="C2153" s="5" t="s">
        <v>5177</v>
      </c>
      <c r="D2153" s="5" t="s">
        <v>5178</v>
      </c>
      <c r="E2153" s="10" t="s">
        <v>5135</v>
      </c>
      <c r="I2153" s="11">
        <v>2</v>
      </c>
      <c r="K2153" s="10" t="s">
        <v>50</v>
      </c>
      <c r="L2153" s="5" t="s">
        <v>51</v>
      </c>
      <c r="M2153" s="5" t="s">
        <v>69</v>
      </c>
      <c r="N2153" s="5" t="s">
        <v>70</v>
      </c>
      <c r="O2153" s="12"/>
      <c r="S2153" s="13">
        <v>1956</v>
      </c>
      <c r="U2153" s="13">
        <v>1956</v>
      </c>
      <c r="AC2153" s="16" t="str">
        <f t="shared" si="99"/>
        <v/>
      </c>
      <c r="AD2153" s="17">
        <f t="shared" si="100"/>
        <v>1956</v>
      </c>
      <c r="AE2153" s="17">
        <f t="shared" si="101"/>
        <v>0</v>
      </c>
      <c r="AF2153" s="10" t="s">
        <v>5176</v>
      </c>
      <c r="AG2153" s="5" t="s">
        <v>5158</v>
      </c>
      <c r="AH2153" s="5" t="s">
        <v>4717</v>
      </c>
    </row>
    <row r="2154" spans="1:34" ht="10" customHeight="1" x14ac:dyDescent="0.2">
      <c r="A2154" s="5" t="s">
        <v>4712</v>
      </c>
      <c r="B2154" s="5" t="s">
        <v>4713</v>
      </c>
      <c r="C2154" s="5" t="s">
        <v>5179</v>
      </c>
      <c r="D2154" s="5" t="s">
        <v>5180</v>
      </c>
      <c r="E2154" s="10" t="s">
        <v>5135</v>
      </c>
      <c r="I2154" s="11">
        <v>2</v>
      </c>
      <c r="K2154" s="10" t="s">
        <v>50</v>
      </c>
      <c r="L2154" s="5" t="s">
        <v>51</v>
      </c>
      <c r="M2154" s="5" t="s">
        <v>69</v>
      </c>
      <c r="N2154" s="5" t="s">
        <v>70</v>
      </c>
      <c r="O2154" s="12"/>
      <c r="S2154" s="13">
        <v>2252</v>
      </c>
      <c r="U2154" s="13">
        <v>2252</v>
      </c>
      <c r="AC2154" s="16" t="str">
        <f t="shared" si="99"/>
        <v/>
      </c>
      <c r="AD2154" s="17">
        <f t="shared" si="100"/>
        <v>2252</v>
      </c>
      <c r="AE2154" s="17">
        <f t="shared" si="101"/>
        <v>0</v>
      </c>
      <c r="AF2154" s="10" t="s">
        <v>5176</v>
      </c>
      <c r="AG2154" s="5" t="s">
        <v>5158</v>
      </c>
      <c r="AH2154" s="5" t="s">
        <v>4717</v>
      </c>
    </row>
    <row r="2155" spans="1:34" ht="10" customHeight="1" x14ac:dyDescent="0.2">
      <c r="A2155" s="5" t="s">
        <v>4712</v>
      </c>
      <c r="B2155" s="5" t="s">
        <v>4713</v>
      </c>
      <c r="C2155" s="5" t="s">
        <v>4891</v>
      </c>
      <c r="D2155" s="5" t="s">
        <v>5181</v>
      </c>
      <c r="E2155" s="10" t="s">
        <v>5135</v>
      </c>
      <c r="I2155" s="11">
        <v>2</v>
      </c>
      <c r="K2155" s="10" t="s">
        <v>50</v>
      </c>
      <c r="L2155" s="5" t="s">
        <v>51</v>
      </c>
      <c r="M2155" s="5" t="s">
        <v>69</v>
      </c>
      <c r="N2155" s="5" t="s">
        <v>70</v>
      </c>
      <c r="O2155" s="12"/>
      <c r="S2155" s="13">
        <v>2414</v>
      </c>
      <c r="U2155" s="13">
        <v>2414</v>
      </c>
      <c r="AC2155" s="16" t="str">
        <f t="shared" si="99"/>
        <v/>
      </c>
      <c r="AD2155" s="17">
        <f t="shared" si="100"/>
        <v>2414</v>
      </c>
      <c r="AE2155" s="17">
        <f t="shared" si="101"/>
        <v>0</v>
      </c>
      <c r="AF2155" s="10" t="s">
        <v>5176</v>
      </c>
      <c r="AG2155" s="5" t="s">
        <v>5158</v>
      </c>
      <c r="AH2155" s="5" t="s">
        <v>4717</v>
      </c>
    </row>
    <row r="2156" spans="1:34" ht="10" customHeight="1" x14ac:dyDescent="0.2">
      <c r="A2156" s="5" t="s">
        <v>4712</v>
      </c>
      <c r="B2156" s="5" t="s">
        <v>4713</v>
      </c>
      <c r="C2156" s="5" t="s">
        <v>4837</v>
      </c>
      <c r="D2156" s="5" t="s">
        <v>5182</v>
      </c>
      <c r="E2156" s="10" t="s">
        <v>5135</v>
      </c>
      <c r="I2156" s="11">
        <v>2</v>
      </c>
      <c r="K2156" s="10" t="s">
        <v>50</v>
      </c>
      <c r="L2156" s="5" t="s">
        <v>51</v>
      </c>
      <c r="M2156" s="5" t="s">
        <v>69</v>
      </c>
      <c r="N2156" s="5" t="s">
        <v>70</v>
      </c>
      <c r="O2156" s="12"/>
      <c r="S2156" s="13">
        <v>6810</v>
      </c>
      <c r="U2156" s="13">
        <v>6810</v>
      </c>
      <c r="AC2156" s="16" t="str">
        <f t="shared" si="99"/>
        <v/>
      </c>
      <c r="AD2156" s="17">
        <f t="shared" si="100"/>
        <v>6810</v>
      </c>
      <c r="AE2156" s="17">
        <f t="shared" si="101"/>
        <v>0</v>
      </c>
      <c r="AF2156" s="10" t="s">
        <v>5176</v>
      </c>
      <c r="AG2156" s="5" t="s">
        <v>5158</v>
      </c>
      <c r="AH2156" s="5" t="s">
        <v>4717</v>
      </c>
    </row>
    <row r="2157" spans="1:34" ht="10" customHeight="1" x14ac:dyDescent="0.2">
      <c r="A2157" s="5" t="s">
        <v>4712</v>
      </c>
      <c r="B2157" s="5" t="s">
        <v>4713</v>
      </c>
      <c r="D2157" s="5" t="s">
        <v>5183</v>
      </c>
      <c r="E2157" s="10" t="s">
        <v>5135</v>
      </c>
      <c r="I2157" s="11">
        <v>2</v>
      </c>
      <c r="K2157" s="12"/>
      <c r="O2157" s="12"/>
      <c r="S2157" s="13">
        <v>15178</v>
      </c>
      <c r="U2157" s="13">
        <v>15178</v>
      </c>
      <c r="AC2157" s="16" t="str">
        <f t="shared" si="99"/>
        <v/>
      </c>
      <c r="AD2157" s="17">
        <f t="shared" si="100"/>
        <v>15178</v>
      </c>
      <c r="AE2157" s="17">
        <f t="shared" si="101"/>
        <v>0</v>
      </c>
      <c r="AF2157" s="10" t="s">
        <v>5176</v>
      </c>
      <c r="AG2157" s="5" t="s">
        <v>5158</v>
      </c>
      <c r="AH2157" s="5" t="s">
        <v>4717</v>
      </c>
    </row>
    <row r="2158" spans="1:34" ht="10" customHeight="1" x14ac:dyDescent="0.2">
      <c r="A2158" s="5" t="s">
        <v>4712</v>
      </c>
      <c r="B2158" s="5" t="s">
        <v>4713</v>
      </c>
      <c r="D2158" s="5" t="s">
        <v>5184</v>
      </c>
      <c r="E2158" s="10" t="s">
        <v>48</v>
      </c>
      <c r="I2158" s="11">
        <v>6</v>
      </c>
      <c r="K2158" s="12"/>
      <c r="O2158" s="12"/>
      <c r="P2158" s="13">
        <v>2714238</v>
      </c>
      <c r="Q2158" s="13">
        <v>2671812</v>
      </c>
      <c r="S2158" s="13">
        <v>2760878</v>
      </c>
      <c r="U2158" s="13">
        <v>2760878</v>
      </c>
      <c r="AC2158" s="16" t="str">
        <f t="shared" si="99"/>
        <v>ADD</v>
      </c>
      <c r="AD2158" s="17">
        <f t="shared" si="100"/>
        <v>2760878</v>
      </c>
      <c r="AE2158" s="17">
        <f t="shared" si="101"/>
        <v>0</v>
      </c>
      <c r="AF2158" s="10" t="s">
        <v>5185</v>
      </c>
      <c r="AG2158" s="5" t="s">
        <v>5186</v>
      </c>
      <c r="AH2158" s="5" t="s">
        <v>5187</v>
      </c>
    </row>
    <row r="2159" spans="1:34" ht="10" customHeight="1" x14ac:dyDescent="0.2">
      <c r="A2159" s="5" t="s">
        <v>4712</v>
      </c>
      <c r="B2159" s="5" t="s">
        <v>4713</v>
      </c>
      <c r="D2159" s="5" t="s">
        <v>5188</v>
      </c>
      <c r="E2159" s="10" t="s">
        <v>57</v>
      </c>
      <c r="F2159" s="5" t="s">
        <v>5184</v>
      </c>
      <c r="I2159" s="11">
        <v>6</v>
      </c>
      <c r="K2159" s="10" t="s">
        <v>50</v>
      </c>
      <c r="L2159" s="5" t="s">
        <v>51</v>
      </c>
      <c r="M2159" s="5" t="s">
        <v>119</v>
      </c>
      <c r="N2159" s="5" t="s">
        <v>120</v>
      </c>
      <c r="O2159" s="12"/>
      <c r="P2159" s="13">
        <v>183642</v>
      </c>
      <c r="Q2159" s="13">
        <v>197600</v>
      </c>
      <c r="S2159" s="13">
        <v>209225</v>
      </c>
      <c r="U2159" s="13">
        <v>209225</v>
      </c>
      <c r="AC2159" s="16" t="str">
        <f t="shared" si="99"/>
        <v/>
      </c>
      <c r="AD2159" s="17">
        <f t="shared" si="100"/>
        <v>209225</v>
      </c>
      <c r="AE2159" s="17">
        <f t="shared" si="101"/>
        <v>0</v>
      </c>
      <c r="AF2159" s="10" t="s">
        <v>5189</v>
      </c>
      <c r="AG2159" s="5" t="s">
        <v>5190</v>
      </c>
      <c r="AH2159" s="5" t="s">
        <v>5187</v>
      </c>
    </row>
    <row r="2160" spans="1:34" ht="10" customHeight="1" x14ac:dyDescent="0.2">
      <c r="A2160" s="5" t="s">
        <v>4712</v>
      </c>
      <c r="B2160" s="5" t="s">
        <v>4713</v>
      </c>
      <c r="D2160" s="5" t="s">
        <v>5191</v>
      </c>
      <c r="E2160" s="10" t="s">
        <v>57</v>
      </c>
      <c r="F2160" s="5" t="s">
        <v>5184</v>
      </c>
      <c r="I2160" s="11">
        <v>6</v>
      </c>
      <c r="K2160" s="10" t="s">
        <v>50</v>
      </c>
      <c r="L2160" s="5" t="s">
        <v>51</v>
      </c>
      <c r="M2160" s="5" t="s">
        <v>4684</v>
      </c>
      <c r="N2160" s="5" t="s">
        <v>4685</v>
      </c>
      <c r="O2160" s="12"/>
      <c r="P2160" s="13">
        <v>14157</v>
      </c>
      <c r="Q2160" s="13">
        <v>7186</v>
      </c>
      <c r="S2160" s="13">
        <v>5573</v>
      </c>
      <c r="U2160" s="13">
        <v>5573</v>
      </c>
      <c r="AC2160" s="16" t="str">
        <f t="shared" si="99"/>
        <v/>
      </c>
      <c r="AD2160" s="17">
        <f t="shared" si="100"/>
        <v>5573</v>
      </c>
      <c r="AE2160" s="17">
        <f t="shared" si="101"/>
        <v>0</v>
      </c>
      <c r="AF2160" s="10" t="s">
        <v>5189</v>
      </c>
      <c r="AG2160" s="5" t="s">
        <v>5190</v>
      </c>
      <c r="AH2160" s="5" t="s">
        <v>5187</v>
      </c>
    </row>
    <row r="2161" spans="1:35" ht="10" customHeight="1" x14ac:dyDescent="0.2">
      <c r="A2161" s="5" t="s">
        <v>4712</v>
      </c>
      <c r="B2161" s="5" t="s">
        <v>4713</v>
      </c>
      <c r="D2161" s="5" t="s">
        <v>5192</v>
      </c>
      <c r="E2161" s="10" t="s">
        <v>57</v>
      </c>
      <c r="F2161" s="5" t="s">
        <v>5184</v>
      </c>
      <c r="I2161" s="11">
        <v>6</v>
      </c>
      <c r="K2161" s="10" t="s">
        <v>50</v>
      </c>
      <c r="L2161" s="5" t="s">
        <v>51</v>
      </c>
      <c r="M2161" s="5" t="s">
        <v>69</v>
      </c>
      <c r="N2161" s="5" t="s">
        <v>70</v>
      </c>
      <c r="O2161" s="12"/>
      <c r="P2161" s="13">
        <v>81444</v>
      </c>
      <c r="Q2161" s="13">
        <v>81505</v>
      </c>
      <c r="S2161" s="13">
        <v>86561</v>
      </c>
      <c r="U2161" s="13">
        <v>86561</v>
      </c>
      <c r="AC2161" s="16" t="str">
        <f t="shared" si="99"/>
        <v/>
      </c>
      <c r="AD2161" s="17">
        <f t="shared" si="100"/>
        <v>86561</v>
      </c>
      <c r="AE2161" s="17">
        <f t="shared" si="101"/>
        <v>0</v>
      </c>
      <c r="AF2161" s="10" t="s">
        <v>5189</v>
      </c>
      <c r="AG2161" s="5" t="s">
        <v>5190</v>
      </c>
      <c r="AH2161" s="5" t="s">
        <v>5187</v>
      </c>
    </row>
    <row r="2162" spans="1:35" ht="10" customHeight="1" x14ac:dyDescent="0.2">
      <c r="A2162" s="5" t="s">
        <v>4712</v>
      </c>
      <c r="B2162" s="5" t="s">
        <v>4713</v>
      </c>
      <c r="D2162" s="5" t="s">
        <v>5193</v>
      </c>
      <c r="E2162" s="10" t="s">
        <v>57</v>
      </c>
      <c r="F2162" s="5" t="s">
        <v>5184</v>
      </c>
      <c r="I2162" s="11">
        <v>6</v>
      </c>
      <c r="K2162" s="12"/>
      <c r="O2162" s="12"/>
      <c r="P2162" s="13">
        <v>7548</v>
      </c>
      <c r="Q2162" s="13">
        <v>8364</v>
      </c>
      <c r="S2162" s="13">
        <v>6842</v>
      </c>
      <c r="U2162" s="13">
        <v>6842</v>
      </c>
      <c r="AC2162" s="16" t="str">
        <f t="shared" si="99"/>
        <v/>
      </c>
      <c r="AD2162" s="17">
        <f t="shared" si="100"/>
        <v>6842</v>
      </c>
      <c r="AE2162" s="17">
        <f t="shared" si="101"/>
        <v>0</v>
      </c>
      <c r="AF2162" s="10" t="s">
        <v>5189</v>
      </c>
      <c r="AG2162" s="5" t="s">
        <v>5190</v>
      </c>
      <c r="AH2162" s="5" t="s">
        <v>5187</v>
      </c>
    </row>
    <row r="2163" spans="1:35" ht="10" customHeight="1" x14ac:dyDescent="0.2">
      <c r="A2163" s="5" t="s">
        <v>4712</v>
      </c>
      <c r="B2163" s="5" t="s">
        <v>4713</v>
      </c>
      <c r="D2163" s="5" t="s">
        <v>5194</v>
      </c>
      <c r="E2163" s="10" t="s">
        <v>57</v>
      </c>
      <c r="F2163" s="5" t="s">
        <v>5184</v>
      </c>
      <c r="I2163" s="11">
        <v>6</v>
      </c>
      <c r="K2163" s="12"/>
      <c r="O2163" s="12"/>
      <c r="P2163" s="13">
        <v>446317</v>
      </c>
      <c r="Q2163" s="13">
        <v>463167</v>
      </c>
      <c r="S2163" s="13">
        <v>451307</v>
      </c>
      <c r="U2163" s="13">
        <v>451307</v>
      </c>
      <c r="AC2163" s="16" t="str">
        <f t="shared" si="99"/>
        <v/>
      </c>
      <c r="AD2163" s="17">
        <f t="shared" si="100"/>
        <v>451307</v>
      </c>
      <c r="AE2163" s="17">
        <f t="shared" si="101"/>
        <v>0</v>
      </c>
      <c r="AF2163" s="10" t="s">
        <v>5189</v>
      </c>
      <c r="AG2163" s="5" t="s">
        <v>5190</v>
      </c>
      <c r="AH2163" s="5" t="s">
        <v>5187</v>
      </c>
    </row>
    <row r="2164" spans="1:35" ht="10" customHeight="1" x14ac:dyDescent="0.2">
      <c r="A2164" s="5" t="s">
        <v>4712</v>
      </c>
      <c r="B2164" s="5" t="s">
        <v>4713</v>
      </c>
      <c r="D2164" s="5" t="s">
        <v>5195</v>
      </c>
      <c r="E2164" s="10" t="s">
        <v>57</v>
      </c>
      <c r="F2164" s="5" t="s">
        <v>5184</v>
      </c>
      <c r="I2164" s="11">
        <v>6</v>
      </c>
      <c r="K2164" s="12"/>
      <c r="O2164" s="12"/>
      <c r="P2164" s="13">
        <v>120535</v>
      </c>
      <c r="Q2164" s="13">
        <v>87573</v>
      </c>
      <c r="S2164" s="13">
        <v>81780</v>
      </c>
      <c r="U2164" s="13">
        <v>81780</v>
      </c>
      <c r="AC2164" s="16" t="str">
        <f t="shared" si="99"/>
        <v/>
      </c>
      <c r="AD2164" s="17">
        <f t="shared" si="100"/>
        <v>81780</v>
      </c>
      <c r="AE2164" s="17">
        <f t="shared" si="101"/>
        <v>0</v>
      </c>
      <c r="AF2164" s="10" t="s">
        <v>5189</v>
      </c>
      <c r="AG2164" s="5" t="s">
        <v>5190</v>
      </c>
      <c r="AH2164" s="5" t="s">
        <v>5187</v>
      </c>
    </row>
    <row r="2165" spans="1:35" ht="10" customHeight="1" x14ac:dyDescent="0.2">
      <c r="A2165" s="5" t="s">
        <v>4712</v>
      </c>
      <c r="B2165" s="5" t="s">
        <v>4713</v>
      </c>
      <c r="D2165" s="5" t="s">
        <v>5196</v>
      </c>
      <c r="E2165" s="10" t="s">
        <v>57</v>
      </c>
      <c r="F2165" s="5" t="s">
        <v>5184</v>
      </c>
      <c r="I2165" s="11">
        <v>6</v>
      </c>
      <c r="K2165" s="12"/>
      <c r="O2165" s="12"/>
      <c r="P2165" s="13">
        <v>327227</v>
      </c>
      <c r="Q2165" s="13">
        <v>340900</v>
      </c>
      <c r="S2165" s="13">
        <v>355445</v>
      </c>
      <c r="U2165" s="13">
        <v>355445</v>
      </c>
      <c r="AC2165" s="16" t="str">
        <f t="shared" si="99"/>
        <v/>
      </c>
      <c r="AD2165" s="17">
        <f t="shared" si="100"/>
        <v>355445</v>
      </c>
      <c r="AE2165" s="17">
        <f t="shared" si="101"/>
        <v>0</v>
      </c>
      <c r="AF2165" s="10" t="s">
        <v>5189</v>
      </c>
      <c r="AG2165" s="5" t="s">
        <v>5190</v>
      </c>
      <c r="AH2165" s="5" t="s">
        <v>5187</v>
      </c>
    </row>
    <row r="2166" spans="1:35" ht="10" customHeight="1" x14ac:dyDescent="0.2">
      <c r="A2166" s="5" t="s">
        <v>4712</v>
      </c>
      <c r="B2166" s="5" t="s">
        <v>4713</v>
      </c>
      <c r="D2166" s="5" t="s">
        <v>5197</v>
      </c>
      <c r="E2166" s="10" t="s">
        <v>57</v>
      </c>
      <c r="F2166" s="5" t="s">
        <v>5184</v>
      </c>
      <c r="I2166" s="11">
        <v>6</v>
      </c>
      <c r="K2166" s="12"/>
      <c r="O2166" s="12"/>
      <c r="P2166" s="13">
        <v>255302</v>
      </c>
      <c r="Q2166" s="13">
        <v>269204</v>
      </c>
      <c r="S2166" s="13">
        <v>251345</v>
      </c>
      <c r="U2166" s="13">
        <v>251345</v>
      </c>
      <c r="AC2166" s="16" t="str">
        <f t="shared" si="99"/>
        <v/>
      </c>
      <c r="AD2166" s="17">
        <f t="shared" si="100"/>
        <v>251345</v>
      </c>
      <c r="AE2166" s="17">
        <f t="shared" si="101"/>
        <v>0</v>
      </c>
      <c r="AF2166" s="10" t="s">
        <v>5189</v>
      </c>
      <c r="AG2166" s="5" t="s">
        <v>5190</v>
      </c>
      <c r="AH2166" s="5" t="s">
        <v>5187</v>
      </c>
    </row>
    <row r="2167" spans="1:35" ht="10" customHeight="1" x14ac:dyDescent="0.2">
      <c r="A2167" s="5" t="s">
        <v>4712</v>
      </c>
      <c r="B2167" s="5" t="s">
        <v>4713</v>
      </c>
      <c r="D2167" s="5" t="s">
        <v>5198</v>
      </c>
      <c r="E2167" s="10" t="s">
        <v>48</v>
      </c>
      <c r="I2167" s="11">
        <v>4</v>
      </c>
      <c r="K2167" s="12"/>
      <c r="O2167" s="12"/>
      <c r="P2167" s="13">
        <v>415261</v>
      </c>
      <c r="Q2167" s="13">
        <v>277773</v>
      </c>
      <c r="S2167" s="13">
        <v>410893</v>
      </c>
      <c r="U2167" s="13">
        <v>410893</v>
      </c>
      <c r="AC2167" s="16" t="str">
        <f t="shared" si="99"/>
        <v>ADD</v>
      </c>
      <c r="AD2167" s="17">
        <f t="shared" si="100"/>
        <v>410893</v>
      </c>
      <c r="AE2167" s="17">
        <f t="shared" si="101"/>
        <v>0</v>
      </c>
      <c r="AF2167" s="10" t="s">
        <v>5199</v>
      </c>
      <c r="AG2167" s="5" t="s">
        <v>5190</v>
      </c>
      <c r="AH2167" s="5" t="s">
        <v>5187</v>
      </c>
    </row>
    <row r="2168" spans="1:35" ht="10" customHeight="1" x14ac:dyDescent="0.2">
      <c r="A2168" s="5" t="s">
        <v>4712</v>
      </c>
      <c r="B2168" s="5" t="s">
        <v>4713</v>
      </c>
      <c r="D2168" s="5" t="s">
        <v>5200</v>
      </c>
      <c r="E2168" s="10" t="s">
        <v>57</v>
      </c>
      <c r="F2168" s="5" t="s">
        <v>5198</v>
      </c>
      <c r="I2168" s="11">
        <v>4</v>
      </c>
      <c r="K2168" s="12"/>
      <c r="O2168" s="12"/>
      <c r="P2168" s="13">
        <v>7958</v>
      </c>
      <c r="Q2168" s="13">
        <v>8083</v>
      </c>
      <c r="S2168" s="13">
        <v>6821</v>
      </c>
      <c r="U2168" s="13">
        <v>6821</v>
      </c>
      <c r="AC2168" s="16" t="str">
        <f t="shared" si="99"/>
        <v/>
      </c>
      <c r="AD2168" s="17">
        <f t="shared" si="100"/>
        <v>6821</v>
      </c>
      <c r="AE2168" s="17">
        <f t="shared" si="101"/>
        <v>0</v>
      </c>
      <c r="AF2168" s="10" t="s">
        <v>5201</v>
      </c>
      <c r="AG2168" s="5" t="s">
        <v>5190</v>
      </c>
      <c r="AH2168" s="5" t="s">
        <v>5187</v>
      </c>
      <c r="AI2168" s="5" t="s">
        <v>5202</v>
      </c>
    </row>
    <row r="2169" spans="1:35" ht="10" customHeight="1" x14ac:dyDescent="0.2">
      <c r="A2169" s="5" t="s">
        <v>4712</v>
      </c>
      <c r="B2169" s="5" t="s">
        <v>4713</v>
      </c>
      <c r="D2169" s="5" t="s">
        <v>5203</v>
      </c>
      <c r="E2169" s="10" t="s">
        <v>57</v>
      </c>
      <c r="F2169" s="5" t="s">
        <v>5198</v>
      </c>
      <c r="I2169" s="11">
        <v>4</v>
      </c>
      <c r="K2169" s="10" t="s">
        <v>50</v>
      </c>
      <c r="L2169" s="5" t="s">
        <v>51</v>
      </c>
      <c r="M2169" s="5" t="s">
        <v>52</v>
      </c>
      <c r="N2169" s="5" t="s">
        <v>88</v>
      </c>
      <c r="O2169" s="12"/>
      <c r="P2169" s="13">
        <v>49174</v>
      </c>
      <c r="Q2169" s="13">
        <v>52893</v>
      </c>
      <c r="S2169" s="13">
        <v>58269</v>
      </c>
      <c r="U2169" s="13">
        <v>58269</v>
      </c>
      <c r="AC2169" s="16" t="str">
        <f t="shared" si="99"/>
        <v/>
      </c>
      <c r="AD2169" s="17">
        <f t="shared" si="100"/>
        <v>58269</v>
      </c>
      <c r="AE2169" s="17">
        <f t="shared" si="101"/>
        <v>0</v>
      </c>
      <c r="AF2169" s="10" t="s">
        <v>5204</v>
      </c>
      <c r="AG2169" s="5" t="s">
        <v>5190</v>
      </c>
      <c r="AH2169" s="5" t="s">
        <v>5187</v>
      </c>
      <c r="AI2169" s="5" t="s">
        <v>52</v>
      </c>
    </row>
    <row r="2170" spans="1:35" ht="10" customHeight="1" x14ac:dyDescent="0.2">
      <c r="A2170" s="5" t="s">
        <v>4712</v>
      </c>
      <c r="B2170" s="5" t="s">
        <v>4713</v>
      </c>
      <c r="D2170" s="5" t="s">
        <v>5205</v>
      </c>
      <c r="E2170" s="10" t="s">
        <v>57</v>
      </c>
      <c r="F2170" s="5" t="s">
        <v>5198</v>
      </c>
      <c r="I2170" s="11">
        <v>4</v>
      </c>
      <c r="K2170" s="10" t="s">
        <v>50</v>
      </c>
      <c r="L2170" s="5" t="s">
        <v>51</v>
      </c>
      <c r="M2170" s="5" t="s">
        <v>119</v>
      </c>
      <c r="N2170" s="5" t="s">
        <v>120</v>
      </c>
      <c r="O2170" s="12"/>
      <c r="P2170" s="13">
        <v>127935</v>
      </c>
      <c r="Q2170" s="13">
        <v>75364</v>
      </c>
      <c r="S2170" s="13">
        <v>95494</v>
      </c>
      <c r="U2170" s="13">
        <v>95494</v>
      </c>
      <c r="AC2170" s="16" t="str">
        <f t="shared" si="99"/>
        <v/>
      </c>
      <c r="AD2170" s="17">
        <f t="shared" si="100"/>
        <v>95494</v>
      </c>
      <c r="AE2170" s="17">
        <f t="shared" si="101"/>
        <v>0</v>
      </c>
      <c r="AF2170" s="10" t="s">
        <v>5206</v>
      </c>
      <c r="AG2170" s="5" t="s">
        <v>5190</v>
      </c>
      <c r="AH2170" s="5" t="s">
        <v>5187</v>
      </c>
      <c r="AI2170" s="5" t="s">
        <v>120</v>
      </c>
    </row>
    <row r="2171" spans="1:35" ht="10" customHeight="1" x14ac:dyDescent="0.2">
      <c r="A2171" s="5" t="s">
        <v>4712</v>
      </c>
      <c r="B2171" s="5" t="s">
        <v>4713</v>
      </c>
      <c r="D2171" s="5" t="s">
        <v>5207</v>
      </c>
      <c r="E2171" s="10" t="s">
        <v>57</v>
      </c>
      <c r="F2171" s="5" t="s">
        <v>5198</v>
      </c>
      <c r="I2171" s="11">
        <v>4</v>
      </c>
      <c r="K2171" s="10" t="s">
        <v>50</v>
      </c>
      <c r="L2171" s="5" t="s">
        <v>51</v>
      </c>
      <c r="M2171" s="5" t="s">
        <v>149</v>
      </c>
      <c r="N2171" s="5" t="s">
        <v>4909</v>
      </c>
      <c r="O2171" s="12"/>
      <c r="P2171" s="13">
        <v>140115</v>
      </c>
      <c r="Q2171" s="13">
        <v>47075</v>
      </c>
      <c r="S2171" s="13">
        <v>178395</v>
      </c>
      <c r="U2171" s="13">
        <v>178395</v>
      </c>
      <c r="AC2171" s="16" t="str">
        <f t="shared" si="99"/>
        <v/>
      </c>
      <c r="AD2171" s="17">
        <f t="shared" si="100"/>
        <v>178395</v>
      </c>
      <c r="AE2171" s="17">
        <f t="shared" si="101"/>
        <v>0</v>
      </c>
      <c r="AF2171" s="10" t="s">
        <v>5208</v>
      </c>
      <c r="AG2171" s="5" t="s">
        <v>5190</v>
      </c>
      <c r="AH2171" s="5" t="s">
        <v>5187</v>
      </c>
      <c r="AI2171" s="5" t="s">
        <v>5209</v>
      </c>
    </row>
    <row r="2172" spans="1:35" ht="10" customHeight="1" x14ac:dyDescent="0.2">
      <c r="A2172" s="5" t="s">
        <v>4712</v>
      </c>
      <c r="B2172" s="5" t="s">
        <v>4713</v>
      </c>
      <c r="D2172" s="5" t="s">
        <v>5210</v>
      </c>
      <c r="E2172" s="10" t="s">
        <v>57</v>
      </c>
      <c r="F2172" s="5" t="s">
        <v>5198</v>
      </c>
      <c r="I2172" s="11">
        <v>4</v>
      </c>
      <c r="K2172" s="10" t="s">
        <v>50</v>
      </c>
      <c r="L2172" s="5" t="s">
        <v>51</v>
      </c>
      <c r="M2172" s="5" t="s">
        <v>119</v>
      </c>
      <c r="O2172" s="12"/>
      <c r="P2172" s="13">
        <v>11708</v>
      </c>
      <c r="Q2172" s="13">
        <v>15000</v>
      </c>
      <c r="S2172" s="13">
        <v>14512</v>
      </c>
      <c r="U2172" s="13">
        <v>14512</v>
      </c>
      <c r="AC2172" s="16" t="str">
        <f t="shared" si="99"/>
        <v/>
      </c>
      <c r="AD2172" s="17">
        <f t="shared" si="100"/>
        <v>14512</v>
      </c>
      <c r="AE2172" s="17">
        <f t="shared" si="101"/>
        <v>0</v>
      </c>
      <c r="AF2172" s="10" t="s">
        <v>5211</v>
      </c>
      <c r="AG2172" s="5" t="s">
        <v>5190</v>
      </c>
      <c r="AH2172" s="5" t="s">
        <v>5187</v>
      </c>
      <c r="AI2172" s="5" t="s">
        <v>119</v>
      </c>
    </row>
    <row r="2173" spans="1:35" ht="10" customHeight="1" x14ac:dyDescent="0.2">
      <c r="A2173" s="5" t="s">
        <v>4712</v>
      </c>
      <c r="B2173" s="5" t="s">
        <v>4713</v>
      </c>
      <c r="D2173" s="5" t="s">
        <v>5212</v>
      </c>
      <c r="E2173" s="10" t="s">
        <v>57</v>
      </c>
      <c r="F2173" s="5" t="s">
        <v>5198</v>
      </c>
      <c r="I2173" s="11">
        <v>4</v>
      </c>
      <c r="K2173" s="10" t="s">
        <v>50</v>
      </c>
      <c r="L2173" s="5" t="s">
        <v>51</v>
      </c>
      <c r="M2173" s="5" t="s">
        <v>69</v>
      </c>
      <c r="N2173" s="5" t="s">
        <v>70</v>
      </c>
      <c r="O2173" s="12"/>
      <c r="P2173" s="13">
        <v>53695</v>
      </c>
      <c r="Q2173" s="13">
        <v>69476</v>
      </c>
      <c r="S2173" s="13">
        <v>51173</v>
      </c>
      <c r="U2173" s="13">
        <v>51173</v>
      </c>
      <c r="AC2173" s="16" t="str">
        <f t="shared" si="99"/>
        <v/>
      </c>
      <c r="AD2173" s="17">
        <f t="shared" si="100"/>
        <v>51173</v>
      </c>
      <c r="AE2173" s="17">
        <f t="shared" si="101"/>
        <v>0</v>
      </c>
      <c r="AF2173" s="10" t="s">
        <v>5213</v>
      </c>
      <c r="AG2173" s="5" t="s">
        <v>5190</v>
      </c>
      <c r="AH2173" s="5" t="s">
        <v>5187</v>
      </c>
      <c r="AI2173" s="5" t="s">
        <v>5214</v>
      </c>
    </row>
    <row r="2174" spans="1:35" ht="10" customHeight="1" x14ac:dyDescent="0.2">
      <c r="A2174" s="5" t="s">
        <v>4712</v>
      </c>
      <c r="B2174" s="5" t="s">
        <v>4713</v>
      </c>
      <c r="D2174" s="5" t="s">
        <v>5215</v>
      </c>
      <c r="E2174" s="10" t="s">
        <v>57</v>
      </c>
      <c r="F2174" s="5" t="s">
        <v>5198</v>
      </c>
      <c r="I2174" s="11">
        <v>4</v>
      </c>
      <c r="K2174" s="10" t="s">
        <v>50</v>
      </c>
      <c r="L2174" s="5" t="s">
        <v>51</v>
      </c>
      <c r="M2174" s="5" t="s">
        <v>119</v>
      </c>
      <c r="N2174" s="5" t="s">
        <v>4959</v>
      </c>
      <c r="O2174" s="12"/>
      <c r="P2174" s="13">
        <v>12087</v>
      </c>
      <c r="Q2174" s="13">
        <v>8</v>
      </c>
      <c r="S2174" s="13">
        <v>5</v>
      </c>
      <c r="U2174" s="13">
        <v>5</v>
      </c>
      <c r="AC2174" s="16" t="str">
        <f t="shared" si="99"/>
        <v/>
      </c>
      <c r="AD2174" s="17">
        <f t="shared" si="100"/>
        <v>5</v>
      </c>
      <c r="AE2174" s="17">
        <f t="shared" si="101"/>
        <v>0</v>
      </c>
      <c r="AF2174" s="10" t="s">
        <v>5216</v>
      </c>
      <c r="AG2174" s="5" t="s">
        <v>2167</v>
      </c>
      <c r="AH2174" s="5" t="s">
        <v>5187</v>
      </c>
      <c r="AI2174" s="5" t="s">
        <v>5217</v>
      </c>
    </row>
    <row r="2175" spans="1:35" ht="10" customHeight="1" x14ac:dyDescent="0.2">
      <c r="A2175" s="5" t="s">
        <v>4712</v>
      </c>
      <c r="B2175" s="5" t="s">
        <v>4713</v>
      </c>
      <c r="D2175" s="5" t="s">
        <v>5218</v>
      </c>
      <c r="E2175" s="10" t="s">
        <v>57</v>
      </c>
      <c r="F2175" s="5" t="s">
        <v>5198</v>
      </c>
      <c r="I2175" s="11">
        <v>4</v>
      </c>
      <c r="K2175" s="10" t="s">
        <v>50</v>
      </c>
      <c r="L2175" s="5" t="s">
        <v>51</v>
      </c>
      <c r="M2175" s="5" t="s">
        <v>119</v>
      </c>
      <c r="N2175" s="5" t="s">
        <v>139</v>
      </c>
      <c r="O2175" s="12"/>
      <c r="P2175" s="13">
        <v>8247</v>
      </c>
      <c r="Q2175" s="13">
        <v>5631</v>
      </c>
      <c r="S2175" s="13">
        <v>2051</v>
      </c>
      <c r="U2175" s="13">
        <v>2051</v>
      </c>
      <c r="AC2175" s="16" t="str">
        <f t="shared" si="99"/>
        <v/>
      </c>
      <c r="AD2175" s="17">
        <f t="shared" si="100"/>
        <v>2051</v>
      </c>
      <c r="AE2175" s="17">
        <f t="shared" si="101"/>
        <v>0</v>
      </c>
      <c r="AF2175" s="10" t="s">
        <v>5219</v>
      </c>
      <c r="AG2175" s="5" t="s">
        <v>5190</v>
      </c>
      <c r="AH2175" s="5" t="s">
        <v>5187</v>
      </c>
      <c r="AI2175" s="5" t="s">
        <v>139</v>
      </c>
    </row>
    <row r="2176" spans="1:35" ht="10" customHeight="1" x14ac:dyDescent="0.2">
      <c r="A2176" s="5" t="s">
        <v>4712</v>
      </c>
      <c r="B2176" s="5" t="s">
        <v>4713</v>
      </c>
      <c r="D2176" s="5" t="s">
        <v>5220</v>
      </c>
      <c r="E2176" s="10" t="s">
        <v>57</v>
      </c>
      <c r="F2176" s="5" t="s">
        <v>5198</v>
      </c>
      <c r="I2176" s="11">
        <v>4</v>
      </c>
      <c r="K2176" s="12"/>
      <c r="O2176" s="12"/>
      <c r="P2176" s="13">
        <v>922</v>
      </c>
      <c r="Q2176" s="13">
        <v>894</v>
      </c>
      <c r="S2176" s="13">
        <v>709</v>
      </c>
      <c r="U2176" s="13">
        <v>709</v>
      </c>
      <c r="AC2176" s="16" t="str">
        <f t="shared" si="99"/>
        <v/>
      </c>
      <c r="AD2176" s="17">
        <f t="shared" si="100"/>
        <v>709</v>
      </c>
      <c r="AE2176" s="17">
        <f t="shared" si="101"/>
        <v>0</v>
      </c>
      <c r="AF2176" s="10" t="s">
        <v>5221</v>
      </c>
      <c r="AG2176" s="5" t="s">
        <v>5190</v>
      </c>
      <c r="AH2176" s="5" t="s">
        <v>5187</v>
      </c>
      <c r="AI2176" s="5" t="s">
        <v>299</v>
      </c>
    </row>
    <row r="2177" spans="1:35" ht="10" customHeight="1" x14ac:dyDescent="0.2">
      <c r="A2177" s="5" t="s">
        <v>4712</v>
      </c>
      <c r="B2177" s="5" t="s">
        <v>4713</v>
      </c>
      <c r="D2177" s="5" t="s">
        <v>5222</v>
      </c>
      <c r="E2177" s="10" t="s">
        <v>57</v>
      </c>
      <c r="F2177" s="5" t="s">
        <v>5198</v>
      </c>
      <c r="I2177" s="11">
        <v>4</v>
      </c>
      <c r="K2177" s="12"/>
      <c r="O2177" s="12"/>
      <c r="P2177" s="13">
        <v>3420</v>
      </c>
      <c r="Q2177" s="13">
        <v>3349</v>
      </c>
      <c r="S2177" s="13">
        <v>3464</v>
      </c>
      <c r="U2177" s="13">
        <v>3464</v>
      </c>
      <c r="AC2177" s="16" t="str">
        <f t="shared" si="99"/>
        <v/>
      </c>
      <c r="AD2177" s="17">
        <f t="shared" si="100"/>
        <v>3464</v>
      </c>
      <c r="AE2177" s="17">
        <f t="shared" si="101"/>
        <v>0</v>
      </c>
      <c r="AF2177" s="10" t="s">
        <v>5223</v>
      </c>
      <c r="AG2177" s="5" t="s">
        <v>5190</v>
      </c>
      <c r="AH2177" s="5" t="s">
        <v>5187</v>
      </c>
      <c r="AI2177" s="5" t="s">
        <v>5224</v>
      </c>
    </row>
    <row r="2178" spans="1:35" ht="10" customHeight="1" x14ac:dyDescent="0.2">
      <c r="A2178" s="5" t="s">
        <v>4712</v>
      </c>
      <c r="B2178" s="5" t="s">
        <v>4713</v>
      </c>
      <c r="D2178" s="5" t="s">
        <v>5225</v>
      </c>
      <c r="E2178" s="10" t="s">
        <v>57</v>
      </c>
      <c r="F2178" s="5" t="s">
        <v>5184</v>
      </c>
      <c r="I2178" s="11">
        <v>6</v>
      </c>
      <c r="K2178" s="12"/>
      <c r="O2178" s="12"/>
      <c r="P2178" s="13">
        <v>103028</v>
      </c>
      <c r="Q2178" s="13">
        <v>104083</v>
      </c>
      <c r="S2178" s="13">
        <v>115706</v>
      </c>
      <c r="U2178" s="13">
        <v>115706</v>
      </c>
      <c r="AC2178" s="16" t="str">
        <f t="shared" si="99"/>
        <v/>
      </c>
      <c r="AD2178" s="17">
        <f t="shared" si="100"/>
        <v>115706</v>
      </c>
      <c r="AE2178" s="17">
        <f t="shared" si="101"/>
        <v>0</v>
      </c>
      <c r="AF2178" s="10" t="s">
        <v>5226</v>
      </c>
      <c r="AG2178" s="5" t="s">
        <v>2306</v>
      </c>
      <c r="AH2178" s="5" t="s">
        <v>5187</v>
      </c>
      <c r="AI2178" s="5" t="s">
        <v>5227</v>
      </c>
    </row>
    <row r="2179" spans="1:35" ht="10" customHeight="1" x14ac:dyDescent="0.2">
      <c r="A2179" s="5" t="s">
        <v>4712</v>
      </c>
      <c r="B2179" s="5" t="s">
        <v>4713</v>
      </c>
      <c r="D2179" s="5" t="s">
        <v>5228</v>
      </c>
      <c r="E2179" s="10" t="s">
        <v>57</v>
      </c>
      <c r="F2179" s="5" t="s">
        <v>5184</v>
      </c>
      <c r="I2179" s="11">
        <v>6</v>
      </c>
      <c r="K2179" s="12"/>
      <c r="O2179" s="12"/>
      <c r="P2179" s="13">
        <v>22363</v>
      </c>
      <c r="Q2179" s="13">
        <v>34068</v>
      </c>
      <c r="S2179" s="13">
        <v>23672</v>
      </c>
      <c r="U2179" s="13">
        <v>23672</v>
      </c>
      <c r="AC2179" s="16" t="str">
        <f t="shared" si="99"/>
        <v/>
      </c>
      <c r="AD2179" s="17">
        <f t="shared" si="100"/>
        <v>23672</v>
      </c>
      <c r="AE2179" s="17">
        <f t="shared" si="101"/>
        <v>0</v>
      </c>
      <c r="AF2179" s="10" t="s">
        <v>5229</v>
      </c>
      <c r="AG2179" s="5" t="s">
        <v>2306</v>
      </c>
      <c r="AH2179" s="5" t="s">
        <v>5187</v>
      </c>
      <c r="AI2179" s="5" t="s">
        <v>5230</v>
      </c>
    </row>
    <row r="2180" spans="1:35" ht="10" customHeight="1" x14ac:dyDescent="0.2">
      <c r="A2180" s="5" t="s">
        <v>4712</v>
      </c>
      <c r="B2180" s="5" t="s">
        <v>4713</v>
      </c>
      <c r="D2180" s="5" t="s">
        <v>5231</v>
      </c>
      <c r="E2180" s="10" t="s">
        <v>57</v>
      </c>
      <c r="F2180" s="5" t="s">
        <v>5184</v>
      </c>
      <c r="I2180" s="11">
        <v>6</v>
      </c>
      <c r="K2180" s="12"/>
      <c r="O2180" s="12"/>
      <c r="P2180" s="13">
        <v>12756</v>
      </c>
      <c r="Q2180" s="13">
        <v>11062</v>
      </c>
      <c r="S2180" s="13">
        <v>14954</v>
      </c>
      <c r="U2180" s="13">
        <v>14954</v>
      </c>
      <c r="AC2180" s="16" t="str">
        <f t="shared" si="99"/>
        <v/>
      </c>
      <c r="AD2180" s="17">
        <f t="shared" si="100"/>
        <v>14954</v>
      </c>
      <c r="AE2180" s="17">
        <f t="shared" si="101"/>
        <v>0</v>
      </c>
      <c r="AF2180" s="10" t="s">
        <v>5232</v>
      </c>
      <c r="AG2180" s="5" t="s">
        <v>2306</v>
      </c>
      <c r="AH2180" s="5" t="s">
        <v>5187</v>
      </c>
      <c r="AI2180" s="5" t="s">
        <v>5233</v>
      </c>
    </row>
    <row r="2181" spans="1:35" ht="10" customHeight="1" x14ac:dyDescent="0.2">
      <c r="A2181" s="5" t="s">
        <v>4712</v>
      </c>
      <c r="B2181" s="5" t="s">
        <v>4713</v>
      </c>
      <c r="D2181" s="5" t="s">
        <v>5234</v>
      </c>
      <c r="E2181" s="10" t="s">
        <v>48</v>
      </c>
      <c r="I2181" s="11">
        <v>7</v>
      </c>
      <c r="K2181" s="12"/>
      <c r="O2181" s="12"/>
      <c r="P2181" s="13">
        <v>129771</v>
      </c>
      <c r="Q2181" s="13">
        <v>135039</v>
      </c>
      <c r="S2181" s="13">
        <v>141596</v>
      </c>
      <c r="U2181" s="13">
        <v>141596</v>
      </c>
      <c r="AC2181" s="16" t="str">
        <f t="shared" si="99"/>
        <v>ADD</v>
      </c>
      <c r="AD2181" s="17">
        <f t="shared" si="100"/>
        <v>141596</v>
      </c>
      <c r="AE2181" s="17">
        <f t="shared" si="101"/>
        <v>0</v>
      </c>
      <c r="AF2181" s="10" t="s">
        <v>5235</v>
      </c>
      <c r="AG2181" s="5" t="s">
        <v>2306</v>
      </c>
      <c r="AH2181" s="5" t="s">
        <v>5187</v>
      </c>
    </row>
    <row r="2182" spans="1:35" ht="10" customHeight="1" x14ac:dyDescent="0.2">
      <c r="A2182" s="5" t="s">
        <v>4712</v>
      </c>
      <c r="B2182" s="5" t="s">
        <v>4713</v>
      </c>
      <c r="D2182" s="5" t="s">
        <v>5236</v>
      </c>
      <c r="E2182" s="10" t="s">
        <v>57</v>
      </c>
      <c r="F2182" s="5" t="s">
        <v>5234</v>
      </c>
      <c r="I2182" s="11">
        <v>7</v>
      </c>
      <c r="K2182" s="12"/>
      <c r="O2182" s="12"/>
      <c r="P2182" s="13">
        <v>99158</v>
      </c>
      <c r="Q2182" s="13">
        <v>121924</v>
      </c>
      <c r="S2182" s="13">
        <v>138400</v>
      </c>
      <c r="U2182" s="13">
        <v>138400</v>
      </c>
      <c r="AC2182" s="16" t="str">
        <f t="shared" ref="AC2182:AC2245" si="102">IF(OR(E2182="",E2182="[PARENT]"),"ADD",IF(E2182="[ALT_VIEW]","ALT",""))</f>
        <v/>
      </c>
      <c r="AD2182" s="17">
        <f t="shared" ref="AD2182:AD2245" si="103">IF(Y2182&lt;&gt;"",Y2182,IF(U2182&lt;&gt;"",U2182,S2182))</f>
        <v>138400</v>
      </c>
      <c r="AE2182" s="17">
        <f t="shared" ref="AE2182:AE2245" si="104">IF(AB2182&lt;&gt;"",AB2182,Z2182)</f>
        <v>0</v>
      </c>
      <c r="AF2182" s="10" t="s">
        <v>5237</v>
      </c>
      <c r="AG2182" s="5" t="s">
        <v>2306</v>
      </c>
      <c r="AH2182" s="5" t="s">
        <v>5187</v>
      </c>
      <c r="AI2182" s="5" t="s">
        <v>5238</v>
      </c>
    </row>
    <row r="2183" spans="1:35" ht="10" customHeight="1" x14ac:dyDescent="0.2">
      <c r="A2183" s="5" t="s">
        <v>4712</v>
      </c>
      <c r="B2183" s="5" t="s">
        <v>4713</v>
      </c>
      <c r="D2183" s="5" t="s">
        <v>5239</v>
      </c>
      <c r="E2183" s="10" t="s">
        <v>57</v>
      </c>
      <c r="F2183" s="5" t="s">
        <v>5234</v>
      </c>
      <c r="I2183" s="11">
        <v>7</v>
      </c>
      <c r="K2183" s="10" t="s">
        <v>50</v>
      </c>
      <c r="L2183" s="5" t="s">
        <v>51</v>
      </c>
      <c r="M2183" s="5" t="s">
        <v>69</v>
      </c>
      <c r="N2183" s="5" t="s">
        <v>70</v>
      </c>
      <c r="O2183" s="12"/>
      <c r="P2183" s="13">
        <v>30613</v>
      </c>
      <c r="Q2183" s="13">
        <v>13115</v>
      </c>
      <c r="S2183" s="13">
        <v>3196</v>
      </c>
      <c r="U2183" s="13">
        <v>3196</v>
      </c>
      <c r="AC2183" s="16" t="str">
        <f t="shared" si="102"/>
        <v/>
      </c>
      <c r="AD2183" s="17">
        <f t="shared" si="103"/>
        <v>3196</v>
      </c>
      <c r="AE2183" s="17">
        <f t="shared" si="104"/>
        <v>0</v>
      </c>
      <c r="AF2183" s="10" t="s">
        <v>5240</v>
      </c>
      <c r="AG2183" s="5" t="s">
        <v>2306</v>
      </c>
      <c r="AH2183" s="5" t="s">
        <v>5187</v>
      </c>
      <c r="AI2183" s="5" t="s">
        <v>5241</v>
      </c>
    </row>
    <row r="2184" spans="1:35" ht="10" customHeight="1" x14ac:dyDescent="0.2">
      <c r="A2184" s="5" t="s">
        <v>4712</v>
      </c>
      <c r="B2184" s="5" t="s">
        <v>4713</v>
      </c>
      <c r="D2184" s="5" t="s">
        <v>5242</v>
      </c>
      <c r="E2184" s="10" t="s">
        <v>57</v>
      </c>
      <c r="F2184" s="5" t="s">
        <v>5184</v>
      </c>
      <c r="I2184" s="11">
        <v>6</v>
      </c>
      <c r="K2184" s="12"/>
      <c r="O2184" s="12"/>
      <c r="P2184" s="13">
        <v>22311</v>
      </c>
      <c r="Q2184" s="13">
        <v>25633</v>
      </c>
      <c r="S2184" s="13">
        <v>26529</v>
      </c>
      <c r="U2184" s="13">
        <v>26529</v>
      </c>
      <c r="AC2184" s="16" t="str">
        <f t="shared" si="102"/>
        <v/>
      </c>
      <c r="AD2184" s="17">
        <f t="shared" si="103"/>
        <v>26529</v>
      </c>
      <c r="AE2184" s="17">
        <f t="shared" si="104"/>
        <v>0</v>
      </c>
      <c r="AF2184" s="10" t="s">
        <v>5243</v>
      </c>
      <c r="AG2184" s="5" t="s">
        <v>2306</v>
      </c>
      <c r="AH2184" s="5" t="s">
        <v>5187</v>
      </c>
      <c r="AI2184" s="5" t="s">
        <v>5244</v>
      </c>
    </row>
    <row r="2185" spans="1:35" ht="10" customHeight="1" x14ac:dyDescent="0.2">
      <c r="A2185" s="5" t="s">
        <v>4712</v>
      </c>
      <c r="B2185" s="5" t="s">
        <v>4713</v>
      </c>
      <c r="D2185" s="5" t="s">
        <v>5245</v>
      </c>
      <c r="E2185" s="10" t="s">
        <v>57</v>
      </c>
      <c r="F2185" s="5" t="s">
        <v>5184</v>
      </c>
      <c r="I2185" s="11">
        <v>6</v>
      </c>
      <c r="K2185" s="12"/>
      <c r="O2185" s="12"/>
      <c r="P2185" s="13">
        <v>571260</v>
      </c>
      <c r="Q2185" s="13">
        <v>628655</v>
      </c>
      <c r="S2185" s="13">
        <v>579450</v>
      </c>
      <c r="U2185" s="13">
        <v>579450</v>
      </c>
      <c r="AC2185" s="16" t="str">
        <f t="shared" si="102"/>
        <v/>
      </c>
      <c r="AD2185" s="17">
        <f t="shared" si="103"/>
        <v>579450</v>
      </c>
      <c r="AE2185" s="17">
        <f t="shared" si="104"/>
        <v>0</v>
      </c>
      <c r="AF2185" s="10" t="s">
        <v>5246</v>
      </c>
      <c r="AG2185" s="5" t="s">
        <v>2306</v>
      </c>
      <c r="AH2185" s="5" t="s">
        <v>5187</v>
      </c>
      <c r="AI2185" s="5" t="s">
        <v>5247</v>
      </c>
    </row>
    <row r="2186" spans="1:35" ht="10" customHeight="1" x14ac:dyDescent="0.2">
      <c r="A2186" s="5" t="s">
        <v>4712</v>
      </c>
      <c r="B2186" s="5" t="s">
        <v>4713</v>
      </c>
      <c r="D2186" s="5" t="s">
        <v>5248</v>
      </c>
      <c r="E2186" s="10" t="s">
        <v>48</v>
      </c>
      <c r="I2186" s="11">
        <v>2</v>
      </c>
      <c r="K2186" s="12"/>
      <c r="O2186" s="12"/>
      <c r="P2186" s="13">
        <v>547620</v>
      </c>
      <c r="Q2186" s="13">
        <v>463722</v>
      </c>
      <c r="S2186" s="13">
        <v>388627</v>
      </c>
      <c r="U2186" s="13">
        <v>388627</v>
      </c>
      <c r="W2186" s="13">
        <v>3500</v>
      </c>
      <c r="X2186" s="13">
        <v>388627</v>
      </c>
      <c r="Y2186" s="13">
        <v>392127</v>
      </c>
      <c r="AC2186" s="16" t="str">
        <f t="shared" si="102"/>
        <v>ADD</v>
      </c>
      <c r="AD2186" s="17">
        <f t="shared" si="103"/>
        <v>392127</v>
      </c>
      <c r="AE2186" s="17">
        <f t="shared" si="104"/>
        <v>0</v>
      </c>
      <c r="AF2186" s="10" t="s">
        <v>5249</v>
      </c>
      <c r="AG2186" s="5" t="s">
        <v>5250</v>
      </c>
      <c r="AH2186" s="5" t="s">
        <v>5251</v>
      </c>
    </row>
    <row r="2187" spans="1:35" ht="10" customHeight="1" x14ac:dyDescent="0.2">
      <c r="A2187" s="5" t="s">
        <v>4712</v>
      </c>
      <c r="B2187" s="5" t="s">
        <v>4713</v>
      </c>
      <c r="D2187" s="5" t="s">
        <v>5252</v>
      </c>
      <c r="E2187" s="10" t="s">
        <v>57</v>
      </c>
      <c r="F2187" s="5" t="s">
        <v>5248</v>
      </c>
      <c r="I2187" s="11">
        <v>6</v>
      </c>
      <c r="K2187" s="10" t="s">
        <v>50</v>
      </c>
      <c r="L2187" s="5" t="s">
        <v>304</v>
      </c>
      <c r="M2187" s="5" t="s">
        <v>5253</v>
      </c>
      <c r="N2187" s="5" t="s">
        <v>5254</v>
      </c>
      <c r="O2187" s="12"/>
      <c r="S2187" s="13">
        <v>8756</v>
      </c>
      <c r="U2187" s="13">
        <v>8756</v>
      </c>
      <c r="AC2187" s="16" t="str">
        <f t="shared" si="102"/>
        <v/>
      </c>
      <c r="AD2187" s="17">
        <f t="shared" si="103"/>
        <v>8756</v>
      </c>
      <c r="AE2187" s="17">
        <f t="shared" si="104"/>
        <v>0</v>
      </c>
      <c r="AF2187" s="10" t="s">
        <v>5255</v>
      </c>
      <c r="AG2187" s="5" t="s">
        <v>5256</v>
      </c>
      <c r="AH2187" s="5" t="s">
        <v>5251</v>
      </c>
    </row>
    <row r="2188" spans="1:35" ht="10" customHeight="1" x14ac:dyDescent="0.2">
      <c r="A2188" s="5" t="s">
        <v>4712</v>
      </c>
      <c r="B2188" s="5" t="s">
        <v>4713</v>
      </c>
      <c r="D2188" s="5" t="s">
        <v>5257</v>
      </c>
      <c r="E2188" s="10" t="s">
        <v>57</v>
      </c>
      <c r="F2188" s="5" t="s">
        <v>5248</v>
      </c>
      <c r="I2188" s="11">
        <v>5</v>
      </c>
      <c r="K2188" s="10" t="s">
        <v>50</v>
      </c>
      <c r="L2188" s="5" t="s">
        <v>304</v>
      </c>
      <c r="M2188" s="5" t="s">
        <v>5253</v>
      </c>
      <c r="N2188" s="5" t="s">
        <v>5254</v>
      </c>
      <c r="O2188" s="12"/>
      <c r="S2188" s="13">
        <v>5444</v>
      </c>
      <c r="U2188" s="13">
        <v>5444</v>
      </c>
      <c r="AC2188" s="16" t="str">
        <f t="shared" si="102"/>
        <v/>
      </c>
      <c r="AD2188" s="17">
        <f t="shared" si="103"/>
        <v>5444</v>
      </c>
      <c r="AE2188" s="17">
        <f t="shared" si="104"/>
        <v>0</v>
      </c>
      <c r="AF2188" s="10" t="s">
        <v>5255</v>
      </c>
      <c r="AG2188" s="5" t="s">
        <v>5256</v>
      </c>
      <c r="AH2188" s="5" t="s">
        <v>5251</v>
      </c>
    </row>
    <row r="2189" spans="1:35" ht="10" customHeight="1" x14ac:dyDescent="0.2">
      <c r="A2189" s="5" t="s">
        <v>4712</v>
      </c>
      <c r="B2189" s="5" t="s">
        <v>4713</v>
      </c>
      <c r="C2189" s="5" t="s">
        <v>4796</v>
      </c>
      <c r="D2189" s="5" t="s">
        <v>4797</v>
      </c>
      <c r="E2189" s="10" t="s">
        <v>57</v>
      </c>
      <c r="F2189" s="5" t="s">
        <v>5248</v>
      </c>
      <c r="I2189" s="11">
        <v>2</v>
      </c>
      <c r="K2189" s="12"/>
      <c r="O2189" s="12"/>
      <c r="S2189" s="13">
        <v>12849</v>
      </c>
      <c r="U2189" s="13">
        <v>12849</v>
      </c>
      <c r="AC2189" s="16" t="str">
        <f t="shared" si="102"/>
        <v/>
      </c>
      <c r="AD2189" s="17">
        <f t="shared" si="103"/>
        <v>12849</v>
      </c>
      <c r="AE2189" s="17">
        <f t="shared" si="104"/>
        <v>0</v>
      </c>
      <c r="AF2189" s="10" t="s">
        <v>5258</v>
      </c>
      <c r="AG2189" s="5" t="s">
        <v>5259</v>
      </c>
      <c r="AH2189" s="5" t="s">
        <v>5251</v>
      </c>
      <c r="AI2189" s="5" t="s">
        <v>4799</v>
      </c>
    </row>
    <row r="2190" spans="1:35" ht="10" customHeight="1" x14ac:dyDescent="0.2">
      <c r="A2190" s="5" t="s">
        <v>4712</v>
      </c>
      <c r="B2190" s="5" t="s">
        <v>4713</v>
      </c>
      <c r="D2190" s="5" t="s">
        <v>5260</v>
      </c>
      <c r="E2190" s="10" t="s">
        <v>48</v>
      </c>
      <c r="I2190" s="11">
        <v>2</v>
      </c>
      <c r="K2190" s="12"/>
      <c r="O2190" s="12"/>
      <c r="P2190" s="13">
        <v>667592</v>
      </c>
      <c r="Q2190" s="13">
        <v>780558</v>
      </c>
      <c r="S2190" s="13">
        <v>785052</v>
      </c>
      <c r="U2190" s="13">
        <v>785052</v>
      </c>
      <c r="AC2190" s="16" t="str">
        <f t="shared" si="102"/>
        <v>ADD</v>
      </c>
      <c r="AD2190" s="17">
        <f t="shared" si="103"/>
        <v>785052</v>
      </c>
      <c r="AE2190" s="17">
        <f t="shared" si="104"/>
        <v>0</v>
      </c>
      <c r="AF2190" s="10" t="s">
        <v>5261</v>
      </c>
      <c r="AG2190" s="5" t="s">
        <v>5250</v>
      </c>
      <c r="AH2190" s="5" t="s">
        <v>5262</v>
      </c>
    </row>
    <row r="2191" spans="1:35" ht="10" customHeight="1" x14ac:dyDescent="0.2">
      <c r="A2191" s="5" t="s">
        <v>4712</v>
      </c>
      <c r="B2191" s="5" t="s">
        <v>4713</v>
      </c>
      <c r="D2191" s="5" t="s">
        <v>5263</v>
      </c>
      <c r="E2191" s="10" t="s">
        <v>57</v>
      </c>
      <c r="F2191" s="5" t="s">
        <v>5260</v>
      </c>
      <c r="I2191" s="11">
        <v>2</v>
      </c>
      <c r="K2191" s="10" t="s">
        <v>50</v>
      </c>
      <c r="L2191" s="5" t="s">
        <v>232</v>
      </c>
      <c r="M2191" s="5" t="s">
        <v>245</v>
      </c>
      <c r="N2191" s="5" t="s">
        <v>5264</v>
      </c>
      <c r="O2191" s="12"/>
      <c r="S2191" s="13">
        <v>352199</v>
      </c>
      <c r="U2191" s="13">
        <v>352199</v>
      </c>
      <c r="AC2191" s="16" t="str">
        <f t="shared" si="102"/>
        <v/>
      </c>
      <c r="AD2191" s="17">
        <f t="shared" si="103"/>
        <v>352199</v>
      </c>
      <c r="AE2191" s="17">
        <f t="shared" si="104"/>
        <v>0</v>
      </c>
      <c r="AF2191" s="10" t="s">
        <v>5265</v>
      </c>
      <c r="AG2191" s="5" t="s">
        <v>5266</v>
      </c>
      <c r="AH2191" s="5" t="s">
        <v>5262</v>
      </c>
    </row>
    <row r="2192" spans="1:35" ht="10" customHeight="1" x14ac:dyDescent="0.2">
      <c r="A2192" s="5" t="s">
        <v>4712</v>
      </c>
      <c r="B2192" s="5" t="s">
        <v>4713</v>
      </c>
      <c r="D2192" s="5" t="s">
        <v>5267</v>
      </c>
      <c r="E2192" s="10" t="s">
        <v>57</v>
      </c>
      <c r="F2192" s="5" t="s">
        <v>5260</v>
      </c>
      <c r="I2192" s="11">
        <v>2</v>
      </c>
      <c r="K2192" s="10" t="s">
        <v>50</v>
      </c>
      <c r="L2192" s="5" t="s">
        <v>232</v>
      </c>
      <c r="M2192" s="5" t="s">
        <v>245</v>
      </c>
      <c r="N2192" s="5" t="s">
        <v>5264</v>
      </c>
      <c r="O2192" s="12"/>
      <c r="S2192" s="13">
        <v>203644</v>
      </c>
      <c r="U2192" s="13">
        <v>203644</v>
      </c>
      <c r="AC2192" s="16" t="str">
        <f t="shared" si="102"/>
        <v/>
      </c>
      <c r="AD2192" s="17">
        <f t="shared" si="103"/>
        <v>203644</v>
      </c>
      <c r="AE2192" s="17">
        <f t="shared" si="104"/>
        <v>0</v>
      </c>
      <c r="AF2192" s="10" t="s">
        <v>5268</v>
      </c>
      <c r="AG2192" s="5" t="s">
        <v>5269</v>
      </c>
      <c r="AH2192" s="5" t="s">
        <v>5262</v>
      </c>
      <c r="AI2192" s="5" t="s">
        <v>5270</v>
      </c>
    </row>
    <row r="2193" spans="1:35" ht="10" customHeight="1" x14ac:dyDescent="0.2">
      <c r="A2193" s="5" t="s">
        <v>4712</v>
      </c>
      <c r="B2193" s="5" t="s">
        <v>4713</v>
      </c>
      <c r="D2193" s="5" t="s">
        <v>5271</v>
      </c>
      <c r="E2193" s="10" t="s">
        <v>57</v>
      </c>
      <c r="F2193" s="5" t="s">
        <v>5260</v>
      </c>
      <c r="I2193" s="11">
        <v>2</v>
      </c>
      <c r="K2193" s="10" t="s">
        <v>50</v>
      </c>
      <c r="L2193" s="5" t="s">
        <v>232</v>
      </c>
      <c r="M2193" s="5" t="s">
        <v>5272</v>
      </c>
      <c r="N2193" s="5" t="s">
        <v>5273</v>
      </c>
      <c r="O2193" s="12"/>
      <c r="S2193" s="13">
        <v>28801</v>
      </c>
      <c r="U2193" s="13">
        <v>28801</v>
      </c>
      <c r="AC2193" s="16" t="str">
        <f t="shared" si="102"/>
        <v/>
      </c>
      <c r="AD2193" s="17">
        <f t="shared" si="103"/>
        <v>28801</v>
      </c>
      <c r="AE2193" s="17">
        <f t="shared" si="104"/>
        <v>0</v>
      </c>
      <c r="AF2193" s="10" t="s">
        <v>5274</v>
      </c>
      <c r="AG2193" s="5" t="s">
        <v>5269</v>
      </c>
      <c r="AH2193" s="5" t="s">
        <v>5262</v>
      </c>
      <c r="AI2193" s="5" t="s">
        <v>5275</v>
      </c>
    </row>
    <row r="2194" spans="1:35" ht="10" customHeight="1" x14ac:dyDescent="0.2">
      <c r="A2194" s="5" t="s">
        <v>4712</v>
      </c>
      <c r="B2194" s="5" t="s">
        <v>4713</v>
      </c>
      <c r="D2194" s="5" t="s">
        <v>5276</v>
      </c>
      <c r="E2194" s="10" t="s">
        <v>57</v>
      </c>
      <c r="F2194" s="5" t="s">
        <v>5260</v>
      </c>
      <c r="I2194" s="11">
        <v>2</v>
      </c>
      <c r="K2194" s="10" t="s">
        <v>50</v>
      </c>
      <c r="L2194" s="5" t="s">
        <v>232</v>
      </c>
      <c r="M2194" s="5" t="s">
        <v>5277</v>
      </c>
      <c r="N2194" s="5" t="s">
        <v>5278</v>
      </c>
      <c r="O2194" s="12"/>
      <c r="S2194" s="13">
        <v>32251</v>
      </c>
      <c r="U2194" s="13">
        <v>32251</v>
      </c>
      <c r="AC2194" s="16" t="str">
        <f t="shared" si="102"/>
        <v/>
      </c>
      <c r="AD2194" s="17">
        <f t="shared" si="103"/>
        <v>32251</v>
      </c>
      <c r="AE2194" s="17">
        <f t="shared" si="104"/>
        <v>0</v>
      </c>
      <c r="AF2194" s="10" t="s">
        <v>5279</v>
      </c>
      <c r="AG2194" s="5" t="s">
        <v>5269</v>
      </c>
      <c r="AH2194" s="5" t="s">
        <v>5262</v>
      </c>
      <c r="AI2194" s="5" t="s">
        <v>5280</v>
      </c>
    </row>
    <row r="2195" spans="1:35" ht="10" customHeight="1" x14ac:dyDescent="0.2">
      <c r="A2195" s="5" t="s">
        <v>4712</v>
      </c>
      <c r="B2195" s="5" t="s">
        <v>4713</v>
      </c>
      <c r="D2195" s="5" t="s">
        <v>5281</v>
      </c>
      <c r="E2195" s="10" t="s">
        <v>57</v>
      </c>
      <c r="F2195" s="5" t="s">
        <v>5260</v>
      </c>
      <c r="I2195" s="11">
        <v>4</v>
      </c>
      <c r="K2195" s="12"/>
      <c r="O2195" s="12"/>
      <c r="S2195" s="13">
        <v>52900</v>
      </c>
      <c r="U2195" s="13">
        <v>52900</v>
      </c>
      <c r="AC2195" s="16" t="str">
        <f t="shared" si="102"/>
        <v/>
      </c>
      <c r="AD2195" s="17">
        <f t="shared" si="103"/>
        <v>52900</v>
      </c>
      <c r="AE2195" s="17">
        <f t="shared" si="104"/>
        <v>0</v>
      </c>
      <c r="AF2195" s="10" t="s">
        <v>5282</v>
      </c>
      <c r="AG2195" s="5" t="s">
        <v>5269</v>
      </c>
      <c r="AH2195" s="5" t="s">
        <v>5262</v>
      </c>
    </row>
    <row r="2196" spans="1:35" ht="10" customHeight="1" x14ac:dyDescent="0.2">
      <c r="A2196" s="5" t="s">
        <v>4712</v>
      </c>
      <c r="B2196" s="5" t="s">
        <v>4713</v>
      </c>
      <c r="D2196" s="5" t="s">
        <v>5283</v>
      </c>
      <c r="E2196" s="10" t="s">
        <v>57</v>
      </c>
      <c r="F2196" s="5" t="s">
        <v>5260</v>
      </c>
      <c r="I2196" s="11">
        <v>4</v>
      </c>
      <c r="K2196" s="12"/>
      <c r="O2196" s="12"/>
      <c r="S2196" s="13">
        <v>5489</v>
      </c>
      <c r="U2196" s="13">
        <v>5489</v>
      </c>
      <c r="AC2196" s="16" t="str">
        <f t="shared" si="102"/>
        <v/>
      </c>
      <c r="AD2196" s="17">
        <f t="shared" si="103"/>
        <v>5489</v>
      </c>
      <c r="AE2196" s="17">
        <f t="shared" si="104"/>
        <v>0</v>
      </c>
      <c r="AF2196" s="10" t="s">
        <v>5284</v>
      </c>
      <c r="AG2196" s="5" t="s">
        <v>5285</v>
      </c>
      <c r="AH2196" s="5" t="s">
        <v>5262</v>
      </c>
    </row>
    <row r="2197" spans="1:35" ht="10" customHeight="1" x14ac:dyDescent="0.2">
      <c r="A2197" s="5" t="s">
        <v>4712</v>
      </c>
      <c r="B2197" s="5" t="s">
        <v>4713</v>
      </c>
      <c r="D2197" s="5" t="s">
        <v>5286</v>
      </c>
      <c r="E2197" s="10" t="s">
        <v>48</v>
      </c>
      <c r="I2197" s="11">
        <v>2</v>
      </c>
      <c r="K2197" s="12"/>
      <c r="O2197" s="12"/>
      <c r="P2197" s="13">
        <v>283272</v>
      </c>
      <c r="Q2197" s="13">
        <v>1010215</v>
      </c>
      <c r="S2197" s="13">
        <v>583296</v>
      </c>
      <c r="U2197" s="13">
        <v>583296</v>
      </c>
      <c r="AC2197" s="16" t="str">
        <f t="shared" si="102"/>
        <v>ADD</v>
      </c>
      <c r="AD2197" s="17">
        <f t="shared" si="103"/>
        <v>583296</v>
      </c>
      <c r="AE2197" s="17">
        <f t="shared" si="104"/>
        <v>0</v>
      </c>
      <c r="AF2197" s="10" t="s">
        <v>5287</v>
      </c>
      <c r="AG2197" s="5" t="s">
        <v>5250</v>
      </c>
      <c r="AH2197" s="5" t="s">
        <v>5288</v>
      </c>
    </row>
    <row r="2198" spans="1:35" ht="10" customHeight="1" x14ac:dyDescent="0.2">
      <c r="A2198" s="5" t="s">
        <v>4712</v>
      </c>
      <c r="B2198" s="5" t="s">
        <v>4713</v>
      </c>
      <c r="D2198" s="5" t="s">
        <v>5289</v>
      </c>
      <c r="E2198" s="10" t="s">
        <v>57</v>
      </c>
      <c r="F2198" s="5" t="s">
        <v>5286</v>
      </c>
      <c r="I2198" s="11">
        <v>2</v>
      </c>
      <c r="K2198" s="12"/>
      <c r="O2198" s="12"/>
      <c r="S2198" s="13">
        <v>30836</v>
      </c>
      <c r="U2198" s="13">
        <v>30836</v>
      </c>
      <c r="AC2198" s="16" t="str">
        <f t="shared" si="102"/>
        <v/>
      </c>
      <c r="AD2198" s="17">
        <f t="shared" si="103"/>
        <v>30836</v>
      </c>
      <c r="AE2198" s="17">
        <f t="shared" si="104"/>
        <v>0</v>
      </c>
      <c r="AF2198" s="10" t="s">
        <v>5290</v>
      </c>
      <c r="AG2198" s="5" t="s">
        <v>5291</v>
      </c>
      <c r="AH2198" s="5" t="s">
        <v>5288</v>
      </c>
    </row>
    <row r="2199" spans="1:35" ht="10" customHeight="1" x14ac:dyDescent="0.2">
      <c r="A2199" s="5" t="s">
        <v>4712</v>
      </c>
      <c r="B2199" s="5" t="s">
        <v>4713</v>
      </c>
      <c r="C2199" s="5" t="s">
        <v>5292</v>
      </c>
      <c r="D2199" s="5" t="s">
        <v>5293</v>
      </c>
      <c r="E2199" s="10" t="s">
        <v>57</v>
      </c>
      <c r="F2199" s="5" t="s">
        <v>5286</v>
      </c>
      <c r="I2199" s="11">
        <v>2</v>
      </c>
      <c r="K2199" s="10" t="s">
        <v>50</v>
      </c>
      <c r="L2199" s="5" t="s">
        <v>51</v>
      </c>
      <c r="M2199" s="5" t="s">
        <v>69</v>
      </c>
      <c r="N2199" s="5" t="s">
        <v>70</v>
      </c>
      <c r="O2199" s="12"/>
      <c r="S2199" s="13">
        <v>359408</v>
      </c>
      <c r="U2199" s="13">
        <v>359408</v>
      </c>
      <c r="AC2199" s="16" t="str">
        <f t="shared" si="102"/>
        <v/>
      </c>
      <c r="AD2199" s="17">
        <f t="shared" si="103"/>
        <v>359408</v>
      </c>
      <c r="AE2199" s="17">
        <f t="shared" si="104"/>
        <v>0</v>
      </c>
      <c r="AF2199" s="10" t="s">
        <v>5294</v>
      </c>
      <c r="AG2199" s="5" t="s">
        <v>5295</v>
      </c>
      <c r="AH2199" s="5" t="s">
        <v>5288</v>
      </c>
    </row>
    <row r="2200" spans="1:35" ht="10" customHeight="1" x14ac:dyDescent="0.2">
      <c r="A2200" s="5" t="s">
        <v>4712</v>
      </c>
      <c r="B2200" s="5" t="s">
        <v>4713</v>
      </c>
      <c r="C2200" s="5" t="s">
        <v>5296</v>
      </c>
      <c r="D2200" s="5" t="s">
        <v>5297</v>
      </c>
      <c r="E2200" s="10" t="s">
        <v>57</v>
      </c>
      <c r="F2200" s="5" t="s">
        <v>5286</v>
      </c>
      <c r="I2200" s="11">
        <v>2</v>
      </c>
      <c r="K2200" s="10" t="s">
        <v>50</v>
      </c>
      <c r="L2200" s="5" t="s">
        <v>51</v>
      </c>
      <c r="M2200" s="5" t="s">
        <v>69</v>
      </c>
      <c r="N2200" s="5" t="s">
        <v>70</v>
      </c>
      <c r="O2200" s="12"/>
      <c r="S2200" s="13">
        <v>7800</v>
      </c>
      <c r="U2200" s="13">
        <v>7800</v>
      </c>
      <c r="AC2200" s="16" t="str">
        <f t="shared" si="102"/>
        <v/>
      </c>
      <c r="AD2200" s="17">
        <f t="shared" si="103"/>
        <v>7800</v>
      </c>
      <c r="AE2200" s="17">
        <f t="shared" si="104"/>
        <v>0</v>
      </c>
      <c r="AF2200" s="10" t="s">
        <v>5294</v>
      </c>
      <c r="AG2200" s="5" t="s">
        <v>5298</v>
      </c>
      <c r="AH2200" s="5" t="s">
        <v>5288</v>
      </c>
    </row>
    <row r="2201" spans="1:35" ht="10" customHeight="1" x14ac:dyDescent="0.2">
      <c r="A2201" s="5" t="s">
        <v>4712</v>
      </c>
      <c r="B2201" s="5" t="s">
        <v>4713</v>
      </c>
      <c r="C2201" s="5" t="s">
        <v>5299</v>
      </c>
      <c r="D2201" s="5" t="s">
        <v>5300</v>
      </c>
      <c r="E2201" s="10" t="s">
        <v>57</v>
      </c>
      <c r="F2201" s="5" t="s">
        <v>5286</v>
      </c>
      <c r="I2201" s="11">
        <v>2</v>
      </c>
      <c r="K2201" s="10" t="s">
        <v>50</v>
      </c>
      <c r="L2201" s="5" t="s">
        <v>51</v>
      </c>
      <c r="M2201" s="5" t="s">
        <v>52</v>
      </c>
      <c r="N2201" s="5" t="s">
        <v>88</v>
      </c>
      <c r="O2201" s="12"/>
      <c r="S2201" s="13">
        <v>70000</v>
      </c>
      <c r="U2201" s="13">
        <v>70000</v>
      </c>
      <c r="AC2201" s="16" t="str">
        <f t="shared" si="102"/>
        <v/>
      </c>
      <c r="AD2201" s="17">
        <f t="shared" si="103"/>
        <v>70000</v>
      </c>
      <c r="AE2201" s="17">
        <f t="shared" si="104"/>
        <v>0</v>
      </c>
      <c r="AF2201" s="10" t="s">
        <v>5301</v>
      </c>
      <c r="AG2201" s="5" t="s">
        <v>5302</v>
      </c>
      <c r="AH2201" s="5" t="s">
        <v>5288</v>
      </c>
    </row>
    <row r="2202" spans="1:35" ht="10" customHeight="1" x14ac:dyDescent="0.2">
      <c r="A2202" s="5" t="s">
        <v>4712</v>
      </c>
      <c r="B2202" s="5" t="s">
        <v>4713</v>
      </c>
      <c r="D2202" s="5" t="s">
        <v>5303</v>
      </c>
      <c r="E2202" s="10" t="s">
        <v>57</v>
      </c>
      <c r="F2202" s="5" t="s">
        <v>5286</v>
      </c>
      <c r="I2202" s="11">
        <v>6</v>
      </c>
      <c r="K2202" s="10" t="s">
        <v>50</v>
      </c>
      <c r="L2202" s="5" t="s">
        <v>51</v>
      </c>
      <c r="M2202" s="5" t="s">
        <v>52</v>
      </c>
      <c r="O2202" s="12"/>
      <c r="S2202" s="13">
        <v>30232</v>
      </c>
      <c r="U2202" s="13">
        <v>30232</v>
      </c>
      <c r="AC2202" s="16" t="str">
        <f t="shared" si="102"/>
        <v/>
      </c>
      <c r="AD2202" s="17">
        <f t="shared" si="103"/>
        <v>30232</v>
      </c>
      <c r="AE2202" s="17">
        <f t="shared" si="104"/>
        <v>0</v>
      </c>
      <c r="AF2202" s="10" t="s">
        <v>5304</v>
      </c>
      <c r="AG2202" s="5" t="s">
        <v>5302</v>
      </c>
      <c r="AH2202" s="5" t="s">
        <v>5288</v>
      </c>
    </row>
    <row r="2203" spans="1:35" ht="10" customHeight="1" x14ac:dyDescent="0.2">
      <c r="A2203" s="5" t="s">
        <v>4712</v>
      </c>
      <c r="B2203" s="5" t="s">
        <v>4713</v>
      </c>
      <c r="D2203" s="5" t="s">
        <v>5305</v>
      </c>
      <c r="E2203" s="10" t="s">
        <v>57</v>
      </c>
      <c r="F2203" s="5" t="s">
        <v>5286</v>
      </c>
      <c r="I2203" s="11">
        <v>2</v>
      </c>
      <c r="K2203" s="12"/>
      <c r="O2203" s="12"/>
      <c r="S2203" s="13">
        <v>14571</v>
      </c>
      <c r="U2203" s="13">
        <v>14571</v>
      </c>
      <c r="AC2203" s="16" t="str">
        <f t="shared" si="102"/>
        <v/>
      </c>
      <c r="AD2203" s="17">
        <f t="shared" si="103"/>
        <v>14571</v>
      </c>
      <c r="AE2203" s="17">
        <f t="shared" si="104"/>
        <v>0</v>
      </c>
      <c r="AF2203" s="10" t="s">
        <v>5306</v>
      </c>
      <c r="AG2203" s="5" t="s">
        <v>5307</v>
      </c>
      <c r="AH2203" s="5" t="s">
        <v>5288</v>
      </c>
    </row>
    <row r="2204" spans="1:35" ht="10" customHeight="1" x14ac:dyDescent="0.2">
      <c r="A2204" s="5" t="s">
        <v>4712</v>
      </c>
      <c r="B2204" s="5" t="s">
        <v>4713</v>
      </c>
      <c r="C2204" s="5" t="s">
        <v>5308</v>
      </c>
      <c r="D2204" s="5" t="s">
        <v>5309</v>
      </c>
      <c r="E2204" s="10" t="s">
        <v>57</v>
      </c>
      <c r="F2204" s="5" t="s">
        <v>5286</v>
      </c>
      <c r="I2204" s="11">
        <v>2</v>
      </c>
      <c r="K2204" s="10" t="s">
        <v>50</v>
      </c>
      <c r="L2204" s="5" t="s">
        <v>51</v>
      </c>
      <c r="M2204" s="5" t="s">
        <v>52</v>
      </c>
      <c r="N2204" s="5" t="s">
        <v>88</v>
      </c>
      <c r="O2204" s="12"/>
      <c r="S2204" s="13">
        <v>15098</v>
      </c>
      <c r="U2204" s="13">
        <v>15098</v>
      </c>
      <c r="AC2204" s="16" t="str">
        <f t="shared" si="102"/>
        <v/>
      </c>
      <c r="AD2204" s="17">
        <f t="shared" si="103"/>
        <v>15098</v>
      </c>
      <c r="AE2204" s="17">
        <f t="shared" si="104"/>
        <v>0</v>
      </c>
      <c r="AF2204" s="10" t="s">
        <v>5310</v>
      </c>
      <c r="AG2204" s="5" t="s">
        <v>5298</v>
      </c>
      <c r="AH2204" s="5" t="s">
        <v>5288</v>
      </c>
    </row>
    <row r="2205" spans="1:35" ht="10" customHeight="1" x14ac:dyDescent="0.2">
      <c r="A2205" s="5" t="s">
        <v>4712</v>
      </c>
      <c r="B2205" s="5" t="s">
        <v>4713</v>
      </c>
      <c r="D2205" s="5" t="s">
        <v>5311</v>
      </c>
      <c r="E2205" s="10" t="s">
        <v>57</v>
      </c>
      <c r="F2205" s="5" t="s">
        <v>5286</v>
      </c>
      <c r="I2205" s="11">
        <v>6</v>
      </c>
      <c r="K2205" s="12"/>
      <c r="O2205" s="12"/>
      <c r="S2205" s="13">
        <v>47171</v>
      </c>
      <c r="U2205" s="13">
        <v>47171</v>
      </c>
      <c r="AC2205" s="16" t="str">
        <f t="shared" si="102"/>
        <v/>
      </c>
      <c r="AD2205" s="17">
        <f t="shared" si="103"/>
        <v>47171</v>
      </c>
      <c r="AE2205" s="17">
        <f t="shared" si="104"/>
        <v>0</v>
      </c>
      <c r="AF2205" s="10" t="s">
        <v>5312</v>
      </c>
      <c r="AG2205" s="5" t="s">
        <v>5313</v>
      </c>
      <c r="AH2205" s="5" t="s">
        <v>5288</v>
      </c>
    </row>
    <row r="2206" spans="1:35" ht="10" customHeight="1" x14ac:dyDescent="0.2">
      <c r="A2206" s="5" t="s">
        <v>4712</v>
      </c>
      <c r="B2206" s="5" t="s">
        <v>4713</v>
      </c>
      <c r="D2206" s="5" t="s">
        <v>5314</v>
      </c>
      <c r="E2206" s="10" t="s">
        <v>48</v>
      </c>
      <c r="I2206" s="11">
        <v>6</v>
      </c>
      <c r="K2206" s="12"/>
      <c r="O2206" s="12"/>
      <c r="P2206" s="13">
        <v>1372331</v>
      </c>
      <c r="Q2206" s="13">
        <v>1536668</v>
      </c>
      <c r="S2206" s="13">
        <v>1719580</v>
      </c>
      <c r="U2206" s="13">
        <v>1719580</v>
      </c>
      <c r="AC2206" s="16" t="str">
        <f t="shared" si="102"/>
        <v>ADD</v>
      </c>
      <c r="AD2206" s="17">
        <f t="shared" si="103"/>
        <v>1719580</v>
      </c>
      <c r="AE2206" s="17">
        <f t="shared" si="104"/>
        <v>0</v>
      </c>
      <c r="AF2206" s="10" t="s">
        <v>5315</v>
      </c>
      <c r="AG2206" s="5" t="s">
        <v>223</v>
      </c>
      <c r="AH2206" s="5" t="s">
        <v>5316</v>
      </c>
    </row>
    <row r="2207" spans="1:35" ht="10" customHeight="1" x14ac:dyDescent="0.2">
      <c r="A2207" s="5" t="s">
        <v>4712</v>
      </c>
      <c r="B2207" s="5" t="s">
        <v>4713</v>
      </c>
      <c r="D2207" s="5" t="s">
        <v>5317</v>
      </c>
      <c r="E2207" s="10" t="s">
        <v>57</v>
      </c>
      <c r="F2207" s="5" t="s">
        <v>5314</v>
      </c>
      <c r="I2207" s="11">
        <v>6</v>
      </c>
      <c r="K2207" s="10" t="s">
        <v>50</v>
      </c>
      <c r="L2207" s="5" t="s">
        <v>51</v>
      </c>
      <c r="M2207" s="5" t="s">
        <v>119</v>
      </c>
      <c r="N2207" s="5" t="s">
        <v>120</v>
      </c>
      <c r="O2207" s="12"/>
      <c r="S2207" s="13">
        <v>110969</v>
      </c>
      <c r="U2207" s="13">
        <v>110969</v>
      </c>
      <c r="AC2207" s="16" t="str">
        <f t="shared" si="102"/>
        <v/>
      </c>
      <c r="AD2207" s="17">
        <f t="shared" si="103"/>
        <v>110969</v>
      </c>
      <c r="AE2207" s="17">
        <f t="shared" si="104"/>
        <v>0</v>
      </c>
      <c r="AF2207" s="10" t="s">
        <v>5318</v>
      </c>
      <c r="AG2207" s="5" t="s">
        <v>1806</v>
      </c>
      <c r="AH2207" s="5" t="s">
        <v>5316</v>
      </c>
      <c r="AI2207" s="5" t="s">
        <v>5319</v>
      </c>
    </row>
    <row r="2208" spans="1:35" ht="10" customHeight="1" x14ac:dyDescent="0.2">
      <c r="A2208" s="5" t="s">
        <v>4712</v>
      </c>
      <c r="B2208" s="5" t="s">
        <v>4713</v>
      </c>
      <c r="D2208" s="5" t="s">
        <v>5320</v>
      </c>
      <c r="E2208" s="10" t="s">
        <v>57</v>
      </c>
      <c r="F2208" s="5" t="s">
        <v>5314</v>
      </c>
      <c r="I2208" s="11">
        <v>6</v>
      </c>
      <c r="K2208" s="10" t="s">
        <v>50</v>
      </c>
      <c r="L2208" s="5" t="s">
        <v>51</v>
      </c>
      <c r="M2208" s="5" t="s">
        <v>52</v>
      </c>
      <c r="N2208" s="5" t="s">
        <v>53</v>
      </c>
      <c r="O2208" s="12"/>
      <c r="S2208" s="13">
        <v>23185</v>
      </c>
      <c r="U2208" s="13">
        <v>23185</v>
      </c>
      <c r="AC2208" s="16" t="str">
        <f t="shared" si="102"/>
        <v/>
      </c>
      <c r="AD2208" s="17">
        <f t="shared" si="103"/>
        <v>23185</v>
      </c>
      <c r="AE2208" s="17">
        <f t="shared" si="104"/>
        <v>0</v>
      </c>
      <c r="AF2208" s="10" t="s">
        <v>5321</v>
      </c>
      <c r="AG2208" s="5" t="s">
        <v>1806</v>
      </c>
      <c r="AH2208" s="5" t="s">
        <v>5316</v>
      </c>
      <c r="AI2208" s="5" t="s">
        <v>5322</v>
      </c>
    </row>
    <row r="2209" spans="1:36" ht="10" customHeight="1" x14ac:dyDescent="0.2">
      <c r="A2209" s="5" t="s">
        <v>4712</v>
      </c>
      <c r="B2209" s="5" t="s">
        <v>4713</v>
      </c>
      <c r="D2209" s="5" t="s">
        <v>5323</v>
      </c>
      <c r="E2209" s="10" t="s">
        <v>57</v>
      </c>
      <c r="F2209" s="5" t="s">
        <v>5314</v>
      </c>
      <c r="I2209" s="11">
        <v>6</v>
      </c>
      <c r="K2209" s="10" t="s">
        <v>50</v>
      </c>
      <c r="L2209" s="5" t="s">
        <v>51</v>
      </c>
      <c r="M2209" s="5" t="s">
        <v>52</v>
      </c>
      <c r="N2209" s="5" t="s">
        <v>88</v>
      </c>
      <c r="O2209" s="12"/>
      <c r="S2209" s="13">
        <v>9633</v>
      </c>
      <c r="U2209" s="13">
        <v>9633</v>
      </c>
      <c r="AC2209" s="16" t="str">
        <f t="shared" si="102"/>
        <v/>
      </c>
      <c r="AD2209" s="17">
        <f t="shared" si="103"/>
        <v>9633</v>
      </c>
      <c r="AE2209" s="17">
        <f t="shared" si="104"/>
        <v>0</v>
      </c>
      <c r="AF2209" s="10" t="s">
        <v>5321</v>
      </c>
      <c r="AG2209" s="5" t="s">
        <v>1820</v>
      </c>
      <c r="AH2209" s="5" t="s">
        <v>5316</v>
      </c>
      <c r="AI2209" s="5" t="s">
        <v>5322</v>
      </c>
    </row>
    <row r="2210" spans="1:36" ht="10" customHeight="1" x14ac:dyDescent="0.2">
      <c r="A2210" s="5" t="s">
        <v>4712</v>
      </c>
      <c r="B2210" s="5" t="s">
        <v>4713</v>
      </c>
      <c r="D2210" s="5" t="s">
        <v>5324</v>
      </c>
      <c r="E2210" s="10" t="s">
        <v>57</v>
      </c>
      <c r="F2210" s="5" t="s">
        <v>5314</v>
      </c>
      <c r="I2210" s="11">
        <v>6</v>
      </c>
      <c r="K2210" s="10" t="s">
        <v>50</v>
      </c>
      <c r="L2210" s="5" t="s">
        <v>51</v>
      </c>
      <c r="M2210" s="5" t="s">
        <v>52</v>
      </c>
      <c r="N2210" s="5" t="s">
        <v>88</v>
      </c>
      <c r="O2210" s="12"/>
      <c r="S2210" s="13">
        <v>4145</v>
      </c>
      <c r="U2210" s="13">
        <v>4145</v>
      </c>
      <c r="AC2210" s="16" t="str">
        <f t="shared" si="102"/>
        <v/>
      </c>
      <c r="AD2210" s="17">
        <f t="shared" si="103"/>
        <v>4145</v>
      </c>
      <c r="AE2210" s="17">
        <f t="shared" si="104"/>
        <v>0</v>
      </c>
      <c r="AF2210" s="10" t="s">
        <v>5321</v>
      </c>
      <c r="AG2210" s="5" t="s">
        <v>1820</v>
      </c>
      <c r="AH2210" s="5" t="s">
        <v>5316</v>
      </c>
      <c r="AI2210" s="5" t="s">
        <v>5322</v>
      </c>
    </row>
    <row r="2211" spans="1:36" ht="10" customHeight="1" x14ac:dyDescent="0.2">
      <c r="A2211" s="5" t="s">
        <v>4712</v>
      </c>
      <c r="B2211" s="5" t="s">
        <v>4713</v>
      </c>
      <c r="D2211" s="5" t="s">
        <v>5325</v>
      </c>
      <c r="E2211" s="10" t="s">
        <v>57</v>
      </c>
      <c r="F2211" s="5" t="s">
        <v>5314</v>
      </c>
      <c r="I2211" s="11">
        <v>6</v>
      </c>
      <c r="K2211" s="10" t="s">
        <v>50</v>
      </c>
      <c r="L2211" s="5" t="s">
        <v>51</v>
      </c>
      <c r="M2211" s="5" t="s">
        <v>69</v>
      </c>
      <c r="N2211" s="5" t="s">
        <v>70</v>
      </c>
      <c r="O2211" s="12"/>
      <c r="S2211" s="13">
        <v>1537</v>
      </c>
      <c r="U2211" s="13">
        <v>1537</v>
      </c>
      <c r="AC2211" s="16" t="str">
        <f t="shared" si="102"/>
        <v/>
      </c>
      <c r="AD2211" s="17">
        <f t="shared" si="103"/>
        <v>1537</v>
      </c>
      <c r="AE2211" s="17">
        <f t="shared" si="104"/>
        <v>0</v>
      </c>
      <c r="AF2211" s="10" t="s">
        <v>5326</v>
      </c>
      <c r="AG2211" s="5" t="s">
        <v>1833</v>
      </c>
      <c r="AH2211" s="5" t="s">
        <v>5316</v>
      </c>
      <c r="AI2211" s="5" t="s">
        <v>5327</v>
      </c>
    </row>
    <row r="2212" spans="1:36" ht="10" customHeight="1" x14ac:dyDescent="0.2">
      <c r="A2212" s="5" t="s">
        <v>4712</v>
      </c>
      <c r="B2212" s="5" t="s">
        <v>4713</v>
      </c>
      <c r="D2212" s="5" t="s">
        <v>5328</v>
      </c>
      <c r="E2212" s="10" t="s">
        <v>57</v>
      </c>
      <c r="F2212" s="5" t="s">
        <v>5314</v>
      </c>
      <c r="I2212" s="11">
        <v>6</v>
      </c>
      <c r="K2212" s="12"/>
      <c r="O2212" s="12"/>
      <c r="S2212" s="13">
        <v>1167</v>
      </c>
      <c r="U2212" s="13">
        <v>1167</v>
      </c>
      <c r="AC2212" s="16" t="str">
        <f t="shared" si="102"/>
        <v/>
      </c>
      <c r="AD2212" s="17">
        <f t="shared" si="103"/>
        <v>1167</v>
      </c>
      <c r="AE2212" s="17">
        <f t="shared" si="104"/>
        <v>0</v>
      </c>
      <c r="AF2212" s="10" t="s">
        <v>5326</v>
      </c>
      <c r="AG2212" s="5" t="s">
        <v>1833</v>
      </c>
      <c r="AH2212" s="5" t="s">
        <v>5316</v>
      </c>
      <c r="AI2212" s="5" t="s">
        <v>5327</v>
      </c>
    </row>
    <row r="2213" spans="1:36" ht="10" customHeight="1" x14ac:dyDescent="0.2">
      <c r="A2213" s="5" t="s">
        <v>4712</v>
      </c>
      <c r="B2213" s="5" t="s">
        <v>4713</v>
      </c>
      <c r="D2213" s="5" t="s">
        <v>5329</v>
      </c>
      <c r="E2213" s="10" t="s">
        <v>57</v>
      </c>
      <c r="F2213" s="5" t="s">
        <v>5314</v>
      </c>
      <c r="I2213" s="11">
        <v>4</v>
      </c>
      <c r="K2213" s="10" t="s">
        <v>50</v>
      </c>
      <c r="L2213" s="5" t="s">
        <v>51</v>
      </c>
      <c r="M2213" s="5" t="s">
        <v>52</v>
      </c>
      <c r="N2213" s="5" t="s">
        <v>88</v>
      </c>
      <c r="O2213" s="12"/>
      <c r="S2213" s="13">
        <v>2039</v>
      </c>
      <c r="U2213" s="13">
        <v>2039</v>
      </c>
      <c r="AC2213" s="16" t="str">
        <f t="shared" si="102"/>
        <v/>
      </c>
      <c r="AD2213" s="17">
        <f t="shared" si="103"/>
        <v>2039</v>
      </c>
      <c r="AE2213" s="17">
        <f t="shared" si="104"/>
        <v>0</v>
      </c>
      <c r="AF2213" s="10" t="s">
        <v>5321</v>
      </c>
      <c r="AG2213" s="5" t="s">
        <v>1820</v>
      </c>
      <c r="AH2213" s="5" t="s">
        <v>5316</v>
      </c>
      <c r="AI2213" s="5" t="s">
        <v>5322</v>
      </c>
    </row>
    <row r="2214" spans="1:36" ht="10" customHeight="1" x14ac:dyDescent="0.2">
      <c r="A2214" s="5" t="s">
        <v>4712</v>
      </c>
      <c r="B2214" s="5" t="s">
        <v>4713</v>
      </c>
      <c r="C2214" s="5" t="s">
        <v>4800</v>
      </c>
      <c r="D2214" s="5" t="s">
        <v>4801</v>
      </c>
      <c r="E2214" s="10" t="s">
        <v>57</v>
      </c>
      <c r="F2214" s="5" t="s">
        <v>5314</v>
      </c>
      <c r="I2214" s="11">
        <v>6</v>
      </c>
      <c r="K2214" s="12"/>
      <c r="O2214" s="12"/>
      <c r="P2214" s="13">
        <v>104186</v>
      </c>
      <c r="Q2214" s="13">
        <v>220854</v>
      </c>
      <c r="S2214" s="13">
        <v>283620</v>
      </c>
      <c r="U2214" s="13">
        <v>283620</v>
      </c>
      <c r="AC2214" s="16" t="str">
        <f t="shared" si="102"/>
        <v/>
      </c>
      <c r="AD2214" s="17">
        <f t="shared" si="103"/>
        <v>283620</v>
      </c>
      <c r="AE2214" s="17">
        <f t="shared" si="104"/>
        <v>0</v>
      </c>
      <c r="AF2214" s="10" t="s">
        <v>5330</v>
      </c>
      <c r="AG2214" s="5" t="s">
        <v>1907</v>
      </c>
      <c r="AH2214" s="5" t="s">
        <v>5316</v>
      </c>
      <c r="AI2214" s="5" t="s">
        <v>4803</v>
      </c>
    </row>
    <row r="2215" spans="1:36" ht="10" customHeight="1" x14ac:dyDescent="0.2">
      <c r="A2215" s="5" t="s">
        <v>4712</v>
      </c>
      <c r="B2215" s="5" t="s">
        <v>4713</v>
      </c>
      <c r="D2215" s="5" t="s">
        <v>5331</v>
      </c>
      <c r="E2215" s="10" t="s">
        <v>57</v>
      </c>
      <c r="F2215" s="5" t="s">
        <v>5332</v>
      </c>
      <c r="I2215" s="11">
        <v>3</v>
      </c>
      <c r="K2215" s="12"/>
      <c r="O2215" s="12"/>
      <c r="S2215" s="13">
        <v>240500</v>
      </c>
      <c r="U2215" s="13">
        <v>240500</v>
      </c>
      <c r="AC2215" s="16" t="str">
        <f t="shared" si="102"/>
        <v/>
      </c>
      <c r="AD2215" s="17">
        <f t="shared" si="103"/>
        <v>240500</v>
      </c>
      <c r="AE2215" s="17">
        <f t="shared" si="104"/>
        <v>0</v>
      </c>
      <c r="AF2215" s="10" t="s">
        <v>5333</v>
      </c>
      <c r="AG2215" s="5" t="s">
        <v>1681</v>
      </c>
      <c r="AH2215" s="5" t="s">
        <v>5334</v>
      </c>
      <c r="AI2215" s="5" t="s">
        <v>5335</v>
      </c>
    </row>
    <row r="2216" spans="1:36" ht="10" customHeight="1" x14ac:dyDescent="0.2">
      <c r="A2216" s="5" t="s">
        <v>4712</v>
      </c>
      <c r="B2216" s="5" t="s">
        <v>4713</v>
      </c>
      <c r="D2216" s="5" t="s">
        <v>5336</v>
      </c>
      <c r="E2216" s="10" t="s">
        <v>188</v>
      </c>
      <c r="F2216" s="5" t="s">
        <v>4714</v>
      </c>
      <c r="I2216" s="11">
        <v>2</v>
      </c>
      <c r="K2216" s="12"/>
      <c r="O2216" s="12"/>
      <c r="S2216" s="13">
        <v>-1239846</v>
      </c>
      <c r="U2216" s="13">
        <v>-1239846</v>
      </c>
      <c r="AC2216" s="16" t="str">
        <f t="shared" si="102"/>
        <v/>
      </c>
      <c r="AD2216" s="17">
        <f t="shared" si="103"/>
        <v>-1239846</v>
      </c>
      <c r="AE2216" s="17">
        <f t="shared" si="104"/>
        <v>0</v>
      </c>
      <c r="AF2216" s="10" t="s">
        <v>5337</v>
      </c>
      <c r="AG2216" s="5" t="s">
        <v>1681</v>
      </c>
      <c r="AH2216" s="5" t="s">
        <v>5334</v>
      </c>
    </row>
    <row r="2217" spans="1:36" ht="10" customHeight="1" x14ac:dyDescent="0.2">
      <c r="A2217" s="5" t="s">
        <v>4712</v>
      </c>
      <c r="B2217" s="5" t="s">
        <v>4713</v>
      </c>
      <c r="D2217" s="5" t="s">
        <v>5338</v>
      </c>
      <c r="E2217" s="10" t="s">
        <v>48</v>
      </c>
      <c r="I2217" s="11">
        <v>6</v>
      </c>
      <c r="K2217" s="12"/>
      <c r="O2217" s="12"/>
      <c r="P2217" s="13">
        <v>604374</v>
      </c>
      <c r="Q2217" s="13">
        <v>598531</v>
      </c>
      <c r="S2217" s="13">
        <v>763841</v>
      </c>
      <c r="U2217" s="13">
        <v>763841</v>
      </c>
      <c r="AC2217" s="16" t="str">
        <f t="shared" si="102"/>
        <v>ADD</v>
      </c>
      <c r="AD2217" s="17">
        <f t="shared" si="103"/>
        <v>763841</v>
      </c>
      <c r="AE2217" s="17">
        <f t="shared" si="104"/>
        <v>0</v>
      </c>
      <c r="AF2217" s="10" t="s">
        <v>5339</v>
      </c>
      <c r="AG2217" s="5" t="s">
        <v>5340</v>
      </c>
      <c r="AH2217" s="5" t="s">
        <v>5341</v>
      </c>
    </row>
    <row r="2218" spans="1:36" ht="10" customHeight="1" x14ac:dyDescent="0.2">
      <c r="A2218" s="5" t="s">
        <v>4712</v>
      </c>
      <c r="B2218" s="5" t="s">
        <v>4713</v>
      </c>
      <c r="D2218" s="5" t="s">
        <v>5342</v>
      </c>
      <c r="E2218" s="10" t="s">
        <v>57</v>
      </c>
      <c r="F2218" s="5" t="s">
        <v>5338</v>
      </c>
      <c r="I2218" s="11">
        <v>6</v>
      </c>
      <c r="K2218" s="12"/>
      <c r="O2218" s="12"/>
      <c r="S2218" s="13">
        <v>36358</v>
      </c>
      <c r="U2218" s="13">
        <v>36358</v>
      </c>
      <c r="AC2218" s="16" t="str">
        <f t="shared" si="102"/>
        <v/>
      </c>
      <c r="AD2218" s="17">
        <f t="shared" si="103"/>
        <v>36358</v>
      </c>
      <c r="AE2218" s="17">
        <f t="shared" si="104"/>
        <v>0</v>
      </c>
      <c r="AF2218" s="10" t="s">
        <v>5343</v>
      </c>
      <c r="AG2218" s="5" t="s">
        <v>5344</v>
      </c>
      <c r="AH2218" s="5" t="s">
        <v>5341</v>
      </c>
      <c r="AI2218" s="5" t="s">
        <v>5345</v>
      </c>
    </row>
    <row r="2219" spans="1:36" ht="10" customHeight="1" x14ac:dyDescent="0.2">
      <c r="A2219" s="5" t="s">
        <v>4712</v>
      </c>
      <c r="B2219" s="5" t="s">
        <v>4713</v>
      </c>
      <c r="D2219" s="5" t="s">
        <v>5346</v>
      </c>
      <c r="E2219" s="10" t="s">
        <v>57</v>
      </c>
      <c r="F2219" s="5" t="s">
        <v>5338</v>
      </c>
      <c r="I2219" s="11">
        <v>6</v>
      </c>
      <c r="K2219" s="12"/>
      <c r="O2219" s="12"/>
      <c r="S2219" s="13">
        <v>19252</v>
      </c>
      <c r="U2219" s="13">
        <v>19252</v>
      </c>
      <c r="AC2219" s="16" t="str">
        <f t="shared" si="102"/>
        <v/>
      </c>
      <c r="AD2219" s="17">
        <f t="shared" si="103"/>
        <v>19252</v>
      </c>
      <c r="AE2219" s="17">
        <f t="shared" si="104"/>
        <v>0</v>
      </c>
      <c r="AF2219" s="10" t="s">
        <v>5347</v>
      </c>
      <c r="AG2219" s="5" t="s">
        <v>5344</v>
      </c>
      <c r="AH2219" s="5" t="s">
        <v>5341</v>
      </c>
      <c r="AI2219" s="5" t="s">
        <v>5348</v>
      </c>
    </row>
    <row r="2220" spans="1:36" ht="10" customHeight="1" x14ac:dyDescent="0.2">
      <c r="A2220" s="5" t="s">
        <v>4712</v>
      </c>
      <c r="B2220" s="5" t="s">
        <v>4713</v>
      </c>
      <c r="D2220" s="5" t="s">
        <v>5349</v>
      </c>
      <c r="E2220" s="10" t="s">
        <v>57</v>
      </c>
      <c r="F2220" s="5" t="s">
        <v>5338</v>
      </c>
      <c r="I2220" s="11">
        <v>6</v>
      </c>
      <c r="K2220" s="12"/>
      <c r="O2220" s="12"/>
      <c r="AC2220" s="16" t="str">
        <f t="shared" si="102"/>
        <v/>
      </c>
      <c r="AD2220" s="17">
        <f t="shared" si="103"/>
        <v>0</v>
      </c>
      <c r="AE2220" s="17">
        <f t="shared" si="104"/>
        <v>0</v>
      </c>
      <c r="AF2220" s="10" t="s">
        <v>5350</v>
      </c>
      <c r="AG2220" s="5" t="s">
        <v>5351</v>
      </c>
      <c r="AH2220" s="5" t="s">
        <v>5341</v>
      </c>
      <c r="AI2220" s="5" t="s">
        <v>5352</v>
      </c>
      <c r="AJ2220" s="5" t="s">
        <v>5353</v>
      </c>
    </row>
    <row r="2221" spans="1:36" ht="10" customHeight="1" x14ac:dyDescent="0.2">
      <c r="A2221" s="5" t="s">
        <v>4712</v>
      </c>
      <c r="B2221" s="5" t="s">
        <v>4713</v>
      </c>
      <c r="D2221" s="5" t="s">
        <v>5354</v>
      </c>
      <c r="E2221" s="10" t="s">
        <v>57</v>
      </c>
      <c r="F2221" s="5" t="s">
        <v>5338</v>
      </c>
      <c r="I2221" s="11">
        <v>7</v>
      </c>
      <c r="K2221" s="12"/>
      <c r="O2221" s="12"/>
      <c r="S2221" s="13">
        <v>9195</v>
      </c>
      <c r="U2221" s="13">
        <v>9195</v>
      </c>
      <c r="AC2221" s="16" t="str">
        <f t="shared" si="102"/>
        <v/>
      </c>
      <c r="AD2221" s="17">
        <f t="shared" si="103"/>
        <v>9195</v>
      </c>
      <c r="AE2221" s="17">
        <f t="shared" si="104"/>
        <v>0</v>
      </c>
      <c r="AF2221" s="10" t="s">
        <v>5355</v>
      </c>
      <c r="AG2221" s="5" t="s">
        <v>5356</v>
      </c>
      <c r="AH2221" s="5" t="s">
        <v>5341</v>
      </c>
      <c r="AI2221" s="5" t="s">
        <v>5357</v>
      </c>
    </row>
    <row r="2222" spans="1:36" ht="10" customHeight="1" x14ac:dyDescent="0.2">
      <c r="A2222" s="5" t="s">
        <v>4712</v>
      </c>
      <c r="B2222" s="5" t="s">
        <v>4713</v>
      </c>
      <c r="D2222" s="5" t="s">
        <v>5358</v>
      </c>
      <c r="E2222" s="10" t="s">
        <v>57</v>
      </c>
      <c r="F2222" s="5" t="s">
        <v>5338</v>
      </c>
      <c r="I2222" s="11">
        <v>6</v>
      </c>
      <c r="K2222" s="12"/>
      <c r="O2222" s="12"/>
      <c r="S2222" s="13">
        <v>42028</v>
      </c>
      <c r="U2222" s="13">
        <v>42028</v>
      </c>
      <c r="AC2222" s="16" t="str">
        <f t="shared" si="102"/>
        <v/>
      </c>
      <c r="AD2222" s="17">
        <f t="shared" si="103"/>
        <v>42028</v>
      </c>
      <c r="AE2222" s="17">
        <f t="shared" si="104"/>
        <v>0</v>
      </c>
      <c r="AF2222" s="10" t="s">
        <v>5359</v>
      </c>
      <c r="AG2222" s="5" t="s">
        <v>5344</v>
      </c>
      <c r="AH2222" s="5" t="s">
        <v>5341</v>
      </c>
      <c r="AI2222" s="5" t="s">
        <v>5360</v>
      </c>
    </row>
    <row r="2223" spans="1:36" ht="10" customHeight="1" x14ac:dyDescent="0.2">
      <c r="A2223" s="5" t="s">
        <v>4712</v>
      </c>
      <c r="B2223" s="5" t="s">
        <v>4713</v>
      </c>
      <c r="D2223" s="5" t="s">
        <v>5361</v>
      </c>
      <c r="E2223" s="10" t="s">
        <v>48</v>
      </c>
      <c r="I2223" s="11">
        <v>6</v>
      </c>
      <c r="K2223" s="12"/>
      <c r="O2223" s="12"/>
      <c r="P2223" s="13">
        <v>21016</v>
      </c>
      <c r="Q2223" s="13">
        <v>21714</v>
      </c>
      <c r="S2223" s="13">
        <v>22192</v>
      </c>
      <c r="U2223" s="13">
        <v>22192</v>
      </c>
      <c r="AC2223" s="16" t="str">
        <f t="shared" si="102"/>
        <v>ADD</v>
      </c>
      <c r="AD2223" s="17">
        <f t="shared" si="103"/>
        <v>22192</v>
      </c>
      <c r="AE2223" s="17">
        <f t="shared" si="104"/>
        <v>0</v>
      </c>
      <c r="AF2223" s="10" t="s">
        <v>5362</v>
      </c>
      <c r="AG2223" s="5" t="s">
        <v>5259</v>
      </c>
      <c r="AH2223" s="5" t="s">
        <v>5363</v>
      </c>
    </row>
    <row r="2224" spans="1:36" ht="10" customHeight="1" x14ac:dyDescent="0.2">
      <c r="A2224" s="5" t="s">
        <v>4712</v>
      </c>
      <c r="B2224" s="5" t="s">
        <v>4713</v>
      </c>
      <c r="D2224" s="5" t="s">
        <v>5364</v>
      </c>
      <c r="E2224" s="10" t="s">
        <v>57</v>
      </c>
      <c r="F2224" s="5" t="s">
        <v>5361</v>
      </c>
      <c r="I2224" s="11">
        <v>6</v>
      </c>
      <c r="K2224" s="12"/>
      <c r="O2224" s="12"/>
      <c r="P2224" s="13">
        <v>17314</v>
      </c>
      <c r="Q2224" s="13">
        <v>17991</v>
      </c>
      <c r="S2224" s="13">
        <v>18436</v>
      </c>
      <c r="U2224" s="13">
        <v>18436</v>
      </c>
      <c r="AC2224" s="16" t="str">
        <f t="shared" si="102"/>
        <v/>
      </c>
      <c r="AD2224" s="17">
        <f t="shared" si="103"/>
        <v>18436</v>
      </c>
      <c r="AE2224" s="17">
        <f t="shared" si="104"/>
        <v>0</v>
      </c>
      <c r="AF2224" s="10" t="s">
        <v>5365</v>
      </c>
      <c r="AG2224" s="5" t="s">
        <v>5366</v>
      </c>
      <c r="AH2224" s="5" t="s">
        <v>5363</v>
      </c>
    </row>
    <row r="2225" spans="1:35" ht="10" customHeight="1" x14ac:dyDescent="0.2">
      <c r="A2225" s="5" t="s">
        <v>4712</v>
      </c>
      <c r="B2225" s="5" t="s">
        <v>4713</v>
      </c>
      <c r="D2225" s="5" t="s">
        <v>5367</v>
      </c>
      <c r="E2225" s="10" t="s">
        <v>57</v>
      </c>
      <c r="F2225" s="5" t="s">
        <v>5361</v>
      </c>
      <c r="I2225" s="11">
        <v>6</v>
      </c>
      <c r="K2225" s="12"/>
      <c r="O2225" s="12"/>
      <c r="P2225" s="13">
        <v>3702</v>
      </c>
      <c r="Q2225" s="13">
        <v>3723</v>
      </c>
      <c r="S2225" s="13">
        <v>3756</v>
      </c>
      <c r="U2225" s="13">
        <v>3756</v>
      </c>
      <c r="AC2225" s="16" t="str">
        <f t="shared" si="102"/>
        <v/>
      </c>
      <c r="AD2225" s="17">
        <f t="shared" si="103"/>
        <v>3756</v>
      </c>
      <c r="AE2225" s="17">
        <f t="shared" si="104"/>
        <v>0</v>
      </c>
      <c r="AF2225" s="10" t="s">
        <v>5368</v>
      </c>
      <c r="AG2225" s="5" t="s">
        <v>5366</v>
      </c>
      <c r="AH2225" s="5" t="s">
        <v>5363</v>
      </c>
    </row>
    <row r="2226" spans="1:35" ht="10" customHeight="1" x14ac:dyDescent="0.2">
      <c r="A2226" s="5" t="s">
        <v>4712</v>
      </c>
      <c r="B2226" s="5" t="s">
        <v>4713</v>
      </c>
      <c r="D2226" s="5" t="s">
        <v>5369</v>
      </c>
      <c r="E2226" s="10" t="s">
        <v>57</v>
      </c>
      <c r="F2226" s="5" t="s">
        <v>5370</v>
      </c>
      <c r="I2226" s="11">
        <v>3</v>
      </c>
      <c r="K2226" s="10" t="s">
        <v>50</v>
      </c>
      <c r="L2226" s="5" t="s">
        <v>239</v>
      </c>
      <c r="M2226" s="5" t="s">
        <v>240</v>
      </c>
      <c r="O2226" s="12"/>
      <c r="P2226" s="13">
        <v>185285</v>
      </c>
      <c r="Q2226" s="13">
        <v>153237</v>
      </c>
      <c r="S2226" s="13">
        <v>1846</v>
      </c>
      <c r="U2226" s="13">
        <v>1846</v>
      </c>
      <c r="AC2226" s="16" t="str">
        <f t="shared" si="102"/>
        <v/>
      </c>
      <c r="AD2226" s="17">
        <f t="shared" si="103"/>
        <v>1846</v>
      </c>
      <c r="AE2226" s="17">
        <f t="shared" si="104"/>
        <v>0</v>
      </c>
      <c r="AF2226" s="10" t="s">
        <v>5371</v>
      </c>
      <c r="AG2226" s="5" t="s">
        <v>3275</v>
      </c>
      <c r="AH2226" s="5" t="s">
        <v>5372</v>
      </c>
    </row>
    <row r="2227" spans="1:35" ht="10" customHeight="1" x14ac:dyDescent="0.2">
      <c r="A2227" s="5" t="s">
        <v>4712</v>
      </c>
      <c r="B2227" s="5" t="s">
        <v>4713</v>
      </c>
      <c r="D2227" s="5" t="s">
        <v>5373</v>
      </c>
      <c r="E2227" s="10" t="s">
        <v>57</v>
      </c>
      <c r="F2227" s="5" t="s">
        <v>5370</v>
      </c>
      <c r="I2227" s="11">
        <v>5</v>
      </c>
      <c r="K2227" s="10" t="s">
        <v>50</v>
      </c>
      <c r="L2227" s="5" t="s">
        <v>239</v>
      </c>
      <c r="M2227" s="5" t="s">
        <v>240</v>
      </c>
      <c r="N2227" s="5" t="s">
        <v>241</v>
      </c>
      <c r="O2227" s="12"/>
      <c r="S2227" s="13">
        <v>12237</v>
      </c>
      <c r="U2227" s="13">
        <v>12237</v>
      </c>
      <c r="AC2227" s="16" t="str">
        <f t="shared" si="102"/>
        <v/>
      </c>
      <c r="AD2227" s="17">
        <f t="shared" si="103"/>
        <v>12237</v>
      </c>
      <c r="AE2227" s="17">
        <f t="shared" si="104"/>
        <v>0</v>
      </c>
      <c r="AF2227" s="10" t="s">
        <v>5374</v>
      </c>
      <c r="AG2227" s="5" t="s">
        <v>5375</v>
      </c>
      <c r="AH2227" s="5" t="s">
        <v>5372</v>
      </c>
      <c r="AI2227" s="5" t="s">
        <v>5376</v>
      </c>
    </row>
    <row r="2228" spans="1:35" ht="10" customHeight="1" x14ac:dyDescent="0.2">
      <c r="A2228" s="5" t="s">
        <v>4712</v>
      </c>
      <c r="B2228" s="5" t="s">
        <v>4713</v>
      </c>
      <c r="D2228" s="5" t="s">
        <v>5377</v>
      </c>
      <c r="E2228" s="10" t="s">
        <v>57</v>
      </c>
      <c r="F2228" s="5" t="s">
        <v>5370</v>
      </c>
      <c r="I2228" s="11">
        <v>7</v>
      </c>
      <c r="K2228" s="12"/>
      <c r="O2228" s="12"/>
      <c r="P2228" s="13">
        <v>48086</v>
      </c>
      <c r="Q2228" s="13">
        <v>48634</v>
      </c>
      <c r="S2228" s="13">
        <v>38285</v>
      </c>
      <c r="U2228" s="13">
        <v>38285</v>
      </c>
      <c r="AC2228" s="16" t="str">
        <f t="shared" si="102"/>
        <v/>
      </c>
      <c r="AD2228" s="17">
        <f t="shared" si="103"/>
        <v>38285</v>
      </c>
      <c r="AE2228" s="17">
        <f t="shared" si="104"/>
        <v>0</v>
      </c>
      <c r="AF2228" s="10" t="s">
        <v>5378</v>
      </c>
      <c r="AG2228" s="5" t="s">
        <v>3275</v>
      </c>
      <c r="AH2228" s="5" t="s">
        <v>5372</v>
      </c>
    </row>
    <row r="2229" spans="1:35" ht="10" customHeight="1" x14ac:dyDescent="0.2">
      <c r="A2229" s="5" t="s">
        <v>4712</v>
      </c>
      <c r="B2229" s="5" t="s">
        <v>4713</v>
      </c>
      <c r="D2229" s="5" t="s">
        <v>5379</v>
      </c>
      <c r="E2229" s="10" t="s">
        <v>48</v>
      </c>
      <c r="I2229" s="11" t="s">
        <v>4715</v>
      </c>
      <c r="K2229" s="12"/>
      <c r="O2229" s="12"/>
      <c r="P2229" s="13">
        <v>1761930</v>
      </c>
      <c r="Q2229" s="13">
        <v>1572124</v>
      </c>
      <c r="S2229" s="13">
        <v>1754627</v>
      </c>
      <c r="U2229" s="13">
        <v>1754627</v>
      </c>
      <c r="W2229" s="13">
        <v>269407</v>
      </c>
      <c r="X2229" s="13">
        <v>1626768</v>
      </c>
      <c r="Y2229" s="13">
        <v>1896175</v>
      </c>
      <c r="AC2229" s="16" t="str">
        <f t="shared" si="102"/>
        <v>ADD</v>
      </c>
      <c r="AD2229" s="17">
        <f t="shared" si="103"/>
        <v>1896175</v>
      </c>
      <c r="AE2229" s="17">
        <f t="shared" si="104"/>
        <v>0</v>
      </c>
      <c r="AF2229" s="10" t="s">
        <v>5380</v>
      </c>
      <c r="AG2229" s="5" t="s">
        <v>5250</v>
      </c>
      <c r="AH2229" s="5" t="s">
        <v>5381</v>
      </c>
    </row>
    <row r="2230" spans="1:35" ht="10" customHeight="1" x14ac:dyDescent="0.2">
      <c r="A2230" s="5" t="s">
        <v>4712</v>
      </c>
      <c r="B2230" s="5" t="s">
        <v>4713</v>
      </c>
      <c r="D2230" s="5" t="s">
        <v>5382</v>
      </c>
      <c r="E2230" s="10" t="s">
        <v>57</v>
      </c>
      <c r="F2230" s="5" t="s">
        <v>5379</v>
      </c>
      <c r="I2230" s="11">
        <v>2</v>
      </c>
      <c r="K2230" s="12"/>
      <c r="O2230" s="12"/>
      <c r="P2230" s="13">
        <v>114818</v>
      </c>
      <c r="Q2230" s="13">
        <v>115812</v>
      </c>
      <c r="S2230" s="13">
        <v>129051</v>
      </c>
      <c r="U2230" s="13">
        <v>129051</v>
      </c>
      <c r="AC2230" s="16" t="str">
        <f t="shared" si="102"/>
        <v/>
      </c>
      <c r="AD2230" s="17">
        <f t="shared" si="103"/>
        <v>129051</v>
      </c>
      <c r="AE2230" s="17">
        <f t="shared" si="104"/>
        <v>0</v>
      </c>
      <c r="AF2230" s="10" t="s">
        <v>5383</v>
      </c>
      <c r="AG2230" s="5" t="s">
        <v>5384</v>
      </c>
      <c r="AH2230" s="5" t="s">
        <v>5381</v>
      </c>
    </row>
    <row r="2231" spans="1:35" ht="10" customHeight="1" x14ac:dyDescent="0.2">
      <c r="A2231" s="5" t="s">
        <v>4712</v>
      </c>
      <c r="B2231" s="5" t="s">
        <v>4713</v>
      </c>
      <c r="D2231" s="5" t="s">
        <v>5385</v>
      </c>
      <c r="E2231" s="10" t="s">
        <v>57</v>
      </c>
      <c r="F2231" s="5" t="s">
        <v>5379</v>
      </c>
      <c r="I2231" s="11">
        <v>2</v>
      </c>
      <c r="K2231" s="12"/>
      <c r="O2231" s="12"/>
      <c r="P2231" s="13">
        <v>97790</v>
      </c>
      <c r="Q2231" s="13">
        <v>32771</v>
      </c>
      <c r="S2231" s="13">
        <v>82544</v>
      </c>
      <c r="U2231" s="13">
        <v>82544</v>
      </c>
      <c r="AC2231" s="16" t="str">
        <f t="shared" si="102"/>
        <v/>
      </c>
      <c r="AD2231" s="17">
        <f t="shared" si="103"/>
        <v>82544</v>
      </c>
      <c r="AE2231" s="17">
        <f t="shared" si="104"/>
        <v>0</v>
      </c>
      <c r="AF2231" s="10" t="s">
        <v>5386</v>
      </c>
      <c r="AG2231" s="5" t="s">
        <v>4111</v>
      </c>
      <c r="AH2231" s="5" t="s">
        <v>5381</v>
      </c>
    </row>
    <row r="2232" spans="1:35" ht="10" customHeight="1" x14ac:dyDescent="0.2">
      <c r="A2232" s="5" t="s">
        <v>4712</v>
      </c>
      <c r="B2232" s="5" t="s">
        <v>4713</v>
      </c>
      <c r="D2232" s="5" t="s">
        <v>5387</v>
      </c>
      <c r="E2232" s="10" t="s">
        <v>57</v>
      </c>
      <c r="F2232" s="5" t="s">
        <v>5379</v>
      </c>
      <c r="I2232" s="11">
        <v>2</v>
      </c>
      <c r="K2232" s="12"/>
      <c r="O2232" s="12"/>
      <c r="P2232" s="13">
        <v>271533</v>
      </c>
      <c r="Q2232" s="13">
        <v>97689</v>
      </c>
      <c r="S2232" s="13">
        <v>88674</v>
      </c>
      <c r="U2232" s="13">
        <v>88674</v>
      </c>
      <c r="AC2232" s="16" t="str">
        <f t="shared" si="102"/>
        <v/>
      </c>
      <c r="AD2232" s="17">
        <f t="shared" si="103"/>
        <v>88674</v>
      </c>
      <c r="AE2232" s="17">
        <f t="shared" si="104"/>
        <v>0</v>
      </c>
      <c r="AF2232" s="10" t="s">
        <v>5388</v>
      </c>
      <c r="AG2232" s="5" t="s">
        <v>4111</v>
      </c>
      <c r="AH2232" s="5" t="s">
        <v>5381</v>
      </c>
      <c r="AI2232" s="5" t="s">
        <v>5389</v>
      </c>
    </row>
    <row r="2233" spans="1:35" ht="10" customHeight="1" x14ac:dyDescent="0.2">
      <c r="A2233" s="5" t="s">
        <v>4712</v>
      </c>
      <c r="B2233" s="5" t="s">
        <v>4713</v>
      </c>
      <c r="D2233" s="5" t="s">
        <v>5390</v>
      </c>
      <c r="E2233" s="10" t="s">
        <v>57</v>
      </c>
      <c r="F2233" s="5" t="s">
        <v>5379</v>
      </c>
      <c r="I2233" s="11">
        <v>3</v>
      </c>
      <c r="K2233" s="12"/>
      <c r="O2233" s="12"/>
      <c r="P2233" s="13">
        <v>28452</v>
      </c>
      <c r="Q2233" s="13">
        <v>24120</v>
      </c>
      <c r="S2233" s="13">
        <v>23487</v>
      </c>
      <c r="U2233" s="13">
        <v>23487</v>
      </c>
      <c r="AC2233" s="16" t="str">
        <f t="shared" si="102"/>
        <v/>
      </c>
      <c r="AD2233" s="17">
        <f t="shared" si="103"/>
        <v>23487</v>
      </c>
      <c r="AE2233" s="17">
        <f t="shared" si="104"/>
        <v>0</v>
      </c>
      <c r="AF2233" s="10" t="s">
        <v>5391</v>
      </c>
      <c r="AG2233" s="5" t="s">
        <v>4111</v>
      </c>
      <c r="AH2233" s="5" t="s">
        <v>5381</v>
      </c>
      <c r="AI2233" s="5" t="s">
        <v>5392</v>
      </c>
    </row>
    <row r="2234" spans="1:35" ht="10" customHeight="1" x14ac:dyDescent="0.2">
      <c r="A2234" s="5" t="s">
        <v>4712</v>
      </c>
      <c r="B2234" s="5" t="s">
        <v>4713</v>
      </c>
      <c r="D2234" s="5" t="s">
        <v>5393</v>
      </c>
      <c r="E2234" s="10" t="s">
        <v>57</v>
      </c>
      <c r="F2234" s="5" t="s">
        <v>5379</v>
      </c>
      <c r="I2234" s="11">
        <v>2</v>
      </c>
      <c r="K2234" s="10" t="s">
        <v>50</v>
      </c>
      <c r="L2234" s="5" t="s">
        <v>51</v>
      </c>
      <c r="M2234" s="5" t="s">
        <v>119</v>
      </c>
      <c r="N2234" s="5" t="s">
        <v>120</v>
      </c>
      <c r="O2234" s="12"/>
      <c r="P2234" s="13">
        <v>10881</v>
      </c>
      <c r="Q2234" s="13">
        <v>11565</v>
      </c>
      <c r="S2234" s="13">
        <v>11353</v>
      </c>
      <c r="U2234" s="13">
        <v>11353</v>
      </c>
      <c r="AC2234" s="16" t="str">
        <f t="shared" si="102"/>
        <v/>
      </c>
      <c r="AD2234" s="17">
        <f t="shared" si="103"/>
        <v>11353</v>
      </c>
      <c r="AE2234" s="17">
        <f t="shared" si="104"/>
        <v>0</v>
      </c>
      <c r="AF2234" s="10" t="s">
        <v>5394</v>
      </c>
      <c r="AG2234" s="5" t="s">
        <v>4111</v>
      </c>
      <c r="AH2234" s="5" t="s">
        <v>5381</v>
      </c>
      <c r="AI2234" s="5" t="s">
        <v>5395</v>
      </c>
    </row>
    <row r="2235" spans="1:35" ht="10" customHeight="1" x14ac:dyDescent="0.2">
      <c r="A2235" s="5" t="s">
        <v>4712</v>
      </c>
      <c r="B2235" s="5" t="s">
        <v>4713</v>
      </c>
      <c r="D2235" s="5" t="s">
        <v>5396</v>
      </c>
      <c r="E2235" s="10" t="s">
        <v>57</v>
      </c>
      <c r="F2235" s="5" t="s">
        <v>5379</v>
      </c>
      <c r="I2235" s="11">
        <v>2</v>
      </c>
      <c r="K2235" s="10" t="s">
        <v>50</v>
      </c>
      <c r="L2235" s="5" t="s">
        <v>51</v>
      </c>
      <c r="M2235" s="5" t="s">
        <v>52</v>
      </c>
      <c r="O2235" s="12"/>
      <c r="P2235" s="13">
        <v>127395</v>
      </c>
      <c r="Q2235" s="13">
        <v>130594</v>
      </c>
      <c r="S2235" s="13">
        <v>71804</v>
      </c>
      <c r="U2235" s="13">
        <v>71804</v>
      </c>
      <c r="AC2235" s="16" t="str">
        <f t="shared" si="102"/>
        <v/>
      </c>
      <c r="AD2235" s="17">
        <f t="shared" si="103"/>
        <v>71804</v>
      </c>
      <c r="AE2235" s="17">
        <f t="shared" si="104"/>
        <v>0</v>
      </c>
      <c r="AF2235" s="10" t="s">
        <v>5397</v>
      </c>
      <c r="AG2235" s="5" t="s">
        <v>5384</v>
      </c>
      <c r="AH2235" s="5" t="s">
        <v>5381</v>
      </c>
      <c r="AI2235" s="5" t="s">
        <v>5398</v>
      </c>
    </row>
    <row r="2236" spans="1:35" ht="10" customHeight="1" x14ac:dyDescent="0.2">
      <c r="A2236" s="5" t="s">
        <v>4712</v>
      </c>
      <c r="B2236" s="5" t="s">
        <v>4713</v>
      </c>
      <c r="D2236" s="5" t="s">
        <v>5399</v>
      </c>
      <c r="E2236" s="10" t="s">
        <v>57</v>
      </c>
      <c r="F2236" s="5" t="s">
        <v>5379</v>
      </c>
      <c r="I2236" s="11">
        <v>2</v>
      </c>
      <c r="K2236" s="12"/>
      <c r="O2236" s="12"/>
      <c r="P2236" s="13">
        <v>41679</v>
      </c>
      <c r="Q2236" s="13">
        <v>41231</v>
      </c>
      <c r="S2236" s="13">
        <v>40897</v>
      </c>
      <c r="U2236" s="13">
        <v>40897</v>
      </c>
      <c r="AC2236" s="16" t="str">
        <f t="shared" si="102"/>
        <v/>
      </c>
      <c r="AD2236" s="17">
        <f t="shared" si="103"/>
        <v>40897</v>
      </c>
      <c r="AE2236" s="17">
        <f t="shared" si="104"/>
        <v>0</v>
      </c>
      <c r="AF2236" s="10" t="s">
        <v>5400</v>
      </c>
      <c r="AG2236" s="5" t="s">
        <v>4111</v>
      </c>
      <c r="AH2236" s="5" t="s">
        <v>5381</v>
      </c>
      <c r="AI2236" s="5" t="s">
        <v>5401</v>
      </c>
    </row>
    <row r="2237" spans="1:35" ht="10" customHeight="1" x14ac:dyDescent="0.2">
      <c r="A2237" s="5" t="s">
        <v>4712</v>
      </c>
      <c r="B2237" s="5" t="s">
        <v>4713</v>
      </c>
      <c r="D2237" s="5" t="s">
        <v>5402</v>
      </c>
      <c r="E2237" s="10" t="s">
        <v>57</v>
      </c>
      <c r="F2237" s="5" t="s">
        <v>5379</v>
      </c>
      <c r="I2237" s="11">
        <v>2</v>
      </c>
      <c r="K2237" s="10" t="s">
        <v>50</v>
      </c>
      <c r="L2237" s="5" t="s">
        <v>51</v>
      </c>
      <c r="M2237" s="5" t="s">
        <v>52</v>
      </c>
      <c r="O2237" s="12"/>
      <c r="P2237" s="13">
        <v>18244</v>
      </c>
      <c r="Q2237" s="13">
        <v>18509</v>
      </c>
      <c r="S2237" s="13">
        <v>17384</v>
      </c>
      <c r="U2237" s="13">
        <v>17384</v>
      </c>
      <c r="AC2237" s="16" t="str">
        <f t="shared" si="102"/>
        <v/>
      </c>
      <c r="AD2237" s="17">
        <f t="shared" si="103"/>
        <v>17384</v>
      </c>
      <c r="AE2237" s="17">
        <f t="shared" si="104"/>
        <v>0</v>
      </c>
      <c r="AF2237" s="10" t="s">
        <v>5403</v>
      </c>
      <c r="AG2237" s="5" t="s">
        <v>5384</v>
      </c>
      <c r="AH2237" s="5" t="s">
        <v>5381</v>
      </c>
    </row>
    <row r="2238" spans="1:35" ht="10" customHeight="1" x14ac:dyDescent="0.2">
      <c r="A2238" s="5" t="s">
        <v>4712</v>
      </c>
      <c r="B2238" s="5" t="s">
        <v>4713</v>
      </c>
      <c r="D2238" s="5" t="s">
        <v>5404</v>
      </c>
      <c r="E2238" s="10" t="s">
        <v>57</v>
      </c>
      <c r="F2238" s="5" t="s">
        <v>5379</v>
      </c>
      <c r="I2238" s="11">
        <v>2</v>
      </c>
      <c r="K2238" s="12"/>
      <c r="O2238" s="12"/>
      <c r="P2238" s="13">
        <v>44260</v>
      </c>
      <c r="Q2238" s="13">
        <v>50080</v>
      </c>
      <c r="S2238" s="13">
        <v>41235</v>
      </c>
      <c r="U2238" s="13">
        <v>41235</v>
      </c>
      <c r="AC2238" s="16" t="str">
        <f t="shared" si="102"/>
        <v/>
      </c>
      <c r="AD2238" s="17">
        <f t="shared" si="103"/>
        <v>41235</v>
      </c>
      <c r="AE2238" s="17">
        <f t="shared" si="104"/>
        <v>0</v>
      </c>
      <c r="AF2238" s="10" t="s">
        <v>5405</v>
      </c>
      <c r="AG2238" s="5" t="s">
        <v>4111</v>
      </c>
      <c r="AH2238" s="5" t="s">
        <v>5381</v>
      </c>
    </row>
    <row r="2239" spans="1:35" ht="10" customHeight="1" x14ac:dyDescent="0.2">
      <c r="A2239" s="5" t="s">
        <v>4712</v>
      </c>
      <c r="B2239" s="5" t="s">
        <v>4713</v>
      </c>
      <c r="D2239" s="5" t="s">
        <v>5406</v>
      </c>
      <c r="E2239" s="10" t="s">
        <v>57</v>
      </c>
      <c r="F2239" s="5" t="s">
        <v>5379</v>
      </c>
      <c r="I2239" s="11">
        <v>2</v>
      </c>
      <c r="K2239" s="12"/>
      <c r="O2239" s="12"/>
      <c r="P2239" s="13">
        <v>14776</v>
      </c>
      <c r="Q2239" s="13">
        <v>18969</v>
      </c>
      <c r="S2239" s="13">
        <v>18784</v>
      </c>
      <c r="U2239" s="13">
        <v>18784</v>
      </c>
      <c r="AC2239" s="16" t="str">
        <f t="shared" si="102"/>
        <v/>
      </c>
      <c r="AD2239" s="17">
        <f t="shared" si="103"/>
        <v>18784</v>
      </c>
      <c r="AE2239" s="17">
        <f t="shared" si="104"/>
        <v>0</v>
      </c>
      <c r="AF2239" s="10" t="s">
        <v>5407</v>
      </c>
      <c r="AG2239" s="5" t="s">
        <v>4111</v>
      </c>
      <c r="AH2239" s="5" t="s">
        <v>5381</v>
      </c>
    </row>
    <row r="2240" spans="1:35" ht="10" customHeight="1" x14ac:dyDescent="0.2">
      <c r="A2240" s="5" t="s">
        <v>4712</v>
      </c>
      <c r="B2240" s="5" t="s">
        <v>4713</v>
      </c>
      <c r="D2240" s="5" t="s">
        <v>5408</v>
      </c>
      <c r="E2240" s="10" t="s">
        <v>57</v>
      </c>
      <c r="F2240" s="5" t="s">
        <v>5379</v>
      </c>
      <c r="I2240" s="11">
        <v>2</v>
      </c>
      <c r="K2240" s="12"/>
      <c r="O2240" s="12"/>
      <c r="P2240" s="13">
        <v>2205</v>
      </c>
      <c r="Q2240" s="13">
        <v>2169</v>
      </c>
      <c r="S2240" s="13">
        <v>2179</v>
      </c>
      <c r="U2240" s="13">
        <v>2179</v>
      </c>
      <c r="AC2240" s="16" t="str">
        <f t="shared" si="102"/>
        <v/>
      </c>
      <c r="AD2240" s="17">
        <f t="shared" si="103"/>
        <v>2179</v>
      </c>
      <c r="AE2240" s="17">
        <f t="shared" si="104"/>
        <v>0</v>
      </c>
      <c r="AF2240" s="10" t="s">
        <v>5409</v>
      </c>
      <c r="AG2240" s="5" t="s">
        <v>4111</v>
      </c>
      <c r="AH2240" s="5" t="s">
        <v>5381</v>
      </c>
      <c r="AI2240" s="5" t="s">
        <v>5410</v>
      </c>
    </row>
    <row r="2241" spans="1:36" ht="10" customHeight="1" x14ac:dyDescent="0.2">
      <c r="A2241" s="5" t="s">
        <v>4712</v>
      </c>
      <c r="B2241" s="5" t="s">
        <v>4713</v>
      </c>
      <c r="D2241" s="5" t="s">
        <v>5411</v>
      </c>
      <c r="E2241" s="10" t="s">
        <v>57</v>
      </c>
      <c r="F2241" s="5" t="s">
        <v>5379</v>
      </c>
      <c r="I2241" s="11">
        <v>2</v>
      </c>
      <c r="K2241" s="10" t="s">
        <v>50</v>
      </c>
      <c r="L2241" s="5" t="s">
        <v>51</v>
      </c>
      <c r="M2241" s="5" t="s">
        <v>4684</v>
      </c>
      <c r="N2241" s="5" t="s">
        <v>4685</v>
      </c>
      <c r="O2241" s="12"/>
      <c r="P2241" s="13">
        <v>6756</v>
      </c>
      <c r="Q2241" s="13">
        <v>14976</v>
      </c>
      <c r="S2241" s="13">
        <v>18683</v>
      </c>
      <c r="U2241" s="13">
        <v>18683</v>
      </c>
      <c r="AC2241" s="16" t="str">
        <f t="shared" si="102"/>
        <v/>
      </c>
      <c r="AD2241" s="17">
        <f t="shared" si="103"/>
        <v>18683</v>
      </c>
      <c r="AE2241" s="17">
        <f t="shared" si="104"/>
        <v>0</v>
      </c>
      <c r="AF2241" s="10" t="s">
        <v>5412</v>
      </c>
      <c r="AG2241" s="5" t="s">
        <v>5413</v>
      </c>
      <c r="AH2241" s="5" t="s">
        <v>5381</v>
      </c>
      <c r="AI2241" s="5" t="s">
        <v>5414</v>
      </c>
    </row>
    <row r="2242" spans="1:36" ht="10" customHeight="1" x14ac:dyDescent="0.2">
      <c r="A2242" s="5" t="s">
        <v>4712</v>
      </c>
      <c r="B2242" s="5" t="s">
        <v>4713</v>
      </c>
      <c r="D2242" s="5" t="s">
        <v>5415</v>
      </c>
      <c r="E2242" s="10" t="s">
        <v>57</v>
      </c>
      <c r="F2242" s="5" t="s">
        <v>5379</v>
      </c>
      <c r="I2242" s="11">
        <v>2</v>
      </c>
      <c r="K2242" s="10" t="s">
        <v>50</v>
      </c>
      <c r="L2242" s="5" t="s">
        <v>4675</v>
      </c>
      <c r="M2242" s="5" t="s">
        <v>5416</v>
      </c>
      <c r="N2242" s="5" t="s">
        <v>5417</v>
      </c>
      <c r="O2242" s="12"/>
      <c r="P2242" s="13">
        <v>42782</v>
      </c>
      <c r="Q2242" s="13">
        <v>62411</v>
      </c>
      <c r="S2242" s="13">
        <v>40610</v>
      </c>
      <c r="U2242" s="13">
        <v>40610</v>
      </c>
      <c r="AC2242" s="16" t="str">
        <f t="shared" si="102"/>
        <v/>
      </c>
      <c r="AD2242" s="17">
        <f t="shared" si="103"/>
        <v>40610</v>
      </c>
      <c r="AE2242" s="17">
        <f t="shared" si="104"/>
        <v>0</v>
      </c>
      <c r="AF2242" s="10" t="s">
        <v>5418</v>
      </c>
      <c r="AG2242" s="5" t="s">
        <v>5413</v>
      </c>
      <c r="AH2242" s="5" t="s">
        <v>5381</v>
      </c>
      <c r="AI2242" s="5" t="s">
        <v>5419</v>
      </c>
    </row>
    <row r="2243" spans="1:36" ht="10" customHeight="1" x14ac:dyDescent="0.2">
      <c r="A2243" s="5" t="s">
        <v>4712</v>
      </c>
      <c r="B2243" s="5" t="s">
        <v>4713</v>
      </c>
      <c r="D2243" s="5" t="s">
        <v>5420</v>
      </c>
      <c r="E2243" s="10" t="s">
        <v>57</v>
      </c>
      <c r="F2243" s="5" t="s">
        <v>5379</v>
      </c>
      <c r="I2243" s="11">
        <v>2</v>
      </c>
      <c r="K2243" s="10" t="s">
        <v>50</v>
      </c>
      <c r="L2243" s="5" t="s">
        <v>51</v>
      </c>
      <c r="M2243" s="5" t="s">
        <v>119</v>
      </c>
      <c r="N2243" s="5" t="s">
        <v>139</v>
      </c>
      <c r="O2243" s="12"/>
      <c r="P2243" s="13">
        <v>0</v>
      </c>
      <c r="Q2243" s="13">
        <v>639</v>
      </c>
      <c r="S2243" s="13">
        <v>17877</v>
      </c>
      <c r="U2243" s="13">
        <v>17877</v>
      </c>
      <c r="AC2243" s="16" t="str">
        <f t="shared" si="102"/>
        <v/>
      </c>
      <c r="AD2243" s="17">
        <f t="shared" si="103"/>
        <v>17877</v>
      </c>
      <c r="AE2243" s="17">
        <f t="shared" si="104"/>
        <v>0</v>
      </c>
      <c r="AF2243" s="10" t="s">
        <v>5421</v>
      </c>
      <c r="AG2243" s="5" t="s">
        <v>5413</v>
      </c>
      <c r="AH2243" s="5" t="s">
        <v>5381</v>
      </c>
      <c r="AI2243" s="5" t="s">
        <v>5422</v>
      </c>
    </row>
    <row r="2244" spans="1:36" ht="10" customHeight="1" x14ac:dyDescent="0.2">
      <c r="A2244" s="5" t="s">
        <v>4712</v>
      </c>
      <c r="B2244" s="5" t="s">
        <v>4713</v>
      </c>
      <c r="D2244" s="5" t="s">
        <v>5423</v>
      </c>
      <c r="E2244" s="10" t="s">
        <v>57</v>
      </c>
      <c r="F2244" s="5" t="s">
        <v>5379</v>
      </c>
      <c r="I2244" s="11">
        <v>2</v>
      </c>
      <c r="K2244" s="10" t="s">
        <v>50</v>
      </c>
      <c r="L2244" s="5" t="s">
        <v>4675</v>
      </c>
      <c r="M2244" s="5" t="s">
        <v>4676</v>
      </c>
      <c r="N2244" s="5" t="s">
        <v>5424</v>
      </c>
      <c r="O2244" s="12"/>
      <c r="P2244" s="13">
        <v>0</v>
      </c>
      <c r="Q2244" s="13">
        <v>0</v>
      </c>
      <c r="S2244" s="13">
        <v>7179</v>
      </c>
      <c r="U2244" s="13">
        <v>7179</v>
      </c>
      <c r="AC2244" s="16" t="str">
        <f t="shared" si="102"/>
        <v/>
      </c>
      <c r="AD2244" s="17">
        <f t="shared" si="103"/>
        <v>7179</v>
      </c>
      <c r="AE2244" s="17">
        <f t="shared" si="104"/>
        <v>0</v>
      </c>
      <c r="AF2244" s="10" t="s">
        <v>5425</v>
      </c>
      <c r="AG2244" s="5" t="s">
        <v>4086</v>
      </c>
      <c r="AH2244" s="5" t="s">
        <v>5381</v>
      </c>
      <c r="AI2244" s="5" t="s">
        <v>5424</v>
      </c>
    </row>
    <row r="2245" spans="1:36" ht="10" customHeight="1" x14ac:dyDescent="0.2">
      <c r="A2245" s="5" t="s">
        <v>4712</v>
      </c>
      <c r="B2245" s="5" t="s">
        <v>4713</v>
      </c>
      <c r="D2245" s="5" t="s">
        <v>5426</v>
      </c>
      <c r="E2245" s="10" t="s">
        <v>57</v>
      </c>
      <c r="F2245" s="5" t="s">
        <v>5379</v>
      </c>
      <c r="I2245" s="11">
        <v>2</v>
      </c>
      <c r="K2245" s="10" t="s">
        <v>50</v>
      </c>
      <c r="L2245" s="5" t="s">
        <v>4675</v>
      </c>
      <c r="M2245" s="5" t="s">
        <v>5416</v>
      </c>
      <c r="N2245" s="5" t="s">
        <v>5427</v>
      </c>
      <c r="O2245" s="12"/>
      <c r="P2245" s="13">
        <v>0</v>
      </c>
      <c r="Q2245" s="13">
        <v>0</v>
      </c>
      <c r="S2245" s="13">
        <v>17475</v>
      </c>
      <c r="U2245" s="13">
        <v>17475</v>
      </c>
      <c r="AC2245" s="16" t="str">
        <f t="shared" si="102"/>
        <v/>
      </c>
      <c r="AD2245" s="17">
        <f t="shared" si="103"/>
        <v>17475</v>
      </c>
      <c r="AE2245" s="17">
        <f t="shared" si="104"/>
        <v>0</v>
      </c>
      <c r="AF2245" s="10" t="s">
        <v>5428</v>
      </c>
      <c r="AG2245" s="5" t="s">
        <v>5413</v>
      </c>
      <c r="AH2245" s="5" t="s">
        <v>5381</v>
      </c>
      <c r="AI2245" s="5" t="s">
        <v>5429</v>
      </c>
    </row>
    <row r="2246" spans="1:36" ht="10" customHeight="1" x14ac:dyDescent="0.2">
      <c r="A2246" s="5" t="s">
        <v>4712</v>
      </c>
      <c r="B2246" s="5" t="s">
        <v>4713</v>
      </c>
      <c r="D2246" s="5" t="s">
        <v>5430</v>
      </c>
      <c r="E2246" s="10" t="s">
        <v>57</v>
      </c>
      <c r="F2246" s="5" t="s">
        <v>5379</v>
      </c>
      <c r="I2246" s="11">
        <v>2</v>
      </c>
      <c r="K2246" s="10" t="s">
        <v>50</v>
      </c>
      <c r="L2246" s="5" t="s">
        <v>51</v>
      </c>
      <c r="M2246" s="5" t="s">
        <v>52</v>
      </c>
      <c r="N2246" s="5" t="s">
        <v>88</v>
      </c>
      <c r="O2246" s="12"/>
      <c r="P2246" s="13">
        <v>5351</v>
      </c>
      <c r="Q2246" s="13">
        <v>5490</v>
      </c>
      <c r="S2246" s="13">
        <v>5607</v>
      </c>
      <c r="U2246" s="13">
        <v>5607</v>
      </c>
      <c r="AC2246" s="16" t="str">
        <f t="shared" ref="AC2246:AC2309" si="105">IF(OR(E2246="",E2246="[PARENT]"),"ADD",IF(E2246="[ALT_VIEW]","ALT",""))</f>
        <v/>
      </c>
      <c r="AD2246" s="17">
        <f t="shared" ref="AD2246:AD2309" si="106">IF(Y2246&lt;&gt;"",Y2246,IF(U2246&lt;&gt;"",U2246,S2246))</f>
        <v>5607</v>
      </c>
      <c r="AE2246" s="17">
        <f t="shared" ref="AE2246:AE2309" si="107">IF(AB2246&lt;&gt;"",AB2246,Z2246)</f>
        <v>0</v>
      </c>
      <c r="AF2246" s="10" t="s">
        <v>5431</v>
      </c>
      <c r="AG2246" s="5" t="s">
        <v>4111</v>
      </c>
      <c r="AH2246" s="5" t="s">
        <v>5381</v>
      </c>
      <c r="AI2246" s="5" t="s">
        <v>5432</v>
      </c>
    </row>
    <row r="2247" spans="1:36" ht="10" customHeight="1" x14ac:dyDescent="0.2">
      <c r="A2247" s="5" t="s">
        <v>4712</v>
      </c>
      <c r="B2247" s="5" t="s">
        <v>4713</v>
      </c>
      <c r="D2247" s="5" t="s">
        <v>5433</v>
      </c>
      <c r="E2247" s="10" t="s">
        <v>188</v>
      </c>
      <c r="I2247" s="11">
        <v>7</v>
      </c>
      <c r="K2247" s="12"/>
      <c r="O2247" s="12"/>
      <c r="P2247" s="13">
        <v>4711542</v>
      </c>
      <c r="Q2247" s="13">
        <v>5922739</v>
      </c>
      <c r="S2247" s="13">
        <v>5678354</v>
      </c>
      <c r="U2247" s="13">
        <v>5678354</v>
      </c>
      <c r="AC2247" s="16" t="str">
        <f t="shared" si="105"/>
        <v/>
      </c>
      <c r="AD2247" s="17">
        <f t="shared" si="106"/>
        <v>5678354</v>
      </c>
      <c r="AE2247" s="17">
        <f t="shared" si="107"/>
        <v>0</v>
      </c>
      <c r="AF2247" s="10" t="s">
        <v>5434</v>
      </c>
      <c r="AG2247" s="5" t="s">
        <v>5250</v>
      </c>
    </row>
    <row r="2248" spans="1:36" ht="10" customHeight="1" x14ac:dyDescent="0.2">
      <c r="A2248" s="5" t="s">
        <v>4712</v>
      </c>
      <c r="B2248" s="5" t="s">
        <v>4713</v>
      </c>
      <c r="D2248" s="5" t="s">
        <v>5435</v>
      </c>
      <c r="E2248" s="10" t="s">
        <v>57</v>
      </c>
      <c r="F2248" s="5" t="s">
        <v>5436</v>
      </c>
      <c r="I2248" s="11">
        <v>7</v>
      </c>
      <c r="K2248" s="12"/>
      <c r="O2248" s="12"/>
      <c r="S2248" s="13">
        <v>830000</v>
      </c>
      <c r="U2248" s="13">
        <v>830000</v>
      </c>
      <c r="AC2248" s="16" t="str">
        <f t="shared" si="105"/>
        <v/>
      </c>
      <c r="AD2248" s="17">
        <f t="shared" si="106"/>
        <v>830000</v>
      </c>
      <c r="AE2248" s="17">
        <f t="shared" si="107"/>
        <v>0</v>
      </c>
      <c r="AF2248" s="10" t="s">
        <v>5437</v>
      </c>
      <c r="AG2248" s="5" t="s">
        <v>1627</v>
      </c>
    </row>
    <row r="2249" spans="1:36" ht="10" customHeight="1" x14ac:dyDescent="0.2">
      <c r="A2249" s="5" t="s">
        <v>4712</v>
      </c>
      <c r="B2249" s="5" t="s">
        <v>4713</v>
      </c>
      <c r="D2249" s="5" t="s">
        <v>5438</v>
      </c>
      <c r="E2249" s="10" t="s">
        <v>57</v>
      </c>
      <c r="F2249" s="5" t="s">
        <v>5436</v>
      </c>
      <c r="I2249" s="11">
        <v>7</v>
      </c>
      <c r="K2249" s="12"/>
      <c r="O2249" s="12"/>
      <c r="Q2249" s="13">
        <v>620500</v>
      </c>
      <c r="S2249" s="13">
        <v>159062</v>
      </c>
      <c r="U2249" s="13">
        <v>159062</v>
      </c>
      <c r="AC2249" s="16" t="str">
        <f t="shared" si="105"/>
        <v/>
      </c>
      <c r="AD2249" s="17">
        <f t="shared" si="106"/>
        <v>159062</v>
      </c>
      <c r="AE2249" s="17">
        <f t="shared" si="107"/>
        <v>0</v>
      </c>
      <c r="AF2249" s="10" t="s">
        <v>5439</v>
      </c>
      <c r="AG2249" s="5" t="s">
        <v>301</v>
      </c>
    </row>
    <row r="2250" spans="1:36" ht="10" customHeight="1" x14ac:dyDescent="0.2">
      <c r="A2250" s="5" t="s">
        <v>4712</v>
      </c>
      <c r="B2250" s="5" t="s">
        <v>4713</v>
      </c>
      <c r="D2250" s="5" t="s">
        <v>5440</v>
      </c>
      <c r="E2250" s="10" t="s">
        <v>48</v>
      </c>
      <c r="I2250" s="11">
        <v>2</v>
      </c>
      <c r="K2250" s="12"/>
      <c r="O2250" s="12"/>
      <c r="P2250" s="13">
        <v>188964</v>
      </c>
      <c r="Q2250" s="13">
        <v>49284</v>
      </c>
      <c r="S2250" s="13">
        <v>62495</v>
      </c>
      <c r="U2250" s="13">
        <v>62495</v>
      </c>
      <c r="AC2250" s="16" t="str">
        <f t="shared" si="105"/>
        <v>ADD</v>
      </c>
      <c r="AD2250" s="17">
        <f t="shared" si="106"/>
        <v>62495</v>
      </c>
      <c r="AE2250" s="17">
        <f t="shared" si="107"/>
        <v>0</v>
      </c>
      <c r="AF2250" s="10" t="s">
        <v>5441</v>
      </c>
      <c r="AG2250" s="5" t="s">
        <v>223</v>
      </c>
      <c r="AH2250" s="5" t="s">
        <v>5442</v>
      </c>
    </row>
    <row r="2251" spans="1:36" ht="10" customHeight="1" x14ac:dyDescent="0.2">
      <c r="A2251" s="5" t="s">
        <v>4712</v>
      </c>
      <c r="B2251" s="5" t="s">
        <v>4713</v>
      </c>
      <c r="D2251" s="5" t="s">
        <v>5443</v>
      </c>
      <c r="E2251" s="10" t="s">
        <v>57</v>
      </c>
      <c r="F2251" s="5" t="s">
        <v>5440</v>
      </c>
      <c r="I2251" s="11">
        <v>2</v>
      </c>
      <c r="K2251" s="10" t="s">
        <v>50</v>
      </c>
      <c r="L2251" s="5" t="s">
        <v>51</v>
      </c>
      <c r="M2251" s="5" t="s">
        <v>119</v>
      </c>
      <c r="N2251" s="5" t="s">
        <v>139</v>
      </c>
      <c r="O2251" s="12"/>
      <c r="P2251" s="13">
        <v>51202</v>
      </c>
      <c r="Q2251" s="13">
        <v>32395</v>
      </c>
      <c r="S2251" s="13">
        <v>42932</v>
      </c>
      <c r="AC2251" s="16" t="str">
        <f t="shared" si="105"/>
        <v/>
      </c>
      <c r="AD2251" s="17">
        <f t="shared" si="106"/>
        <v>42932</v>
      </c>
      <c r="AE2251" s="17">
        <f t="shared" si="107"/>
        <v>0</v>
      </c>
      <c r="AF2251" s="10" t="s">
        <v>5444</v>
      </c>
      <c r="AG2251" s="5" t="s">
        <v>3415</v>
      </c>
      <c r="AH2251" s="5" t="s">
        <v>5442</v>
      </c>
    </row>
    <row r="2252" spans="1:36" ht="10" customHeight="1" x14ac:dyDescent="0.2">
      <c r="A2252" s="5" t="s">
        <v>4712</v>
      </c>
      <c r="B2252" s="5" t="s">
        <v>4713</v>
      </c>
      <c r="D2252" s="5" t="s">
        <v>5445</v>
      </c>
      <c r="E2252" s="10" t="s">
        <v>57</v>
      </c>
      <c r="F2252" s="5" t="s">
        <v>5440</v>
      </c>
      <c r="I2252" s="11">
        <v>6</v>
      </c>
      <c r="K2252" s="12"/>
      <c r="O2252" s="12"/>
      <c r="P2252" s="13">
        <v>1316</v>
      </c>
      <c r="Q2252" s="13">
        <v>1959</v>
      </c>
      <c r="S2252" s="13">
        <v>3313</v>
      </c>
      <c r="AC2252" s="16" t="str">
        <f t="shared" si="105"/>
        <v/>
      </c>
      <c r="AD2252" s="17">
        <f t="shared" si="106"/>
        <v>3313</v>
      </c>
      <c r="AE2252" s="17">
        <f t="shared" si="107"/>
        <v>0</v>
      </c>
      <c r="AF2252" s="10" t="s">
        <v>5446</v>
      </c>
      <c r="AG2252" s="5" t="s">
        <v>3395</v>
      </c>
      <c r="AH2252" s="5" t="s">
        <v>5442</v>
      </c>
      <c r="AI2252" s="5" t="s">
        <v>5447</v>
      </c>
    </row>
    <row r="2253" spans="1:36" ht="10" customHeight="1" x14ac:dyDescent="0.2">
      <c r="A2253" s="5" t="s">
        <v>5448</v>
      </c>
      <c r="B2253" s="5" t="s">
        <v>4713</v>
      </c>
      <c r="D2253" s="5" t="s">
        <v>5449</v>
      </c>
      <c r="E2253" s="12"/>
      <c r="I2253" s="11">
        <v>6</v>
      </c>
      <c r="J2253" s="5" t="s">
        <v>4425</v>
      </c>
      <c r="K2253" s="12"/>
      <c r="O2253" s="12"/>
      <c r="P2253" s="13">
        <v>751016</v>
      </c>
      <c r="Q2253" s="13">
        <v>750265</v>
      </c>
      <c r="S2253" s="13">
        <v>1307122</v>
      </c>
      <c r="AC2253" s="16" t="str">
        <f t="shared" si="105"/>
        <v>ADD</v>
      </c>
      <c r="AD2253" s="17">
        <f t="shared" si="106"/>
        <v>1307122</v>
      </c>
      <c r="AE2253" s="17">
        <f t="shared" si="107"/>
        <v>0</v>
      </c>
      <c r="AF2253" s="10" t="s">
        <v>5450</v>
      </c>
      <c r="AG2253" s="5" t="s">
        <v>664</v>
      </c>
      <c r="AH2253" s="5" t="s">
        <v>5187</v>
      </c>
      <c r="AI2253" s="5" t="s">
        <v>5451</v>
      </c>
      <c r="AJ2253" s="5" t="s">
        <v>5452</v>
      </c>
    </row>
    <row r="2254" spans="1:36" ht="10" customHeight="1" x14ac:dyDescent="0.2">
      <c r="A2254" s="5" t="s">
        <v>5448</v>
      </c>
      <c r="B2254" s="5" t="s">
        <v>4713</v>
      </c>
      <c r="D2254" s="5" t="s">
        <v>5453</v>
      </c>
      <c r="E2254" s="12"/>
      <c r="I2254" s="11">
        <v>6</v>
      </c>
      <c r="J2254" s="5" t="s">
        <v>4425</v>
      </c>
      <c r="K2254" s="12"/>
      <c r="O2254" s="12"/>
      <c r="P2254" s="13">
        <v>2345410</v>
      </c>
      <c r="Q2254" s="13">
        <v>2282625</v>
      </c>
      <c r="S2254" s="13">
        <v>3012564</v>
      </c>
      <c r="AC2254" s="16" t="str">
        <f t="shared" si="105"/>
        <v>ADD</v>
      </c>
      <c r="AD2254" s="17">
        <f t="shared" si="106"/>
        <v>3012564</v>
      </c>
      <c r="AE2254" s="17">
        <f t="shared" si="107"/>
        <v>0</v>
      </c>
      <c r="AF2254" s="10" t="s">
        <v>5454</v>
      </c>
      <c r="AG2254" s="5" t="s">
        <v>664</v>
      </c>
      <c r="AH2254" s="5" t="s">
        <v>5187</v>
      </c>
      <c r="AI2254" s="5" t="s">
        <v>5451</v>
      </c>
      <c r="AJ2254" s="5" t="s">
        <v>5455</v>
      </c>
    </row>
    <row r="2255" spans="1:36" ht="10" customHeight="1" x14ac:dyDescent="0.2">
      <c r="A2255" s="5" t="s">
        <v>5448</v>
      </c>
      <c r="B2255" s="5" t="s">
        <v>4713</v>
      </c>
      <c r="D2255" s="5" t="s">
        <v>5456</v>
      </c>
      <c r="E2255" s="10" t="s">
        <v>57</v>
      </c>
      <c r="F2255" s="5" t="s">
        <v>5457</v>
      </c>
      <c r="I2255" s="11">
        <v>2</v>
      </c>
      <c r="J2255" s="5" t="s">
        <v>4328</v>
      </c>
      <c r="K2255" s="12"/>
      <c r="O2255" s="12"/>
      <c r="P2255" s="13">
        <v>1469442</v>
      </c>
      <c r="Q2255" s="13">
        <v>1574904</v>
      </c>
      <c r="S2255" s="13">
        <v>1775443</v>
      </c>
      <c r="AC2255" s="16" t="str">
        <f t="shared" si="105"/>
        <v/>
      </c>
      <c r="AD2255" s="17">
        <f t="shared" si="106"/>
        <v>1775443</v>
      </c>
      <c r="AE2255" s="17">
        <f t="shared" si="107"/>
        <v>0</v>
      </c>
      <c r="AF2255" s="10" t="s">
        <v>5458</v>
      </c>
      <c r="AG2255" s="5" t="s">
        <v>841</v>
      </c>
      <c r="AH2255" s="5" t="s">
        <v>4717</v>
      </c>
      <c r="AI2255" s="5" t="s">
        <v>5459</v>
      </c>
      <c r="AJ2255" s="5" t="s">
        <v>5460</v>
      </c>
    </row>
    <row r="2256" spans="1:36" ht="10" customHeight="1" x14ac:dyDescent="0.2">
      <c r="A2256" s="5" t="s">
        <v>5448</v>
      </c>
      <c r="B2256" s="5" t="s">
        <v>4713</v>
      </c>
      <c r="D2256" s="5" t="s">
        <v>5461</v>
      </c>
      <c r="E2256" s="10" t="s">
        <v>57</v>
      </c>
      <c r="F2256" s="5" t="s">
        <v>5457</v>
      </c>
      <c r="I2256" s="11">
        <v>2</v>
      </c>
      <c r="J2256" s="5" t="s">
        <v>4328</v>
      </c>
      <c r="K2256" s="12"/>
      <c r="O2256" s="12"/>
      <c r="P2256" s="13">
        <v>1445034</v>
      </c>
      <c r="Q2256" s="13">
        <v>1538949</v>
      </c>
      <c r="S2256" s="13">
        <v>1711438</v>
      </c>
      <c r="AC2256" s="16" t="str">
        <f t="shared" si="105"/>
        <v/>
      </c>
      <c r="AD2256" s="17">
        <f t="shared" si="106"/>
        <v>1711438</v>
      </c>
      <c r="AE2256" s="17">
        <f t="shared" si="107"/>
        <v>0</v>
      </c>
      <c r="AF2256" s="10" t="s">
        <v>5462</v>
      </c>
      <c r="AG2256" s="5" t="s">
        <v>841</v>
      </c>
      <c r="AH2256" s="5" t="s">
        <v>4717</v>
      </c>
      <c r="AI2256" s="5" t="s">
        <v>5459</v>
      </c>
      <c r="AJ2256" s="5" t="s">
        <v>5460</v>
      </c>
    </row>
    <row r="2257" spans="1:36" ht="10" customHeight="1" x14ac:dyDescent="0.2">
      <c r="A2257" s="5" t="s">
        <v>5448</v>
      </c>
      <c r="B2257" s="5" t="s">
        <v>4713</v>
      </c>
      <c r="D2257" s="5" t="s">
        <v>5463</v>
      </c>
      <c r="E2257" s="10" t="s">
        <v>57</v>
      </c>
      <c r="F2257" s="5" t="s">
        <v>5457</v>
      </c>
      <c r="I2257" s="11">
        <v>2</v>
      </c>
      <c r="J2257" s="5" t="s">
        <v>4328</v>
      </c>
      <c r="K2257" s="12"/>
      <c r="O2257" s="12"/>
      <c r="P2257" s="13">
        <v>1396689</v>
      </c>
      <c r="Q2257" s="13">
        <v>1488706</v>
      </c>
      <c r="S2257" s="13">
        <v>1659169</v>
      </c>
      <c r="AC2257" s="16" t="str">
        <f t="shared" si="105"/>
        <v/>
      </c>
      <c r="AD2257" s="17">
        <f t="shared" si="106"/>
        <v>1659169</v>
      </c>
      <c r="AE2257" s="17">
        <f t="shared" si="107"/>
        <v>0</v>
      </c>
      <c r="AF2257" s="10" t="s">
        <v>5464</v>
      </c>
      <c r="AG2257" s="5" t="s">
        <v>841</v>
      </c>
      <c r="AH2257" s="5" t="s">
        <v>4717</v>
      </c>
      <c r="AI2257" s="5" t="s">
        <v>5459</v>
      </c>
      <c r="AJ2257" s="5" t="s">
        <v>5460</v>
      </c>
    </row>
    <row r="2258" spans="1:36" ht="10" customHeight="1" x14ac:dyDescent="0.2">
      <c r="A2258" s="5" t="s">
        <v>5448</v>
      </c>
      <c r="B2258" s="5" t="s">
        <v>4713</v>
      </c>
      <c r="D2258" s="5" t="s">
        <v>5465</v>
      </c>
      <c r="E2258" s="10" t="s">
        <v>57</v>
      </c>
      <c r="F2258" s="5" t="s">
        <v>5457</v>
      </c>
      <c r="I2258" s="11">
        <v>2</v>
      </c>
      <c r="J2258" s="5" t="s">
        <v>4328</v>
      </c>
      <c r="K2258" s="12"/>
      <c r="O2258" s="12"/>
      <c r="P2258" s="13">
        <v>0</v>
      </c>
      <c r="Q2258" s="13">
        <v>0</v>
      </c>
      <c r="S2258" s="13">
        <v>0</v>
      </c>
      <c r="AC2258" s="16" t="str">
        <f t="shared" si="105"/>
        <v/>
      </c>
      <c r="AD2258" s="17">
        <f t="shared" si="106"/>
        <v>0</v>
      </c>
      <c r="AE2258" s="17">
        <f t="shared" si="107"/>
        <v>0</v>
      </c>
      <c r="AF2258" s="10" t="s">
        <v>5466</v>
      </c>
      <c r="AG2258" s="5" t="s">
        <v>841</v>
      </c>
      <c r="AH2258" s="5" t="s">
        <v>4717</v>
      </c>
      <c r="AI2258" s="5" t="s">
        <v>5459</v>
      </c>
      <c r="AJ2258" s="5" t="s">
        <v>5460</v>
      </c>
    </row>
    <row r="2259" spans="1:36" ht="10" customHeight="1" x14ac:dyDescent="0.2">
      <c r="A2259" s="5" t="s">
        <v>5448</v>
      </c>
      <c r="B2259" s="5" t="s">
        <v>4713</v>
      </c>
      <c r="D2259" s="5" t="s">
        <v>5467</v>
      </c>
      <c r="E2259" s="10" t="s">
        <v>57</v>
      </c>
      <c r="F2259" s="5" t="s">
        <v>5457</v>
      </c>
      <c r="I2259" s="11">
        <v>2</v>
      </c>
      <c r="J2259" s="5" t="s">
        <v>4328</v>
      </c>
      <c r="K2259" s="12"/>
      <c r="O2259" s="12"/>
      <c r="P2259" s="13">
        <v>48345</v>
      </c>
      <c r="Q2259" s="13">
        <v>50243</v>
      </c>
      <c r="S2259" s="13">
        <v>52269</v>
      </c>
      <c r="AC2259" s="16" t="str">
        <f t="shared" si="105"/>
        <v/>
      </c>
      <c r="AD2259" s="17">
        <f t="shared" si="106"/>
        <v>52269</v>
      </c>
      <c r="AE2259" s="17">
        <f t="shared" si="107"/>
        <v>0</v>
      </c>
      <c r="AF2259" s="10" t="s">
        <v>5468</v>
      </c>
      <c r="AG2259" s="5" t="s">
        <v>841</v>
      </c>
      <c r="AH2259" s="5" t="s">
        <v>4717</v>
      </c>
      <c r="AI2259" s="5" t="s">
        <v>5459</v>
      </c>
      <c r="AJ2259" s="5" t="s">
        <v>5460</v>
      </c>
    </row>
    <row r="2260" spans="1:36" ht="10" customHeight="1" x14ac:dyDescent="0.2">
      <c r="A2260" s="5" t="s">
        <v>5448</v>
      </c>
      <c r="B2260" s="5" t="s">
        <v>4713</v>
      </c>
      <c r="D2260" s="5" t="s">
        <v>5469</v>
      </c>
      <c r="E2260" s="10" t="s">
        <v>57</v>
      </c>
      <c r="F2260" s="5" t="s">
        <v>5457</v>
      </c>
      <c r="I2260" s="11">
        <v>2</v>
      </c>
      <c r="J2260" s="5" t="s">
        <v>4328</v>
      </c>
      <c r="K2260" s="12"/>
      <c r="O2260" s="12"/>
      <c r="P2260" s="13">
        <v>24408</v>
      </c>
      <c r="Q2260" s="13">
        <v>35955</v>
      </c>
      <c r="S2260" s="13">
        <v>64005</v>
      </c>
      <c r="AC2260" s="16" t="str">
        <f t="shared" si="105"/>
        <v/>
      </c>
      <c r="AD2260" s="17">
        <f t="shared" si="106"/>
        <v>64005</v>
      </c>
      <c r="AE2260" s="17">
        <f t="shared" si="107"/>
        <v>0</v>
      </c>
      <c r="AF2260" s="10" t="s">
        <v>5470</v>
      </c>
      <c r="AG2260" s="5" t="s">
        <v>841</v>
      </c>
      <c r="AH2260" s="5" t="s">
        <v>4717</v>
      </c>
      <c r="AI2260" s="5" t="s">
        <v>5459</v>
      </c>
      <c r="AJ2260" s="5" t="s">
        <v>5460</v>
      </c>
    </row>
    <row r="2261" spans="1:36" ht="10" customHeight="1" x14ac:dyDescent="0.2">
      <c r="A2261" s="5" t="s">
        <v>5448</v>
      </c>
      <c r="B2261" s="5" t="s">
        <v>4713</v>
      </c>
      <c r="D2261" s="5" t="s">
        <v>5471</v>
      </c>
      <c r="E2261" s="10" t="s">
        <v>57</v>
      </c>
      <c r="F2261" s="5" t="s">
        <v>5457</v>
      </c>
      <c r="I2261" s="11">
        <v>2</v>
      </c>
      <c r="J2261" s="5" t="s">
        <v>4328</v>
      </c>
      <c r="K2261" s="12"/>
      <c r="O2261" s="12"/>
      <c r="P2261" s="13">
        <v>5192</v>
      </c>
      <c r="Q2261" s="13">
        <v>7648</v>
      </c>
      <c r="S2261" s="13">
        <v>13621</v>
      </c>
      <c r="AC2261" s="16" t="str">
        <f t="shared" si="105"/>
        <v/>
      </c>
      <c r="AD2261" s="17">
        <f t="shared" si="106"/>
        <v>13621</v>
      </c>
      <c r="AE2261" s="17">
        <f t="shared" si="107"/>
        <v>0</v>
      </c>
      <c r="AF2261" s="10" t="s">
        <v>5472</v>
      </c>
      <c r="AG2261" s="5" t="s">
        <v>841</v>
      </c>
      <c r="AH2261" s="5" t="s">
        <v>4717</v>
      </c>
      <c r="AI2261" s="5" t="s">
        <v>5459</v>
      </c>
      <c r="AJ2261" s="5" t="s">
        <v>5460</v>
      </c>
    </row>
    <row r="2262" spans="1:36" ht="10" customHeight="1" x14ac:dyDescent="0.2">
      <c r="A2262" s="5" t="s">
        <v>5448</v>
      </c>
      <c r="B2262" s="5" t="s">
        <v>4713</v>
      </c>
      <c r="D2262" s="5" t="s">
        <v>5473</v>
      </c>
      <c r="E2262" s="10" t="s">
        <v>57</v>
      </c>
      <c r="F2262" s="5" t="s">
        <v>5457</v>
      </c>
      <c r="I2262" s="11">
        <v>2</v>
      </c>
      <c r="J2262" s="5" t="s">
        <v>4328</v>
      </c>
      <c r="K2262" s="12"/>
      <c r="O2262" s="12"/>
      <c r="P2262" s="13">
        <v>232</v>
      </c>
      <c r="Q2262" s="13">
        <v>341</v>
      </c>
      <c r="S2262" s="13">
        <v>608</v>
      </c>
      <c r="AC2262" s="16" t="str">
        <f t="shared" si="105"/>
        <v/>
      </c>
      <c r="AD2262" s="17">
        <f t="shared" si="106"/>
        <v>608</v>
      </c>
      <c r="AE2262" s="17">
        <f t="shared" si="107"/>
        <v>0</v>
      </c>
      <c r="AF2262" s="10" t="s">
        <v>5474</v>
      </c>
      <c r="AG2262" s="5" t="s">
        <v>841</v>
      </c>
      <c r="AH2262" s="5" t="s">
        <v>4717</v>
      </c>
      <c r="AI2262" s="5" t="s">
        <v>5459</v>
      </c>
      <c r="AJ2262" s="5" t="s">
        <v>5460</v>
      </c>
    </row>
    <row r="2263" spans="1:36" ht="10" customHeight="1" x14ac:dyDescent="0.2">
      <c r="A2263" s="5" t="s">
        <v>5448</v>
      </c>
      <c r="B2263" s="5" t="s">
        <v>4713</v>
      </c>
      <c r="D2263" s="5" t="s">
        <v>5475</v>
      </c>
      <c r="E2263" s="10" t="s">
        <v>57</v>
      </c>
      <c r="F2263" s="5" t="s">
        <v>5457</v>
      </c>
      <c r="I2263" s="11">
        <v>2</v>
      </c>
      <c r="J2263" s="5" t="s">
        <v>4328</v>
      </c>
      <c r="K2263" s="12"/>
      <c r="O2263" s="12"/>
      <c r="P2263" s="13">
        <v>15789</v>
      </c>
      <c r="Q2263" s="13">
        <v>23258</v>
      </c>
      <c r="S2263" s="13">
        <v>41393</v>
      </c>
      <c r="AC2263" s="16" t="str">
        <f t="shared" si="105"/>
        <v/>
      </c>
      <c r="AD2263" s="17">
        <f t="shared" si="106"/>
        <v>41393</v>
      </c>
      <c r="AE2263" s="17">
        <f t="shared" si="107"/>
        <v>0</v>
      </c>
      <c r="AF2263" s="10" t="s">
        <v>5476</v>
      </c>
      <c r="AG2263" s="5" t="s">
        <v>841</v>
      </c>
      <c r="AH2263" s="5" t="s">
        <v>4717</v>
      </c>
      <c r="AI2263" s="5" t="s">
        <v>5459</v>
      </c>
      <c r="AJ2263" s="5" t="s">
        <v>5460</v>
      </c>
    </row>
    <row r="2264" spans="1:36" ht="10" customHeight="1" x14ac:dyDescent="0.2">
      <c r="A2264" s="5" t="s">
        <v>5448</v>
      </c>
      <c r="B2264" s="5" t="s">
        <v>4713</v>
      </c>
      <c r="D2264" s="5" t="s">
        <v>5477</v>
      </c>
      <c r="E2264" s="10" t="s">
        <v>57</v>
      </c>
      <c r="F2264" s="5" t="s">
        <v>5457</v>
      </c>
      <c r="I2264" s="11">
        <v>2</v>
      </c>
      <c r="J2264" s="5" t="s">
        <v>4328</v>
      </c>
      <c r="K2264" s="12"/>
      <c r="O2264" s="12"/>
      <c r="P2264" s="13">
        <v>0</v>
      </c>
      <c r="Q2264" s="13">
        <v>0</v>
      </c>
      <c r="S2264" s="13">
        <v>0</v>
      </c>
      <c r="AC2264" s="16" t="str">
        <f t="shared" si="105"/>
        <v/>
      </c>
      <c r="AD2264" s="17">
        <f t="shared" si="106"/>
        <v>0</v>
      </c>
      <c r="AE2264" s="17">
        <f t="shared" si="107"/>
        <v>0</v>
      </c>
      <c r="AF2264" s="10" t="s">
        <v>5478</v>
      </c>
      <c r="AG2264" s="5" t="s">
        <v>841</v>
      </c>
      <c r="AH2264" s="5" t="s">
        <v>4717</v>
      </c>
      <c r="AI2264" s="5" t="s">
        <v>5459</v>
      </c>
      <c r="AJ2264" s="5" t="s">
        <v>5460</v>
      </c>
    </row>
    <row r="2265" spans="1:36" ht="10" customHeight="1" x14ac:dyDescent="0.2">
      <c r="A2265" s="5" t="s">
        <v>5448</v>
      </c>
      <c r="B2265" s="5" t="s">
        <v>4713</v>
      </c>
      <c r="D2265" s="5" t="s">
        <v>5479</v>
      </c>
      <c r="E2265" s="10" t="s">
        <v>57</v>
      </c>
      <c r="F2265" s="5" t="s">
        <v>5457</v>
      </c>
      <c r="I2265" s="11">
        <v>2</v>
      </c>
      <c r="J2265" s="5" t="s">
        <v>4328</v>
      </c>
      <c r="K2265" s="12"/>
      <c r="O2265" s="12"/>
      <c r="P2265" s="13">
        <v>3195</v>
      </c>
      <c r="Q2265" s="13">
        <v>4708</v>
      </c>
      <c r="S2265" s="13">
        <v>8383</v>
      </c>
      <c r="AC2265" s="16" t="str">
        <f t="shared" si="105"/>
        <v/>
      </c>
      <c r="AD2265" s="17">
        <f t="shared" si="106"/>
        <v>8383</v>
      </c>
      <c r="AE2265" s="17">
        <f t="shared" si="107"/>
        <v>0</v>
      </c>
      <c r="AF2265" s="10" t="s">
        <v>5480</v>
      </c>
      <c r="AG2265" s="5" t="s">
        <v>841</v>
      </c>
      <c r="AH2265" s="5" t="s">
        <v>4717</v>
      </c>
      <c r="AI2265" s="5" t="s">
        <v>5459</v>
      </c>
      <c r="AJ2265" s="5" t="s">
        <v>5460</v>
      </c>
    </row>
    <row r="2266" spans="1:36" ht="10" customHeight="1" x14ac:dyDescent="0.2">
      <c r="A2266" s="5" t="s">
        <v>5448</v>
      </c>
      <c r="B2266" s="5" t="s">
        <v>4713</v>
      </c>
      <c r="D2266" s="5" t="s">
        <v>5481</v>
      </c>
      <c r="E2266" s="10" t="s">
        <v>57</v>
      </c>
      <c r="F2266" s="5" t="s">
        <v>5457</v>
      </c>
      <c r="I2266" s="11">
        <v>2</v>
      </c>
      <c r="J2266" s="5" t="s">
        <v>4328</v>
      </c>
      <c r="K2266" s="12"/>
      <c r="O2266" s="12"/>
      <c r="P2266" s="13">
        <v>627</v>
      </c>
      <c r="Q2266" s="13">
        <v>923</v>
      </c>
      <c r="S2266" s="13">
        <v>1643</v>
      </c>
      <c r="AC2266" s="16" t="str">
        <f t="shared" si="105"/>
        <v/>
      </c>
      <c r="AD2266" s="17">
        <f t="shared" si="106"/>
        <v>1643</v>
      </c>
      <c r="AE2266" s="17">
        <f t="shared" si="107"/>
        <v>0</v>
      </c>
      <c r="AF2266" s="10" t="s">
        <v>5482</v>
      </c>
      <c r="AG2266" s="5" t="s">
        <v>841</v>
      </c>
      <c r="AH2266" s="5" t="s">
        <v>4717</v>
      </c>
      <c r="AI2266" s="5" t="s">
        <v>5459</v>
      </c>
      <c r="AJ2266" s="5" t="s">
        <v>5460</v>
      </c>
    </row>
    <row r="2267" spans="1:36" ht="10" customHeight="1" x14ac:dyDescent="0.2">
      <c r="A2267" s="5" t="s">
        <v>5448</v>
      </c>
      <c r="B2267" s="5" t="s">
        <v>4713</v>
      </c>
      <c r="D2267" s="5" t="s">
        <v>5483</v>
      </c>
      <c r="E2267" s="10" t="s">
        <v>57</v>
      </c>
      <c r="F2267" s="5" t="s">
        <v>5457</v>
      </c>
      <c r="I2267" s="11">
        <v>2</v>
      </c>
      <c r="J2267" s="5" t="s">
        <v>4328</v>
      </c>
      <c r="K2267" s="12"/>
      <c r="O2267" s="12"/>
      <c r="P2267" s="13">
        <v>3845</v>
      </c>
      <c r="Q2267" s="13">
        <v>5665</v>
      </c>
      <c r="S2267" s="13">
        <v>10085</v>
      </c>
      <c r="AC2267" s="16" t="str">
        <f t="shared" si="105"/>
        <v/>
      </c>
      <c r="AD2267" s="17">
        <f t="shared" si="106"/>
        <v>10085</v>
      </c>
      <c r="AE2267" s="17">
        <f t="shared" si="107"/>
        <v>0</v>
      </c>
      <c r="AF2267" s="10" t="s">
        <v>5484</v>
      </c>
      <c r="AG2267" s="5" t="s">
        <v>841</v>
      </c>
      <c r="AH2267" s="5" t="s">
        <v>4717</v>
      </c>
      <c r="AI2267" s="5" t="s">
        <v>5459</v>
      </c>
      <c r="AJ2267" s="5" t="s">
        <v>5460</v>
      </c>
    </row>
    <row r="2268" spans="1:36" ht="10" customHeight="1" x14ac:dyDescent="0.2">
      <c r="A2268" s="5" t="s">
        <v>5448</v>
      </c>
      <c r="B2268" s="5" t="s">
        <v>4713</v>
      </c>
      <c r="D2268" s="5" t="s">
        <v>5485</v>
      </c>
      <c r="E2268" s="10" t="s">
        <v>57</v>
      </c>
      <c r="F2268" s="5" t="s">
        <v>5457</v>
      </c>
      <c r="I2268" s="11">
        <v>2</v>
      </c>
      <c r="J2268" s="5" t="s">
        <v>4328</v>
      </c>
      <c r="K2268" s="12"/>
      <c r="O2268" s="12"/>
      <c r="P2268" s="13">
        <v>724</v>
      </c>
      <c r="Q2268" s="13">
        <v>1067</v>
      </c>
      <c r="S2268" s="13">
        <v>1900</v>
      </c>
      <c r="AC2268" s="16" t="str">
        <f t="shared" si="105"/>
        <v/>
      </c>
      <c r="AD2268" s="17">
        <f t="shared" si="106"/>
        <v>1900</v>
      </c>
      <c r="AE2268" s="17">
        <f t="shared" si="107"/>
        <v>0</v>
      </c>
      <c r="AF2268" s="10" t="s">
        <v>5486</v>
      </c>
      <c r="AG2268" s="5" t="s">
        <v>841</v>
      </c>
      <c r="AH2268" s="5" t="s">
        <v>4717</v>
      </c>
      <c r="AI2268" s="5" t="s">
        <v>5459</v>
      </c>
      <c r="AJ2268" s="5" t="s">
        <v>5460</v>
      </c>
    </row>
    <row r="2269" spans="1:36" ht="10" customHeight="1" x14ac:dyDescent="0.2">
      <c r="A2269" s="5" t="s">
        <v>5448</v>
      </c>
      <c r="B2269" s="5" t="s">
        <v>4713</v>
      </c>
      <c r="D2269" s="5" t="s">
        <v>5487</v>
      </c>
      <c r="E2269" s="10" t="s">
        <v>57</v>
      </c>
      <c r="F2269" s="5" t="s">
        <v>5457</v>
      </c>
      <c r="I2269" s="11">
        <v>2</v>
      </c>
      <c r="J2269" s="5" t="s">
        <v>4328</v>
      </c>
      <c r="K2269" s="12"/>
      <c r="O2269" s="12"/>
      <c r="P2269" s="13">
        <v>2542</v>
      </c>
      <c r="Q2269" s="13">
        <v>3745</v>
      </c>
      <c r="S2269" s="13">
        <v>6666</v>
      </c>
      <c r="AC2269" s="16" t="str">
        <f t="shared" si="105"/>
        <v/>
      </c>
      <c r="AD2269" s="17">
        <f t="shared" si="106"/>
        <v>6666</v>
      </c>
      <c r="AE2269" s="17">
        <f t="shared" si="107"/>
        <v>0</v>
      </c>
      <c r="AF2269" s="10" t="s">
        <v>5488</v>
      </c>
      <c r="AG2269" s="5" t="s">
        <v>841</v>
      </c>
      <c r="AH2269" s="5" t="s">
        <v>4717</v>
      </c>
      <c r="AI2269" s="5" t="s">
        <v>5459</v>
      </c>
      <c r="AJ2269" s="5" t="s">
        <v>5460</v>
      </c>
    </row>
    <row r="2270" spans="1:36" ht="10" customHeight="1" x14ac:dyDescent="0.2">
      <c r="A2270" s="5" t="s">
        <v>5448</v>
      </c>
      <c r="B2270" s="5" t="s">
        <v>4713</v>
      </c>
      <c r="D2270" s="5" t="s">
        <v>5489</v>
      </c>
      <c r="E2270" s="10" t="s">
        <v>57</v>
      </c>
      <c r="F2270" s="5" t="s">
        <v>5457</v>
      </c>
      <c r="I2270" s="11">
        <v>2</v>
      </c>
      <c r="J2270" s="5" t="s">
        <v>4328</v>
      </c>
      <c r="K2270" s="12"/>
      <c r="O2270" s="12"/>
      <c r="P2270" s="13">
        <v>579</v>
      </c>
      <c r="Q2270" s="13">
        <v>853</v>
      </c>
      <c r="S2270" s="13">
        <v>1519</v>
      </c>
      <c r="AC2270" s="16" t="str">
        <f t="shared" si="105"/>
        <v/>
      </c>
      <c r="AD2270" s="17">
        <f t="shared" si="106"/>
        <v>1519</v>
      </c>
      <c r="AE2270" s="17">
        <f t="shared" si="107"/>
        <v>0</v>
      </c>
      <c r="AF2270" s="10" t="s">
        <v>5490</v>
      </c>
      <c r="AG2270" s="5" t="s">
        <v>841</v>
      </c>
      <c r="AH2270" s="5" t="s">
        <v>4717</v>
      </c>
      <c r="AI2270" s="5" t="s">
        <v>5459</v>
      </c>
      <c r="AJ2270" s="5" t="s">
        <v>5460</v>
      </c>
    </row>
    <row r="2271" spans="1:36" ht="10" customHeight="1" x14ac:dyDescent="0.2">
      <c r="A2271" s="5" t="s">
        <v>5448</v>
      </c>
      <c r="B2271" s="5" t="s">
        <v>4713</v>
      </c>
      <c r="D2271" s="5" t="s">
        <v>5491</v>
      </c>
      <c r="E2271" s="10" t="s">
        <v>48</v>
      </c>
      <c r="I2271" s="11">
        <v>2</v>
      </c>
      <c r="J2271" s="5" t="s">
        <v>4328</v>
      </c>
      <c r="K2271" s="12"/>
      <c r="O2271" s="12"/>
      <c r="P2271" s="13">
        <v>1473914</v>
      </c>
      <c r="Q2271" s="13">
        <v>1581492</v>
      </c>
      <c r="S2271" s="13">
        <v>1787171</v>
      </c>
      <c r="AC2271" s="16" t="str">
        <f t="shared" si="105"/>
        <v>ADD</v>
      </c>
      <c r="AD2271" s="17">
        <f t="shared" si="106"/>
        <v>1787171</v>
      </c>
      <c r="AE2271" s="17">
        <f t="shared" si="107"/>
        <v>0</v>
      </c>
      <c r="AF2271" s="10" t="s">
        <v>5492</v>
      </c>
      <c r="AG2271" s="5" t="s">
        <v>841</v>
      </c>
      <c r="AH2271" s="5" t="s">
        <v>4717</v>
      </c>
      <c r="AI2271" s="5" t="s">
        <v>5459</v>
      </c>
      <c r="AJ2271" s="5" t="s">
        <v>5460</v>
      </c>
    </row>
    <row r="2272" spans="1:36" ht="10" customHeight="1" x14ac:dyDescent="0.2">
      <c r="A2272" s="5" t="s">
        <v>5448</v>
      </c>
      <c r="B2272" s="5" t="s">
        <v>4713</v>
      </c>
      <c r="D2272" s="5" t="s">
        <v>5493</v>
      </c>
      <c r="E2272" s="10" t="s">
        <v>349</v>
      </c>
      <c r="F2272" s="5" t="s">
        <v>5457</v>
      </c>
      <c r="I2272" s="11">
        <v>2</v>
      </c>
      <c r="J2272" s="5" t="s">
        <v>4328</v>
      </c>
      <c r="K2272" s="12"/>
      <c r="O2272" s="12"/>
      <c r="P2272" s="13">
        <v>433383</v>
      </c>
      <c r="Q2272" s="13">
        <v>550873</v>
      </c>
      <c r="S2272" s="13">
        <v>574799</v>
      </c>
      <c r="AC2272" s="16" t="str">
        <f t="shared" si="105"/>
        <v>ALT</v>
      </c>
      <c r="AD2272" s="17">
        <f t="shared" si="106"/>
        <v>574799</v>
      </c>
      <c r="AE2272" s="17">
        <f t="shared" si="107"/>
        <v>0</v>
      </c>
      <c r="AF2272" s="10" t="s">
        <v>5494</v>
      </c>
      <c r="AG2272" s="5" t="s">
        <v>5495</v>
      </c>
      <c r="AH2272" s="5" t="s">
        <v>4717</v>
      </c>
      <c r="AI2272" s="5" t="s">
        <v>5459</v>
      </c>
      <c r="AJ2272" s="5" t="s">
        <v>5496</v>
      </c>
    </row>
    <row r="2273" spans="1:36" ht="10" customHeight="1" x14ac:dyDescent="0.2">
      <c r="A2273" s="5" t="s">
        <v>5448</v>
      </c>
      <c r="B2273" s="5" t="s">
        <v>4713</v>
      </c>
      <c r="D2273" s="5" t="s">
        <v>5497</v>
      </c>
      <c r="E2273" s="10" t="s">
        <v>349</v>
      </c>
      <c r="F2273" s="5" t="s">
        <v>5457</v>
      </c>
      <c r="I2273" s="11">
        <v>2</v>
      </c>
      <c r="J2273" s="5" t="s">
        <v>4328</v>
      </c>
      <c r="K2273" s="12"/>
      <c r="O2273" s="12"/>
      <c r="P2273" s="13">
        <v>21266</v>
      </c>
      <c r="Q2273" s="13">
        <v>41041</v>
      </c>
      <c r="S2273" s="13">
        <v>24059</v>
      </c>
      <c r="AC2273" s="16" t="str">
        <f t="shared" si="105"/>
        <v>ALT</v>
      </c>
      <c r="AD2273" s="17">
        <f t="shared" si="106"/>
        <v>24059</v>
      </c>
      <c r="AE2273" s="17">
        <f t="shared" si="107"/>
        <v>0</v>
      </c>
      <c r="AF2273" s="10" t="s">
        <v>5498</v>
      </c>
      <c r="AG2273" s="5" t="s">
        <v>5495</v>
      </c>
      <c r="AH2273" s="5" t="s">
        <v>4717</v>
      </c>
      <c r="AI2273" s="5" t="s">
        <v>5459</v>
      </c>
      <c r="AJ2273" s="5" t="s">
        <v>5496</v>
      </c>
    </row>
    <row r="2274" spans="1:36" ht="10" customHeight="1" x14ac:dyDescent="0.2">
      <c r="A2274" s="5" t="s">
        <v>5448</v>
      </c>
      <c r="B2274" s="5" t="s">
        <v>4713</v>
      </c>
      <c r="D2274" s="5" t="s">
        <v>5499</v>
      </c>
      <c r="E2274" s="10" t="s">
        <v>349</v>
      </c>
      <c r="F2274" s="5" t="s">
        <v>5457</v>
      </c>
      <c r="I2274" s="11">
        <v>2</v>
      </c>
      <c r="J2274" s="5" t="s">
        <v>4328</v>
      </c>
      <c r="K2274" s="12"/>
      <c r="O2274" s="12"/>
      <c r="P2274" s="13">
        <v>295608</v>
      </c>
      <c r="Q2274" s="13">
        <v>343964</v>
      </c>
      <c r="S2274" s="13">
        <v>455523</v>
      </c>
      <c r="AC2274" s="16" t="str">
        <f t="shared" si="105"/>
        <v>ALT</v>
      </c>
      <c r="AD2274" s="17">
        <f t="shared" si="106"/>
        <v>455523</v>
      </c>
      <c r="AE2274" s="17">
        <f t="shared" si="107"/>
        <v>0</v>
      </c>
      <c r="AF2274" s="10" t="s">
        <v>5500</v>
      </c>
      <c r="AG2274" s="5" t="s">
        <v>5495</v>
      </c>
      <c r="AH2274" s="5" t="s">
        <v>4717</v>
      </c>
      <c r="AI2274" s="5" t="s">
        <v>5459</v>
      </c>
      <c r="AJ2274" s="5" t="s">
        <v>5496</v>
      </c>
    </row>
    <row r="2275" spans="1:36" ht="10" customHeight="1" x14ac:dyDescent="0.2">
      <c r="A2275" s="5" t="s">
        <v>5448</v>
      </c>
      <c r="B2275" s="5" t="s">
        <v>4713</v>
      </c>
      <c r="D2275" s="5" t="s">
        <v>5501</v>
      </c>
      <c r="E2275" s="10" t="s">
        <v>349</v>
      </c>
      <c r="F2275" s="5" t="s">
        <v>5457</v>
      </c>
      <c r="I2275" s="11">
        <v>2</v>
      </c>
      <c r="J2275" s="5" t="s">
        <v>4328</v>
      </c>
      <c r="K2275" s="12"/>
      <c r="O2275" s="12"/>
      <c r="P2275" s="13">
        <v>33695</v>
      </c>
      <c r="Q2275" s="13">
        <v>41120</v>
      </c>
      <c r="S2275" s="13">
        <v>55977</v>
      </c>
      <c r="AC2275" s="16" t="str">
        <f t="shared" si="105"/>
        <v>ALT</v>
      </c>
      <c r="AD2275" s="17">
        <f t="shared" si="106"/>
        <v>55977</v>
      </c>
      <c r="AE2275" s="17">
        <f t="shared" si="107"/>
        <v>0</v>
      </c>
      <c r="AF2275" s="10" t="s">
        <v>5502</v>
      </c>
      <c r="AG2275" s="5" t="s">
        <v>5495</v>
      </c>
      <c r="AH2275" s="5" t="s">
        <v>4717</v>
      </c>
      <c r="AI2275" s="5" t="s">
        <v>5459</v>
      </c>
      <c r="AJ2275" s="5" t="s">
        <v>5496</v>
      </c>
    </row>
    <row r="2276" spans="1:36" ht="10" customHeight="1" x14ac:dyDescent="0.2">
      <c r="A2276" s="5" t="s">
        <v>5448</v>
      </c>
      <c r="B2276" s="5" t="s">
        <v>4713</v>
      </c>
      <c r="D2276" s="5" t="s">
        <v>5503</v>
      </c>
      <c r="E2276" s="10" t="s">
        <v>349</v>
      </c>
      <c r="F2276" s="5" t="s">
        <v>5457</v>
      </c>
      <c r="I2276" s="11">
        <v>2</v>
      </c>
      <c r="J2276" s="5" t="s">
        <v>4328</v>
      </c>
      <c r="K2276" s="12"/>
      <c r="O2276" s="12"/>
      <c r="P2276" s="13">
        <v>20444</v>
      </c>
      <c r="Q2276" s="13">
        <v>27323</v>
      </c>
      <c r="S2276" s="13">
        <v>38987</v>
      </c>
      <c r="AC2276" s="16" t="str">
        <f t="shared" si="105"/>
        <v>ALT</v>
      </c>
      <c r="AD2276" s="17">
        <f t="shared" si="106"/>
        <v>38987</v>
      </c>
      <c r="AE2276" s="17">
        <f t="shared" si="107"/>
        <v>0</v>
      </c>
      <c r="AF2276" s="10" t="s">
        <v>5504</v>
      </c>
      <c r="AG2276" s="5" t="s">
        <v>5495</v>
      </c>
      <c r="AH2276" s="5" t="s">
        <v>4717</v>
      </c>
      <c r="AI2276" s="5" t="s">
        <v>5459</v>
      </c>
      <c r="AJ2276" s="5" t="s">
        <v>5496</v>
      </c>
    </row>
    <row r="2277" spans="1:36" ht="10" customHeight="1" x14ac:dyDescent="0.2">
      <c r="A2277" s="5" t="s">
        <v>5448</v>
      </c>
      <c r="B2277" s="5" t="s">
        <v>4713</v>
      </c>
      <c r="D2277" s="5" t="s">
        <v>5505</v>
      </c>
      <c r="E2277" s="10" t="s">
        <v>349</v>
      </c>
      <c r="F2277" s="5" t="s">
        <v>5457</v>
      </c>
      <c r="I2277" s="11">
        <v>2</v>
      </c>
      <c r="J2277" s="5" t="s">
        <v>4328</v>
      </c>
      <c r="K2277" s="12"/>
      <c r="O2277" s="12"/>
      <c r="P2277" s="13">
        <v>480213</v>
      </c>
      <c r="Q2277" s="13">
        <v>404936</v>
      </c>
      <c r="S2277" s="13">
        <v>430729</v>
      </c>
      <c r="AC2277" s="16" t="str">
        <f t="shared" si="105"/>
        <v>ALT</v>
      </c>
      <c r="AD2277" s="17">
        <f t="shared" si="106"/>
        <v>430729</v>
      </c>
      <c r="AE2277" s="17">
        <f t="shared" si="107"/>
        <v>0</v>
      </c>
      <c r="AF2277" s="10" t="s">
        <v>5506</v>
      </c>
      <c r="AG2277" s="5" t="s">
        <v>5495</v>
      </c>
      <c r="AH2277" s="5" t="s">
        <v>4717</v>
      </c>
      <c r="AI2277" s="5" t="s">
        <v>5459</v>
      </c>
      <c r="AJ2277" s="5" t="s">
        <v>5496</v>
      </c>
    </row>
    <row r="2278" spans="1:36" ht="10" customHeight="1" x14ac:dyDescent="0.2">
      <c r="A2278" s="5" t="s">
        <v>5448</v>
      </c>
      <c r="B2278" s="5" t="s">
        <v>4713</v>
      </c>
      <c r="D2278" s="5" t="s">
        <v>5507</v>
      </c>
      <c r="E2278" s="10" t="s">
        <v>349</v>
      </c>
      <c r="F2278" s="5" t="s">
        <v>5457</v>
      </c>
      <c r="I2278" s="11">
        <v>2</v>
      </c>
      <c r="J2278" s="5" t="s">
        <v>4328</v>
      </c>
      <c r="K2278" s="12"/>
      <c r="O2278" s="12"/>
      <c r="P2278" s="13">
        <v>27079</v>
      </c>
      <c r="Q2278" s="13">
        <v>9202</v>
      </c>
      <c r="S2278" s="13">
        <v>28210</v>
      </c>
      <c r="AC2278" s="16" t="str">
        <f t="shared" si="105"/>
        <v>ALT</v>
      </c>
      <c r="AD2278" s="17">
        <f t="shared" si="106"/>
        <v>28210</v>
      </c>
      <c r="AE2278" s="17">
        <f t="shared" si="107"/>
        <v>0</v>
      </c>
      <c r="AF2278" s="10" t="s">
        <v>5508</v>
      </c>
      <c r="AG2278" s="5" t="s">
        <v>5495</v>
      </c>
      <c r="AH2278" s="5" t="s">
        <v>4717</v>
      </c>
      <c r="AI2278" s="5" t="s">
        <v>5459</v>
      </c>
      <c r="AJ2278" s="5" t="s">
        <v>5496</v>
      </c>
    </row>
    <row r="2279" spans="1:36" ht="10" customHeight="1" x14ac:dyDescent="0.2">
      <c r="A2279" s="5" t="s">
        <v>5448</v>
      </c>
      <c r="B2279" s="5" t="s">
        <v>4713</v>
      </c>
      <c r="D2279" s="5" t="s">
        <v>5509</v>
      </c>
      <c r="E2279" s="10" t="s">
        <v>349</v>
      </c>
      <c r="F2279" s="5" t="s">
        <v>5457</v>
      </c>
      <c r="I2279" s="11">
        <v>2</v>
      </c>
      <c r="J2279" s="5" t="s">
        <v>4328</v>
      </c>
      <c r="K2279" s="12"/>
      <c r="O2279" s="12"/>
      <c r="P2279" s="13">
        <v>157312</v>
      </c>
      <c r="Q2279" s="13">
        <v>158016</v>
      </c>
      <c r="S2279" s="13">
        <v>173764</v>
      </c>
      <c r="AC2279" s="16" t="str">
        <f t="shared" si="105"/>
        <v>ALT</v>
      </c>
      <c r="AD2279" s="17">
        <f t="shared" si="106"/>
        <v>173764</v>
      </c>
      <c r="AE2279" s="17">
        <f t="shared" si="107"/>
        <v>0</v>
      </c>
      <c r="AF2279" s="10" t="s">
        <v>5510</v>
      </c>
      <c r="AG2279" s="5" t="s">
        <v>5495</v>
      </c>
      <c r="AH2279" s="5" t="s">
        <v>4717</v>
      </c>
      <c r="AI2279" s="5" t="s">
        <v>5459</v>
      </c>
      <c r="AJ2279" s="5" t="s">
        <v>5496</v>
      </c>
    </row>
    <row r="2280" spans="1:36" ht="10" customHeight="1" x14ac:dyDescent="0.2">
      <c r="A2280" s="5" t="s">
        <v>5448</v>
      </c>
      <c r="B2280" s="5" t="s">
        <v>4713</v>
      </c>
      <c r="D2280" s="5" t="s">
        <v>5511</v>
      </c>
      <c r="E2280" s="10" t="s">
        <v>349</v>
      </c>
      <c r="F2280" s="5" t="s">
        <v>5457</v>
      </c>
      <c r="I2280" s="11">
        <v>2</v>
      </c>
      <c r="J2280" s="5" t="s">
        <v>4328</v>
      </c>
      <c r="K2280" s="12"/>
      <c r="O2280" s="12"/>
      <c r="P2280" s="13">
        <v>4914</v>
      </c>
      <c r="Q2280" s="13">
        <v>5017</v>
      </c>
      <c r="S2280" s="13">
        <v>5123</v>
      </c>
      <c r="AC2280" s="16" t="str">
        <f t="shared" si="105"/>
        <v>ALT</v>
      </c>
      <c r="AD2280" s="17">
        <f t="shared" si="106"/>
        <v>5123</v>
      </c>
      <c r="AE2280" s="17">
        <f t="shared" si="107"/>
        <v>0</v>
      </c>
      <c r="AF2280" s="10" t="s">
        <v>5512</v>
      </c>
      <c r="AG2280" s="5" t="s">
        <v>5495</v>
      </c>
      <c r="AH2280" s="5" t="s">
        <v>4717</v>
      </c>
      <c r="AI2280" s="5" t="s">
        <v>5459</v>
      </c>
      <c r="AJ2280" s="5" t="s">
        <v>5496</v>
      </c>
    </row>
    <row r="2281" spans="1:36" ht="10" customHeight="1" x14ac:dyDescent="0.2">
      <c r="A2281" s="5" t="s">
        <v>5448</v>
      </c>
      <c r="B2281" s="5" t="s">
        <v>4713</v>
      </c>
      <c r="D2281" s="5" t="s">
        <v>5513</v>
      </c>
      <c r="E2281" s="10" t="s">
        <v>349</v>
      </c>
      <c r="F2281" s="5" t="s">
        <v>5457</v>
      </c>
      <c r="I2281" s="11">
        <v>2</v>
      </c>
      <c r="J2281" s="5" t="s">
        <v>4328</v>
      </c>
      <c r="K2281" s="12"/>
      <c r="O2281" s="12"/>
      <c r="P2281" s="13">
        <v>1473914</v>
      </c>
      <c r="Q2281" s="13">
        <v>1581492</v>
      </c>
      <c r="S2281" s="13">
        <v>1787171</v>
      </c>
      <c r="AC2281" s="16" t="str">
        <f t="shared" si="105"/>
        <v>ALT</v>
      </c>
      <c r="AD2281" s="17">
        <f t="shared" si="106"/>
        <v>1787171</v>
      </c>
      <c r="AE2281" s="17">
        <f t="shared" si="107"/>
        <v>0</v>
      </c>
      <c r="AF2281" s="10" t="s">
        <v>5514</v>
      </c>
      <c r="AG2281" s="5" t="s">
        <v>5495</v>
      </c>
      <c r="AH2281" s="5" t="s">
        <v>4717</v>
      </c>
      <c r="AI2281" s="5" t="s">
        <v>5459</v>
      </c>
      <c r="AJ2281" s="5" t="s">
        <v>5496</v>
      </c>
    </row>
    <row r="2282" spans="1:36" ht="10" customHeight="1" x14ac:dyDescent="0.2">
      <c r="A2282" s="5" t="s">
        <v>5448</v>
      </c>
      <c r="B2282" s="5" t="s">
        <v>4713</v>
      </c>
      <c r="D2282" s="5" t="s">
        <v>5515</v>
      </c>
      <c r="E2282" s="10" t="s">
        <v>57</v>
      </c>
      <c r="F2282" s="5" t="s">
        <v>5516</v>
      </c>
      <c r="I2282" s="11">
        <v>7</v>
      </c>
      <c r="J2282" s="5" t="s">
        <v>5517</v>
      </c>
      <c r="K2282" s="12"/>
      <c r="O2282" s="12"/>
      <c r="P2282" s="13">
        <v>16917</v>
      </c>
      <c r="Q2282" s="13">
        <v>17272</v>
      </c>
      <c r="S2282" s="13">
        <v>17635</v>
      </c>
      <c r="AC2282" s="16" t="str">
        <f t="shared" si="105"/>
        <v/>
      </c>
      <c r="AD2282" s="17">
        <f t="shared" si="106"/>
        <v>17635</v>
      </c>
      <c r="AE2282" s="17">
        <f t="shared" si="107"/>
        <v>0</v>
      </c>
      <c r="AF2282" s="10" t="s">
        <v>5518</v>
      </c>
      <c r="AG2282" s="5" t="s">
        <v>5519</v>
      </c>
      <c r="AH2282" s="5" t="s">
        <v>4717</v>
      </c>
      <c r="AI2282" s="5" t="s">
        <v>5459</v>
      </c>
      <c r="AJ2282" s="5" t="s">
        <v>5520</v>
      </c>
    </row>
    <row r="2283" spans="1:36" ht="10" customHeight="1" x14ac:dyDescent="0.2">
      <c r="A2283" s="5" t="s">
        <v>5448</v>
      </c>
      <c r="B2283" s="5" t="s">
        <v>4713</v>
      </c>
      <c r="D2283" s="5" t="s">
        <v>5521</v>
      </c>
      <c r="E2283" s="10" t="s">
        <v>57</v>
      </c>
      <c r="F2283" s="5" t="s">
        <v>5516</v>
      </c>
      <c r="I2283" s="11">
        <v>7</v>
      </c>
      <c r="J2283" s="5" t="s">
        <v>5517</v>
      </c>
      <c r="K2283" s="12"/>
      <c r="O2283" s="12"/>
      <c r="P2283" s="13">
        <v>31912</v>
      </c>
      <c r="Q2283" s="13">
        <v>1903</v>
      </c>
      <c r="S2283" s="13">
        <v>0</v>
      </c>
      <c r="AC2283" s="16" t="str">
        <f t="shared" si="105"/>
        <v/>
      </c>
      <c r="AD2283" s="17">
        <f t="shared" si="106"/>
        <v>0</v>
      </c>
      <c r="AE2283" s="17">
        <f t="shared" si="107"/>
        <v>0</v>
      </c>
      <c r="AF2283" s="10" t="s">
        <v>5522</v>
      </c>
      <c r="AG2283" s="5" t="s">
        <v>5519</v>
      </c>
      <c r="AH2283" s="5" t="s">
        <v>4717</v>
      </c>
      <c r="AI2283" s="5" t="s">
        <v>5459</v>
      </c>
      <c r="AJ2283" s="5" t="s">
        <v>5520</v>
      </c>
    </row>
    <row r="2284" spans="1:36" ht="10" customHeight="1" x14ac:dyDescent="0.2">
      <c r="A2284" s="5" t="s">
        <v>5448</v>
      </c>
      <c r="B2284" s="5" t="s">
        <v>4713</v>
      </c>
      <c r="D2284" s="5" t="s">
        <v>5523</v>
      </c>
      <c r="E2284" s="10" t="s">
        <v>57</v>
      </c>
      <c r="F2284" s="5" t="s">
        <v>5516</v>
      </c>
      <c r="I2284" s="11">
        <v>7</v>
      </c>
      <c r="J2284" s="5" t="s">
        <v>5517</v>
      </c>
      <c r="K2284" s="12"/>
      <c r="O2284" s="12"/>
      <c r="P2284" s="13">
        <v>72515</v>
      </c>
      <c r="Q2284" s="13">
        <v>202025</v>
      </c>
      <c r="S2284" s="13">
        <v>127769</v>
      </c>
      <c r="AC2284" s="16" t="str">
        <f t="shared" si="105"/>
        <v/>
      </c>
      <c r="AD2284" s="17">
        <f t="shared" si="106"/>
        <v>127769</v>
      </c>
      <c r="AE2284" s="17">
        <f t="shared" si="107"/>
        <v>0</v>
      </c>
      <c r="AF2284" s="10" t="s">
        <v>5524</v>
      </c>
      <c r="AG2284" s="5" t="s">
        <v>5519</v>
      </c>
      <c r="AH2284" s="5" t="s">
        <v>4717</v>
      </c>
      <c r="AI2284" s="5" t="s">
        <v>5459</v>
      </c>
      <c r="AJ2284" s="5" t="s">
        <v>5520</v>
      </c>
    </row>
    <row r="2285" spans="1:36" ht="10" customHeight="1" x14ac:dyDescent="0.2">
      <c r="A2285" s="5" t="s">
        <v>5448</v>
      </c>
      <c r="B2285" s="5" t="s">
        <v>4713</v>
      </c>
      <c r="D2285" s="5" t="s">
        <v>5525</v>
      </c>
      <c r="E2285" s="10" t="s">
        <v>57</v>
      </c>
      <c r="F2285" s="5" t="s">
        <v>5516</v>
      </c>
      <c r="I2285" s="11">
        <v>7</v>
      </c>
      <c r="J2285" s="5" t="s">
        <v>5517</v>
      </c>
      <c r="K2285" s="12"/>
      <c r="O2285" s="12"/>
      <c r="P2285" s="13">
        <v>0</v>
      </c>
      <c r="Q2285" s="13">
        <v>0</v>
      </c>
      <c r="S2285" s="13">
        <v>0</v>
      </c>
      <c r="AC2285" s="16" t="str">
        <f t="shared" si="105"/>
        <v/>
      </c>
      <c r="AD2285" s="17">
        <f t="shared" si="106"/>
        <v>0</v>
      </c>
      <c r="AE2285" s="17">
        <f t="shared" si="107"/>
        <v>0</v>
      </c>
      <c r="AF2285" s="10" t="s">
        <v>5526</v>
      </c>
      <c r="AG2285" s="5" t="s">
        <v>5519</v>
      </c>
      <c r="AH2285" s="5" t="s">
        <v>4717</v>
      </c>
      <c r="AI2285" s="5" t="s">
        <v>5459</v>
      </c>
      <c r="AJ2285" s="5" t="s">
        <v>5520</v>
      </c>
    </row>
    <row r="2286" spans="1:36" ht="10" customHeight="1" x14ac:dyDescent="0.2">
      <c r="A2286" s="5" t="s">
        <v>5448</v>
      </c>
      <c r="B2286" s="5" t="s">
        <v>4713</v>
      </c>
      <c r="D2286" s="5" t="s">
        <v>5527</v>
      </c>
      <c r="E2286" s="10" t="s">
        <v>57</v>
      </c>
      <c r="F2286" s="5" t="s">
        <v>5516</v>
      </c>
      <c r="I2286" s="11">
        <v>7</v>
      </c>
      <c r="J2286" s="5" t="s">
        <v>5517</v>
      </c>
      <c r="K2286" s="12"/>
      <c r="O2286" s="12"/>
      <c r="P2286" s="13">
        <v>1590625</v>
      </c>
      <c r="Q2286" s="13">
        <v>1199000</v>
      </c>
      <c r="S2286" s="13">
        <v>553720</v>
      </c>
      <c r="AC2286" s="16" t="str">
        <f t="shared" si="105"/>
        <v/>
      </c>
      <c r="AD2286" s="17">
        <f t="shared" si="106"/>
        <v>553720</v>
      </c>
      <c r="AE2286" s="17">
        <f t="shared" si="107"/>
        <v>0</v>
      </c>
      <c r="AF2286" s="10" t="s">
        <v>5528</v>
      </c>
      <c r="AG2286" s="5" t="s">
        <v>5519</v>
      </c>
      <c r="AH2286" s="5" t="s">
        <v>4717</v>
      </c>
      <c r="AI2286" s="5" t="s">
        <v>5459</v>
      </c>
      <c r="AJ2286" s="5" t="s">
        <v>5520</v>
      </c>
    </row>
    <row r="2287" spans="1:36" ht="10" customHeight="1" x14ac:dyDescent="0.2">
      <c r="A2287" s="5" t="s">
        <v>5448</v>
      </c>
      <c r="B2287" s="5" t="s">
        <v>4713</v>
      </c>
      <c r="D2287" s="5" t="s">
        <v>5529</v>
      </c>
      <c r="E2287" s="10" t="s">
        <v>48</v>
      </c>
      <c r="I2287" s="11">
        <v>7</v>
      </c>
      <c r="J2287" s="5" t="s">
        <v>5517</v>
      </c>
      <c r="K2287" s="12"/>
      <c r="O2287" s="12"/>
      <c r="P2287" s="13">
        <v>1711969</v>
      </c>
      <c r="Q2287" s="13">
        <v>1420200</v>
      </c>
      <c r="S2287" s="13">
        <v>699124</v>
      </c>
      <c r="AC2287" s="16" t="str">
        <f t="shared" si="105"/>
        <v>ADD</v>
      </c>
      <c r="AD2287" s="17">
        <f t="shared" si="106"/>
        <v>699124</v>
      </c>
      <c r="AE2287" s="17">
        <f t="shared" si="107"/>
        <v>0</v>
      </c>
      <c r="AF2287" s="10" t="s">
        <v>5530</v>
      </c>
      <c r="AG2287" s="5" t="s">
        <v>5519</v>
      </c>
      <c r="AH2287" s="5" t="s">
        <v>4717</v>
      </c>
      <c r="AI2287" s="5" t="s">
        <v>5459</v>
      </c>
      <c r="AJ2287" s="5" t="s">
        <v>5520</v>
      </c>
    </row>
    <row r="2288" spans="1:36" ht="10" customHeight="1" x14ac:dyDescent="0.2">
      <c r="A2288" s="5" t="s">
        <v>5448</v>
      </c>
      <c r="B2288" s="5" t="s">
        <v>4713</v>
      </c>
      <c r="D2288" s="5" t="s">
        <v>5531</v>
      </c>
      <c r="E2288" s="10" t="s">
        <v>57</v>
      </c>
      <c r="F2288" s="5" t="s">
        <v>5516</v>
      </c>
      <c r="I2288" s="11">
        <v>7</v>
      </c>
      <c r="J2288" s="5" t="s">
        <v>5517</v>
      </c>
      <c r="K2288" s="12"/>
      <c r="O2288" s="12"/>
      <c r="P2288" s="13">
        <v>21988</v>
      </c>
      <c r="AC2288" s="16" t="str">
        <f t="shared" si="105"/>
        <v/>
      </c>
      <c r="AD2288" s="17">
        <f t="shared" si="106"/>
        <v>0</v>
      </c>
      <c r="AE2288" s="17">
        <f t="shared" si="107"/>
        <v>0</v>
      </c>
      <c r="AF2288" s="10" t="s">
        <v>5532</v>
      </c>
      <c r="AG2288" s="5" t="s">
        <v>5519</v>
      </c>
      <c r="AH2288" s="5" t="s">
        <v>4717</v>
      </c>
      <c r="AI2288" s="5" t="s">
        <v>5459</v>
      </c>
      <c r="AJ2288" s="5" t="s">
        <v>5533</v>
      </c>
    </row>
    <row r="2289" spans="1:36" ht="10" customHeight="1" x14ac:dyDescent="0.2">
      <c r="A2289" s="5" t="s">
        <v>5448</v>
      </c>
      <c r="B2289" s="5" t="s">
        <v>4713</v>
      </c>
      <c r="D2289" s="5" t="s">
        <v>5534</v>
      </c>
      <c r="E2289" s="10" t="s">
        <v>57</v>
      </c>
      <c r="F2289" s="5" t="s">
        <v>5516</v>
      </c>
      <c r="I2289" s="11">
        <v>7</v>
      </c>
      <c r="J2289" s="5" t="s">
        <v>5517</v>
      </c>
      <c r="K2289" s="12"/>
      <c r="O2289" s="12"/>
      <c r="P2289" s="13">
        <v>3236</v>
      </c>
      <c r="AC2289" s="16" t="str">
        <f t="shared" si="105"/>
        <v/>
      </c>
      <c r="AD2289" s="17">
        <f t="shared" si="106"/>
        <v>0</v>
      </c>
      <c r="AE2289" s="17">
        <f t="shared" si="107"/>
        <v>0</v>
      </c>
      <c r="AF2289" s="10" t="s">
        <v>5535</v>
      </c>
      <c r="AG2289" s="5" t="s">
        <v>5519</v>
      </c>
      <c r="AH2289" s="5" t="s">
        <v>4717</v>
      </c>
      <c r="AI2289" s="5" t="s">
        <v>5459</v>
      </c>
      <c r="AJ2289" s="5" t="s">
        <v>5533</v>
      </c>
    </row>
    <row r="2290" spans="1:36" ht="10" customHeight="1" x14ac:dyDescent="0.2">
      <c r="A2290" s="5" t="s">
        <v>5448</v>
      </c>
      <c r="B2290" s="5" t="s">
        <v>4713</v>
      </c>
      <c r="D2290" s="5" t="s">
        <v>5536</v>
      </c>
      <c r="E2290" s="10" t="s">
        <v>57</v>
      </c>
      <c r="F2290" s="5" t="s">
        <v>5516</v>
      </c>
      <c r="I2290" s="11">
        <v>7</v>
      </c>
      <c r="J2290" s="5" t="s">
        <v>5517</v>
      </c>
      <c r="K2290" s="12"/>
      <c r="O2290" s="12"/>
      <c r="P2290" s="13">
        <v>683</v>
      </c>
      <c r="AC2290" s="16" t="str">
        <f t="shared" si="105"/>
        <v/>
      </c>
      <c r="AD2290" s="17">
        <f t="shared" si="106"/>
        <v>0</v>
      </c>
      <c r="AE2290" s="17">
        <f t="shared" si="107"/>
        <v>0</v>
      </c>
      <c r="AF2290" s="10" t="s">
        <v>5537</v>
      </c>
      <c r="AG2290" s="5" t="s">
        <v>5519</v>
      </c>
      <c r="AH2290" s="5" t="s">
        <v>4717</v>
      </c>
      <c r="AI2290" s="5" t="s">
        <v>5459</v>
      </c>
      <c r="AJ2290" s="5" t="s">
        <v>5533</v>
      </c>
    </row>
    <row r="2291" spans="1:36" ht="10" customHeight="1" x14ac:dyDescent="0.2">
      <c r="A2291" s="5" t="s">
        <v>5448</v>
      </c>
      <c r="B2291" s="5" t="s">
        <v>4713</v>
      </c>
      <c r="D2291" s="5" t="s">
        <v>5538</v>
      </c>
      <c r="E2291" s="10" t="s">
        <v>57</v>
      </c>
      <c r="F2291" s="5" t="s">
        <v>5516</v>
      </c>
      <c r="I2291" s="11">
        <v>7</v>
      </c>
      <c r="J2291" s="5" t="s">
        <v>5517</v>
      </c>
      <c r="K2291" s="12"/>
      <c r="O2291" s="12"/>
      <c r="P2291" s="13">
        <v>2130</v>
      </c>
      <c r="AC2291" s="16" t="str">
        <f t="shared" si="105"/>
        <v/>
      </c>
      <c r="AD2291" s="17">
        <f t="shared" si="106"/>
        <v>0</v>
      </c>
      <c r="AE2291" s="17">
        <f t="shared" si="107"/>
        <v>0</v>
      </c>
      <c r="AF2291" s="10" t="s">
        <v>5539</v>
      </c>
      <c r="AG2291" s="5" t="s">
        <v>5519</v>
      </c>
      <c r="AH2291" s="5" t="s">
        <v>4717</v>
      </c>
      <c r="AI2291" s="5" t="s">
        <v>5459</v>
      </c>
      <c r="AJ2291" s="5" t="s">
        <v>5533</v>
      </c>
    </row>
    <row r="2292" spans="1:36" ht="10" customHeight="1" x14ac:dyDescent="0.2">
      <c r="A2292" s="5" t="s">
        <v>5448</v>
      </c>
      <c r="B2292" s="5" t="s">
        <v>4713</v>
      </c>
      <c r="D2292" s="5" t="s">
        <v>5540</v>
      </c>
      <c r="E2292" s="10" t="s">
        <v>57</v>
      </c>
      <c r="F2292" s="5" t="s">
        <v>5516</v>
      </c>
      <c r="I2292" s="11">
        <v>7</v>
      </c>
      <c r="J2292" s="5" t="s">
        <v>5517</v>
      </c>
      <c r="K2292" s="12"/>
      <c r="O2292" s="12"/>
      <c r="P2292" s="13">
        <v>2010</v>
      </c>
      <c r="AC2292" s="16" t="str">
        <f t="shared" si="105"/>
        <v/>
      </c>
      <c r="AD2292" s="17">
        <f t="shared" si="106"/>
        <v>0</v>
      </c>
      <c r="AE2292" s="17">
        <f t="shared" si="107"/>
        <v>0</v>
      </c>
      <c r="AF2292" s="10" t="s">
        <v>5541</v>
      </c>
      <c r="AG2292" s="5" t="s">
        <v>5519</v>
      </c>
      <c r="AH2292" s="5" t="s">
        <v>4717</v>
      </c>
      <c r="AI2292" s="5" t="s">
        <v>5459</v>
      </c>
      <c r="AJ2292" s="5" t="s">
        <v>5533</v>
      </c>
    </row>
    <row r="2293" spans="1:36" ht="10" customHeight="1" x14ac:dyDescent="0.2">
      <c r="A2293" s="5" t="s">
        <v>5448</v>
      </c>
      <c r="B2293" s="5" t="s">
        <v>4713</v>
      </c>
      <c r="D2293" s="5" t="s">
        <v>5542</v>
      </c>
      <c r="E2293" s="10" t="s">
        <v>57</v>
      </c>
      <c r="F2293" s="5" t="s">
        <v>5516</v>
      </c>
      <c r="I2293" s="11">
        <v>7</v>
      </c>
      <c r="J2293" s="5" t="s">
        <v>5517</v>
      </c>
      <c r="K2293" s="12"/>
      <c r="O2293" s="12"/>
      <c r="P2293" s="13">
        <v>1865</v>
      </c>
      <c r="AC2293" s="16" t="str">
        <f t="shared" si="105"/>
        <v/>
      </c>
      <c r="AD2293" s="17">
        <f t="shared" si="106"/>
        <v>0</v>
      </c>
      <c r="AE2293" s="17">
        <f t="shared" si="107"/>
        <v>0</v>
      </c>
      <c r="AF2293" s="10" t="s">
        <v>5543</v>
      </c>
      <c r="AG2293" s="5" t="s">
        <v>5519</v>
      </c>
      <c r="AH2293" s="5" t="s">
        <v>4717</v>
      </c>
      <c r="AI2293" s="5" t="s">
        <v>5459</v>
      </c>
      <c r="AJ2293" s="5" t="s">
        <v>5533</v>
      </c>
    </row>
    <row r="2294" spans="1:36" ht="10" customHeight="1" x14ac:dyDescent="0.2">
      <c r="A2294" s="5" t="s">
        <v>5448</v>
      </c>
      <c r="B2294" s="5" t="s">
        <v>4713</v>
      </c>
      <c r="D2294" s="5" t="s">
        <v>5544</v>
      </c>
      <c r="E2294" s="10" t="s">
        <v>57</v>
      </c>
      <c r="F2294" s="5" t="s">
        <v>5516</v>
      </c>
      <c r="I2294" s="11">
        <v>7</v>
      </c>
      <c r="J2294" s="5" t="s">
        <v>5517</v>
      </c>
      <c r="K2294" s="12"/>
      <c r="O2294" s="12"/>
      <c r="Q2294" s="13">
        <v>1903</v>
      </c>
      <c r="AC2294" s="16" t="str">
        <f t="shared" si="105"/>
        <v/>
      </c>
      <c r="AD2294" s="17">
        <f t="shared" si="106"/>
        <v>0</v>
      </c>
      <c r="AE2294" s="17">
        <f t="shared" si="107"/>
        <v>0</v>
      </c>
      <c r="AF2294" s="10" t="s">
        <v>5545</v>
      </c>
      <c r="AG2294" s="5" t="s">
        <v>5519</v>
      </c>
      <c r="AH2294" s="5" t="s">
        <v>4717</v>
      </c>
      <c r="AI2294" s="5" t="s">
        <v>5459</v>
      </c>
      <c r="AJ2294" s="5" t="s">
        <v>5533</v>
      </c>
    </row>
    <row r="2295" spans="1:36" ht="10" customHeight="1" x14ac:dyDescent="0.2">
      <c r="A2295" s="5" t="s">
        <v>5448</v>
      </c>
      <c r="B2295" s="5" t="s">
        <v>4713</v>
      </c>
      <c r="D2295" s="5" t="s">
        <v>5546</v>
      </c>
      <c r="E2295" s="10" t="s">
        <v>57</v>
      </c>
      <c r="F2295" s="5" t="s">
        <v>5516</v>
      </c>
      <c r="I2295" s="11">
        <v>7</v>
      </c>
      <c r="J2295" s="5" t="s">
        <v>5517</v>
      </c>
      <c r="K2295" s="12"/>
      <c r="O2295" s="12"/>
      <c r="P2295" s="13">
        <v>1590625</v>
      </c>
      <c r="AC2295" s="16" t="str">
        <f t="shared" si="105"/>
        <v/>
      </c>
      <c r="AD2295" s="17">
        <f t="shared" si="106"/>
        <v>0</v>
      </c>
      <c r="AE2295" s="17">
        <f t="shared" si="107"/>
        <v>0</v>
      </c>
      <c r="AF2295" s="10" t="s">
        <v>5547</v>
      </c>
      <c r="AG2295" s="5" t="s">
        <v>4596</v>
      </c>
      <c r="AH2295" s="5" t="s">
        <v>4717</v>
      </c>
      <c r="AI2295" s="5" t="s">
        <v>5459</v>
      </c>
      <c r="AJ2295" s="5" t="s">
        <v>5548</v>
      </c>
    </row>
    <row r="2296" spans="1:36" ht="10" customHeight="1" x14ac:dyDescent="0.2">
      <c r="A2296" s="5" t="s">
        <v>5448</v>
      </c>
      <c r="B2296" s="5" t="s">
        <v>4713</v>
      </c>
      <c r="D2296" s="5" t="s">
        <v>5549</v>
      </c>
      <c r="E2296" s="10" t="s">
        <v>57</v>
      </c>
      <c r="F2296" s="5" t="s">
        <v>5516</v>
      </c>
      <c r="I2296" s="11">
        <v>7</v>
      </c>
      <c r="J2296" s="5" t="s">
        <v>5517</v>
      </c>
      <c r="K2296" s="12"/>
      <c r="O2296" s="12"/>
      <c r="Q2296" s="13">
        <v>1199000</v>
      </c>
      <c r="AC2296" s="16" t="str">
        <f t="shared" si="105"/>
        <v/>
      </c>
      <c r="AD2296" s="17">
        <f t="shared" si="106"/>
        <v>0</v>
      </c>
      <c r="AE2296" s="17">
        <f t="shared" si="107"/>
        <v>0</v>
      </c>
      <c r="AF2296" s="10" t="s">
        <v>5550</v>
      </c>
      <c r="AG2296" s="5" t="s">
        <v>4596</v>
      </c>
      <c r="AH2296" s="5" t="s">
        <v>4717</v>
      </c>
      <c r="AI2296" s="5" t="s">
        <v>5459</v>
      </c>
      <c r="AJ2296" s="5" t="s">
        <v>5548</v>
      </c>
    </row>
    <row r="2297" spans="1:36" ht="10" customHeight="1" x14ac:dyDescent="0.2">
      <c r="A2297" s="5" t="s">
        <v>5448</v>
      </c>
      <c r="B2297" s="5" t="s">
        <v>4713</v>
      </c>
      <c r="D2297" s="5" t="s">
        <v>5551</v>
      </c>
      <c r="E2297" s="10" t="s">
        <v>57</v>
      </c>
      <c r="F2297" s="5" t="s">
        <v>5516</v>
      </c>
      <c r="I2297" s="11">
        <v>7</v>
      </c>
      <c r="J2297" s="5" t="s">
        <v>5517</v>
      </c>
      <c r="K2297" s="12"/>
      <c r="O2297" s="12"/>
      <c r="S2297" s="13">
        <v>553720</v>
      </c>
      <c r="AC2297" s="16" t="str">
        <f t="shared" si="105"/>
        <v/>
      </c>
      <c r="AD2297" s="17">
        <f t="shared" si="106"/>
        <v>553720</v>
      </c>
      <c r="AE2297" s="17">
        <f t="shared" si="107"/>
        <v>0</v>
      </c>
      <c r="AF2297" s="10" t="s">
        <v>5552</v>
      </c>
      <c r="AG2297" s="5" t="s">
        <v>4596</v>
      </c>
      <c r="AH2297" s="5" t="s">
        <v>4717</v>
      </c>
      <c r="AI2297" s="5" t="s">
        <v>5459</v>
      </c>
      <c r="AJ2297" s="5" t="s">
        <v>5548</v>
      </c>
    </row>
    <row r="2298" spans="1:36" ht="10" customHeight="1" x14ac:dyDescent="0.2">
      <c r="A2298" s="5" t="s">
        <v>5448</v>
      </c>
      <c r="B2298" s="5" t="s">
        <v>4713</v>
      </c>
      <c r="D2298" s="5" t="s">
        <v>5553</v>
      </c>
      <c r="E2298" s="10" t="s">
        <v>188</v>
      </c>
      <c r="I2298" s="11">
        <v>2</v>
      </c>
      <c r="J2298" s="5" t="s">
        <v>5554</v>
      </c>
      <c r="K2298" s="10" t="s">
        <v>50</v>
      </c>
      <c r="L2298" s="5" t="s">
        <v>51</v>
      </c>
      <c r="M2298" s="5" t="s">
        <v>52</v>
      </c>
      <c r="N2298" s="5" t="s">
        <v>88</v>
      </c>
      <c r="O2298" s="12"/>
      <c r="AC2298" s="16" t="str">
        <f t="shared" si="105"/>
        <v/>
      </c>
      <c r="AD2298" s="17">
        <f t="shared" si="106"/>
        <v>0</v>
      </c>
      <c r="AE2298" s="17">
        <f t="shared" si="107"/>
        <v>0</v>
      </c>
      <c r="AF2298" s="10" t="s">
        <v>5555</v>
      </c>
      <c r="AG2298" s="5" t="s">
        <v>72</v>
      </c>
      <c r="AH2298" s="5" t="s">
        <v>4717</v>
      </c>
      <c r="AI2298" s="5" t="s">
        <v>5459</v>
      </c>
      <c r="AJ2298" s="5" t="s">
        <v>5554</v>
      </c>
    </row>
    <row r="2299" spans="1:36" ht="10" customHeight="1" x14ac:dyDescent="0.2">
      <c r="A2299" s="5" t="s">
        <v>5448</v>
      </c>
      <c r="B2299" s="5" t="s">
        <v>4713</v>
      </c>
      <c r="D2299" s="5" t="s">
        <v>5556</v>
      </c>
      <c r="E2299" s="10" t="s">
        <v>188</v>
      </c>
      <c r="I2299" s="11">
        <v>2</v>
      </c>
      <c r="J2299" s="5" t="s">
        <v>5554</v>
      </c>
      <c r="K2299" s="10" t="s">
        <v>50</v>
      </c>
      <c r="L2299" s="5" t="s">
        <v>51</v>
      </c>
      <c r="M2299" s="5" t="s">
        <v>52</v>
      </c>
      <c r="N2299" s="5" t="s">
        <v>88</v>
      </c>
      <c r="O2299" s="12"/>
      <c r="AC2299" s="16" t="str">
        <f t="shared" si="105"/>
        <v/>
      </c>
      <c r="AD2299" s="17">
        <f t="shared" si="106"/>
        <v>0</v>
      </c>
      <c r="AE2299" s="17">
        <f t="shared" si="107"/>
        <v>0</v>
      </c>
      <c r="AF2299" s="10" t="s">
        <v>5557</v>
      </c>
      <c r="AG2299" s="5" t="s">
        <v>72</v>
      </c>
      <c r="AH2299" s="5" t="s">
        <v>4717</v>
      </c>
      <c r="AI2299" s="5" t="s">
        <v>5459</v>
      </c>
      <c r="AJ2299" s="5" t="s">
        <v>5554</v>
      </c>
    </row>
    <row r="2300" spans="1:36" ht="10" customHeight="1" x14ac:dyDescent="0.2">
      <c r="A2300" s="5" t="s">
        <v>5448</v>
      </c>
      <c r="B2300" s="5" t="s">
        <v>4713</v>
      </c>
      <c r="D2300" s="5" t="s">
        <v>5558</v>
      </c>
      <c r="E2300" s="10" t="s">
        <v>188</v>
      </c>
      <c r="I2300" s="11">
        <v>5</v>
      </c>
      <c r="J2300" s="5" t="s">
        <v>5554</v>
      </c>
      <c r="K2300" s="10" t="s">
        <v>50</v>
      </c>
      <c r="L2300" s="5" t="s">
        <v>51</v>
      </c>
      <c r="M2300" s="5" t="s">
        <v>52</v>
      </c>
      <c r="N2300" s="5" t="s">
        <v>88</v>
      </c>
      <c r="O2300" s="12"/>
      <c r="AC2300" s="16" t="str">
        <f t="shared" si="105"/>
        <v/>
      </c>
      <c r="AD2300" s="17">
        <f t="shared" si="106"/>
        <v>0</v>
      </c>
      <c r="AE2300" s="17">
        <f t="shared" si="107"/>
        <v>0</v>
      </c>
      <c r="AF2300" s="10" t="s">
        <v>5559</v>
      </c>
      <c r="AG2300" s="5" t="s">
        <v>72</v>
      </c>
      <c r="AH2300" s="5" t="s">
        <v>4717</v>
      </c>
      <c r="AI2300" s="5" t="s">
        <v>5459</v>
      </c>
      <c r="AJ2300" s="5" t="s">
        <v>5554</v>
      </c>
    </row>
    <row r="2301" spans="1:36" ht="10" customHeight="1" x14ac:dyDescent="0.2">
      <c r="A2301" s="5" t="s">
        <v>5448</v>
      </c>
      <c r="B2301" s="5" t="s">
        <v>4713</v>
      </c>
      <c r="D2301" s="5" t="s">
        <v>5560</v>
      </c>
      <c r="E2301" s="10" t="s">
        <v>188</v>
      </c>
      <c r="I2301" s="11">
        <v>2</v>
      </c>
      <c r="J2301" s="5" t="s">
        <v>5554</v>
      </c>
      <c r="K2301" s="10" t="s">
        <v>50</v>
      </c>
      <c r="L2301" s="5" t="s">
        <v>51</v>
      </c>
      <c r="M2301" s="5" t="s">
        <v>52</v>
      </c>
      <c r="N2301" s="5" t="s">
        <v>88</v>
      </c>
      <c r="O2301" s="12"/>
      <c r="AC2301" s="16" t="str">
        <f t="shared" si="105"/>
        <v/>
      </c>
      <c r="AD2301" s="17">
        <f t="shared" si="106"/>
        <v>0</v>
      </c>
      <c r="AE2301" s="17">
        <f t="shared" si="107"/>
        <v>0</v>
      </c>
      <c r="AF2301" s="10" t="s">
        <v>5561</v>
      </c>
      <c r="AG2301" s="5" t="s">
        <v>72</v>
      </c>
      <c r="AH2301" s="5" t="s">
        <v>4717</v>
      </c>
      <c r="AI2301" s="5" t="s">
        <v>5459</v>
      </c>
      <c r="AJ2301" s="5" t="s">
        <v>5554</v>
      </c>
    </row>
    <row r="2302" spans="1:36" ht="10" customHeight="1" x14ac:dyDescent="0.2">
      <c r="A2302" s="5" t="s">
        <v>5448</v>
      </c>
      <c r="B2302" s="5" t="s">
        <v>4713</v>
      </c>
      <c r="D2302" s="5" t="s">
        <v>5562</v>
      </c>
      <c r="E2302" s="10" t="s">
        <v>188</v>
      </c>
      <c r="I2302" s="11">
        <v>2</v>
      </c>
      <c r="J2302" s="5" t="s">
        <v>5554</v>
      </c>
      <c r="K2302" s="10" t="s">
        <v>50</v>
      </c>
      <c r="L2302" s="5" t="s">
        <v>51</v>
      </c>
      <c r="M2302" s="5" t="s">
        <v>52</v>
      </c>
      <c r="N2302" s="5" t="s">
        <v>88</v>
      </c>
      <c r="O2302" s="12"/>
      <c r="AC2302" s="16" t="str">
        <f t="shared" si="105"/>
        <v/>
      </c>
      <c r="AD2302" s="17">
        <f t="shared" si="106"/>
        <v>0</v>
      </c>
      <c r="AE2302" s="17">
        <f t="shared" si="107"/>
        <v>0</v>
      </c>
      <c r="AF2302" s="10" t="s">
        <v>5563</v>
      </c>
      <c r="AG2302" s="5" t="s">
        <v>72</v>
      </c>
      <c r="AH2302" s="5" t="s">
        <v>4717</v>
      </c>
      <c r="AI2302" s="5" t="s">
        <v>5459</v>
      </c>
      <c r="AJ2302" s="5" t="s">
        <v>5554</v>
      </c>
    </row>
    <row r="2303" spans="1:36" ht="10" customHeight="1" x14ac:dyDescent="0.2">
      <c r="A2303" s="5" t="s">
        <v>5448</v>
      </c>
      <c r="B2303" s="5" t="s">
        <v>4713</v>
      </c>
      <c r="D2303" s="5" t="s">
        <v>5564</v>
      </c>
      <c r="E2303" s="10" t="s">
        <v>188</v>
      </c>
      <c r="I2303" s="11">
        <v>2</v>
      </c>
      <c r="J2303" s="5" t="s">
        <v>5554</v>
      </c>
      <c r="K2303" s="10" t="s">
        <v>50</v>
      </c>
      <c r="L2303" s="5" t="s">
        <v>51</v>
      </c>
      <c r="M2303" s="5" t="s">
        <v>52</v>
      </c>
      <c r="N2303" s="5" t="s">
        <v>88</v>
      </c>
      <c r="O2303" s="12"/>
      <c r="AC2303" s="16" t="str">
        <f t="shared" si="105"/>
        <v/>
      </c>
      <c r="AD2303" s="17">
        <f t="shared" si="106"/>
        <v>0</v>
      </c>
      <c r="AE2303" s="17">
        <f t="shared" si="107"/>
        <v>0</v>
      </c>
      <c r="AF2303" s="10" t="s">
        <v>5565</v>
      </c>
      <c r="AG2303" s="5" t="s">
        <v>72</v>
      </c>
      <c r="AH2303" s="5" t="s">
        <v>4717</v>
      </c>
      <c r="AI2303" s="5" t="s">
        <v>5459</v>
      </c>
      <c r="AJ2303" s="5" t="s">
        <v>5554</v>
      </c>
    </row>
    <row r="2304" spans="1:36" ht="10" customHeight="1" x14ac:dyDescent="0.2">
      <c r="A2304" s="5" t="s">
        <v>5448</v>
      </c>
      <c r="B2304" s="5" t="s">
        <v>4713</v>
      </c>
      <c r="D2304" s="5" t="s">
        <v>5566</v>
      </c>
      <c r="E2304" s="10" t="s">
        <v>188</v>
      </c>
      <c r="I2304" s="11">
        <v>2</v>
      </c>
      <c r="J2304" s="5" t="s">
        <v>5554</v>
      </c>
      <c r="K2304" s="10" t="s">
        <v>50</v>
      </c>
      <c r="L2304" s="5" t="s">
        <v>51</v>
      </c>
      <c r="M2304" s="5" t="s">
        <v>52</v>
      </c>
      <c r="N2304" s="5" t="s">
        <v>88</v>
      </c>
      <c r="O2304" s="12"/>
      <c r="AC2304" s="16" t="str">
        <f t="shared" si="105"/>
        <v/>
      </c>
      <c r="AD2304" s="17">
        <f t="shared" si="106"/>
        <v>0</v>
      </c>
      <c r="AE2304" s="17">
        <f t="shared" si="107"/>
        <v>0</v>
      </c>
      <c r="AF2304" s="10" t="s">
        <v>5567</v>
      </c>
      <c r="AG2304" s="5" t="s">
        <v>72</v>
      </c>
      <c r="AH2304" s="5" t="s">
        <v>4717</v>
      </c>
      <c r="AI2304" s="5" t="s">
        <v>5459</v>
      </c>
      <c r="AJ2304" s="5" t="s">
        <v>5554</v>
      </c>
    </row>
    <row r="2305" spans="1:36" ht="10" customHeight="1" x14ac:dyDescent="0.2">
      <c r="A2305" s="5" t="s">
        <v>5448</v>
      </c>
      <c r="B2305" s="5" t="s">
        <v>4713</v>
      </c>
      <c r="D2305" s="5" t="s">
        <v>5568</v>
      </c>
      <c r="E2305" s="10" t="s">
        <v>188</v>
      </c>
      <c r="I2305" s="11">
        <v>2</v>
      </c>
      <c r="J2305" s="5" t="s">
        <v>5554</v>
      </c>
      <c r="K2305" s="10" t="s">
        <v>50</v>
      </c>
      <c r="L2305" s="5" t="s">
        <v>51</v>
      </c>
      <c r="M2305" s="5" t="s">
        <v>52</v>
      </c>
      <c r="N2305" s="5" t="s">
        <v>88</v>
      </c>
      <c r="O2305" s="12"/>
      <c r="AC2305" s="16" t="str">
        <f t="shared" si="105"/>
        <v/>
      </c>
      <c r="AD2305" s="17">
        <f t="shared" si="106"/>
        <v>0</v>
      </c>
      <c r="AE2305" s="17">
        <f t="shared" si="107"/>
        <v>0</v>
      </c>
      <c r="AF2305" s="10" t="s">
        <v>5569</v>
      </c>
      <c r="AG2305" s="5" t="s">
        <v>72</v>
      </c>
      <c r="AH2305" s="5" t="s">
        <v>4717</v>
      </c>
      <c r="AI2305" s="5" t="s">
        <v>5459</v>
      </c>
      <c r="AJ2305" s="5" t="s">
        <v>5554</v>
      </c>
    </row>
    <row r="2306" spans="1:36" ht="10" customHeight="1" x14ac:dyDescent="0.2">
      <c r="A2306" s="5" t="s">
        <v>5448</v>
      </c>
      <c r="B2306" s="5" t="s">
        <v>4713</v>
      </c>
      <c r="D2306" s="5" t="s">
        <v>5556</v>
      </c>
      <c r="E2306" s="10" t="s">
        <v>188</v>
      </c>
      <c r="I2306" s="11">
        <v>2</v>
      </c>
      <c r="J2306" s="5" t="s">
        <v>5554</v>
      </c>
      <c r="K2306" s="10" t="s">
        <v>50</v>
      </c>
      <c r="L2306" s="5" t="s">
        <v>51</v>
      </c>
      <c r="M2306" s="5" t="s">
        <v>52</v>
      </c>
      <c r="N2306" s="5" t="s">
        <v>88</v>
      </c>
      <c r="O2306" s="12"/>
      <c r="AC2306" s="16" t="str">
        <f t="shared" si="105"/>
        <v/>
      </c>
      <c r="AD2306" s="17">
        <f t="shared" si="106"/>
        <v>0</v>
      </c>
      <c r="AE2306" s="17">
        <f t="shared" si="107"/>
        <v>0</v>
      </c>
      <c r="AF2306" s="10" t="s">
        <v>5557</v>
      </c>
      <c r="AG2306" s="5" t="s">
        <v>72</v>
      </c>
      <c r="AH2306" s="5" t="s">
        <v>4717</v>
      </c>
      <c r="AI2306" s="5" t="s">
        <v>5459</v>
      </c>
      <c r="AJ2306" s="5" t="s">
        <v>5554</v>
      </c>
    </row>
    <row r="2307" spans="1:36" ht="10" customHeight="1" x14ac:dyDescent="0.2">
      <c r="A2307" s="5" t="s">
        <v>5448</v>
      </c>
      <c r="B2307" s="5" t="s">
        <v>4713</v>
      </c>
      <c r="D2307" s="5" t="s">
        <v>5570</v>
      </c>
      <c r="E2307" s="10" t="s">
        <v>188</v>
      </c>
      <c r="I2307" s="11">
        <v>2</v>
      </c>
      <c r="J2307" s="5" t="s">
        <v>5554</v>
      </c>
      <c r="K2307" s="10" t="s">
        <v>50</v>
      </c>
      <c r="L2307" s="5" t="s">
        <v>51</v>
      </c>
      <c r="M2307" s="5" t="s">
        <v>52</v>
      </c>
      <c r="N2307" s="5" t="s">
        <v>88</v>
      </c>
      <c r="O2307" s="12"/>
      <c r="AC2307" s="16" t="str">
        <f t="shared" si="105"/>
        <v/>
      </c>
      <c r="AD2307" s="17">
        <f t="shared" si="106"/>
        <v>0</v>
      </c>
      <c r="AE2307" s="17">
        <f t="shared" si="107"/>
        <v>0</v>
      </c>
      <c r="AF2307" s="10" t="s">
        <v>5571</v>
      </c>
      <c r="AG2307" s="5" t="s">
        <v>72</v>
      </c>
      <c r="AH2307" s="5" t="s">
        <v>4717</v>
      </c>
      <c r="AI2307" s="5" t="s">
        <v>5459</v>
      </c>
      <c r="AJ2307" s="5" t="s">
        <v>5554</v>
      </c>
    </row>
    <row r="2308" spans="1:36" ht="10" customHeight="1" x14ac:dyDescent="0.2">
      <c r="A2308" s="5" t="s">
        <v>5448</v>
      </c>
      <c r="B2308" s="5" t="s">
        <v>4713</v>
      </c>
      <c r="D2308" s="5" t="s">
        <v>5572</v>
      </c>
      <c r="E2308" s="10" t="s">
        <v>188</v>
      </c>
      <c r="I2308" s="11">
        <v>2</v>
      </c>
      <c r="J2308" s="5" t="s">
        <v>5554</v>
      </c>
      <c r="K2308" s="10" t="s">
        <v>50</v>
      </c>
      <c r="L2308" s="5" t="s">
        <v>51</v>
      </c>
      <c r="M2308" s="5" t="s">
        <v>52</v>
      </c>
      <c r="N2308" s="5" t="s">
        <v>88</v>
      </c>
      <c r="O2308" s="12"/>
      <c r="AC2308" s="16" t="str">
        <f t="shared" si="105"/>
        <v/>
      </c>
      <c r="AD2308" s="17">
        <f t="shared" si="106"/>
        <v>0</v>
      </c>
      <c r="AE2308" s="17">
        <f t="shared" si="107"/>
        <v>0</v>
      </c>
      <c r="AF2308" s="10" t="s">
        <v>5573</v>
      </c>
      <c r="AG2308" s="5" t="s">
        <v>72</v>
      </c>
      <c r="AH2308" s="5" t="s">
        <v>4717</v>
      </c>
      <c r="AI2308" s="5" t="s">
        <v>5459</v>
      </c>
      <c r="AJ2308" s="5" t="s">
        <v>5554</v>
      </c>
    </row>
    <row r="2309" spans="1:36" ht="10" customHeight="1" x14ac:dyDescent="0.2">
      <c r="A2309" s="5" t="s">
        <v>5448</v>
      </c>
      <c r="B2309" s="5" t="s">
        <v>4713</v>
      </c>
      <c r="D2309" s="5" t="s">
        <v>5574</v>
      </c>
      <c r="E2309" s="10" t="s">
        <v>188</v>
      </c>
      <c r="I2309" s="11">
        <v>2</v>
      </c>
      <c r="J2309" s="5" t="s">
        <v>5554</v>
      </c>
      <c r="K2309" s="10" t="s">
        <v>50</v>
      </c>
      <c r="L2309" s="5" t="s">
        <v>51</v>
      </c>
      <c r="M2309" s="5" t="s">
        <v>52</v>
      </c>
      <c r="N2309" s="5" t="s">
        <v>88</v>
      </c>
      <c r="O2309" s="12"/>
      <c r="AC2309" s="16" t="str">
        <f t="shared" si="105"/>
        <v/>
      </c>
      <c r="AD2309" s="17">
        <f t="shared" si="106"/>
        <v>0</v>
      </c>
      <c r="AE2309" s="17">
        <f t="shared" si="107"/>
        <v>0</v>
      </c>
      <c r="AF2309" s="10" t="s">
        <v>5575</v>
      </c>
      <c r="AG2309" s="5" t="s">
        <v>72</v>
      </c>
      <c r="AH2309" s="5" t="s">
        <v>4717</v>
      </c>
      <c r="AI2309" s="5" t="s">
        <v>5459</v>
      </c>
      <c r="AJ2309" s="5" t="s">
        <v>5554</v>
      </c>
    </row>
    <row r="2310" spans="1:36" ht="10" customHeight="1" x14ac:dyDescent="0.2">
      <c r="A2310" s="5" t="s">
        <v>5448</v>
      </c>
      <c r="B2310" s="5" t="s">
        <v>4713</v>
      </c>
      <c r="D2310" s="5" t="s">
        <v>5576</v>
      </c>
      <c r="E2310" s="10" t="s">
        <v>188</v>
      </c>
      <c r="I2310" s="11">
        <v>5</v>
      </c>
      <c r="J2310" s="5" t="s">
        <v>5554</v>
      </c>
      <c r="K2310" s="10" t="s">
        <v>50</v>
      </c>
      <c r="L2310" s="5" t="s">
        <v>51</v>
      </c>
      <c r="M2310" s="5" t="s">
        <v>52</v>
      </c>
      <c r="N2310" s="5" t="s">
        <v>88</v>
      </c>
      <c r="O2310" s="12"/>
      <c r="AC2310" s="16" t="str">
        <f t="shared" ref="AC2310:AC2373" si="108">IF(OR(E2310="",E2310="[PARENT]"),"ADD",IF(E2310="[ALT_VIEW]","ALT",""))</f>
        <v/>
      </c>
      <c r="AD2310" s="17">
        <f t="shared" ref="AD2310:AD2373" si="109">IF(Y2310&lt;&gt;"",Y2310,IF(U2310&lt;&gt;"",U2310,S2310))</f>
        <v>0</v>
      </c>
      <c r="AE2310" s="17">
        <f t="shared" ref="AE2310:AE2373" si="110">IF(AB2310&lt;&gt;"",AB2310,Z2310)</f>
        <v>0</v>
      </c>
      <c r="AF2310" s="10" t="s">
        <v>5577</v>
      </c>
      <c r="AG2310" s="5" t="s">
        <v>72</v>
      </c>
      <c r="AH2310" s="5" t="s">
        <v>4717</v>
      </c>
      <c r="AI2310" s="5" t="s">
        <v>5459</v>
      </c>
      <c r="AJ2310" s="5" t="s">
        <v>5554</v>
      </c>
    </row>
    <row r="2311" spans="1:36" ht="10" customHeight="1" x14ac:dyDescent="0.2">
      <c r="A2311" s="5" t="s">
        <v>5448</v>
      </c>
      <c r="B2311" s="5" t="s">
        <v>4713</v>
      </c>
      <c r="D2311" s="5" t="s">
        <v>5578</v>
      </c>
      <c r="E2311" s="10" t="s">
        <v>188</v>
      </c>
      <c r="I2311" s="11">
        <v>2</v>
      </c>
      <c r="J2311" s="5" t="s">
        <v>5554</v>
      </c>
      <c r="K2311" s="10" t="s">
        <v>50</v>
      </c>
      <c r="L2311" s="5" t="s">
        <v>51</v>
      </c>
      <c r="M2311" s="5" t="s">
        <v>52</v>
      </c>
      <c r="N2311" s="5" t="s">
        <v>88</v>
      </c>
      <c r="O2311" s="12"/>
      <c r="AC2311" s="16" t="str">
        <f t="shared" si="108"/>
        <v/>
      </c>
      <c r="AD2311" s="17">
        <f t="shared" si="109"/>
        <v>0</v>
      </c>
      <c r="AE2311" s="17">
        <f t="shared" si="110"/>
        <v>0</v>
      </c>
      <c r="AF2311" s="10" t="s">
        <v>5579</v>
      </c>
      <c r="AG2311" s="5" t="s">
        <v>72</v>
      </c>
      <c r="AH2311" s="5" t="s">
        <v>4717</v>
      </c>
      <c r="AI2311" s="5" t="s">
        <v>5459</v>
      </c>
      <c r="AJ2311" s="5" t="s">
        <v>5554</v>
      </c>
    </row>
    <row r="2312" spans="1:36" ht="10" customHeight="1" x14ac:dyDescent="0.2">
      <c r="A2312" s="5" t="s">
        <v>5448</v>
      </c>
      <c r="B2312" s="5" t="s">
        <v>4713</v>
      </c>
      <c r="D2312" s="5" t="s">
        <v>5580</v>
      </c>
      <c r="E2312" s="10" t="s">
        <v>188</v>
      </c>
      <c r="I2312" s="11">
        <v>2</v>
      </c>
      <c r="J2312" s="5" t="s">
        <v>5554</v>
      </c>
      <c r="K2312" s="10" t="s">
        <v>50</v>
      </c>
      <c r="L2312" s="5" t="s">
        <v>51</v>
      </c>
      <c r="M2312" s="5" t="s">
        <v>52</v>
      </c>
      <c r="N2312" s="5" t="s">
        <v>88</v>
      </c>
      <c r="O2312" s="12"/>
      <c r="AC2312" s="16" t="str">
        <f t="shared" si="108"/>
        <v/>
      </c>
      <c r="AD2312" s="17">
        <f t="shared" si="109"/>
        <v>0</v>
      </c>
      <c r="AE2312" s="17">
        <f t="shared" si="110"/>
        <v>0</v>
      </c>
      <c r="AF2312" s="10" t="s">
        <v>5581</v>
      </c>
      <c r="AG2312" s="5" t="s">
        <v>72</v>
      </c>
      <c r="AH2312" s="5" t="s">
        <v>4717</v>
      </c>
      <c r="AI2312" s="5" t="s">
        <v>5459</v>
      </c>
      <c r="AJ2312" s="5" t="s">
        <v>5554</v>
      </c>
    </row>
    <row r="2313" spans="1:36" ht="10" customHeight="1" x14ac:dyDescent="0.2">
      <c r="A2313" s="5" t="s">
        <v>5448</v>
      </c>
      <c r="B2313" s="5" t="s">
        <v>4713</v>
      </c>
      <c r="D2313" s="5" t="s">
        <v>5582</v>
      </c>
      <c r="E2313" s="10" t="s">
        <v>188</v>
      </c>
      <c r="I2313" s="11">
        <v>2</v>
      </c>
      <c r="J2313" s="5" t="s">
        <v>5554</v>
      </c>
      <c r="K2313" s="10" t="s">
        <v>50</v>
      </c>
      <c r="L2313" s="5" t="s">
        <v>51</v>
      </c>
      <c r="M2313" s="5" t="s">
        <v>52</v>
      </c>
      <c r="N2313" s="5" t="s">
        <v>88</v>
      </c>
      <c r="O2313" s="12"/>
      <c r="AC2313" s="16" t="str">
        <f t="shared" si="108"/>
        <v/>
      </c>
      <c r="AD2313" s="17">
        <f t="shared" si="109"/>
        <v>0</v>
      </c>
      <c r="AE2313" s="17">
        <f t="shared" si="110"/>
        <v>0</v>
      </c>
      <c r="AF2313" s="10" t="s">
        <v>5583</v>
      </c>
      <c r="AG2313" s="5" t="s">
        <v>72</v>
      </c>
      <c r="AH2313" s="5" t="s">
        <v>4717</v>
      </c>
      <c r="AI2313" s="5" t="s">
        <v>5459</v>
      </c>
      <c r="AJ2313" s="5" t="s">
        <v>5554</v>
      </c>
    </row>
    <row r="2314" spans="1:36" ht="10" customHeight="1" x14ac:dyDescent="0.2">
      <c r="A2314" s="5" t="s">
        <v>5448</v>
      </c>
      <c r="B2314" s="5" t="s">
        <v>4713</v>
      </c>
      <c r="D2314" s="5" t="s">
        <v>5584</v>
      </c>
      <c r="E2314" s="10" t="s">
        <v>188</v>
      </c>
      <c r="I2314" s="11">
        <v>3</v>
      </c>
      <c r="J2314" s="5" t="s">
        <v>5554</v>
      </c>
      <c r="K2314" s="10" t="s">
        <v>50</v>
      </c>
      <c r="L2314" s="5" t="s">
        <v>51</v>
      </c>
      <c r="M2314" s="5" t="s">
        <v>52</v>
      </c>
      <c r="N2314" s="5" t="s">
        <v>88</v>
      </c>
      <c r="O2314" s="12"/>
      <c r="AC2314" s="16" t="str">
        <f t="shared" si="108"/>
        <v/>
      </c>
      <c r="AD2314" s="17">
        <f t="shared" si="109"/>
        <v>0</v>
      </c>
      <c r="AE2314" s="17">
        <f t="shared" si="110"/>
        <v>0</v>
      </c>
      <c r="AF2314" s="10" t="s">
        <v>5585</v>
      </c>
      <c r="AG2314" s="5" t="s">
        <v>72</v>
      </c>
      <c r="AH2314" s="5" t="s">
        <v>4717</v>
      </c>
      <c r="AI2314" s="5" t="s">
        <v>5459</v>
      </c>
      <c r="AJ2314" s="5" t="s">
        <v>5554</v>
      </c>
    </row>
    <row r="2315" spans="1:36" ht="10" customHeight="1" x14ac:dyDescent="0.2">
      <c r="A2315" s="5" t="s">
        <v>5448</v>
      </c>
      <c r="B2315" s="5" t="s">
        <v>4713</v>
      </c>
      <c r="D2315" s="5" t="s">
        <v>5586</v>
      </c>
      <c r="E2315" s="10" t="s">
        <v>188</v>
      </c>
      <c r="I2315" s="11">
        <v>2</v>
      </c>
      <c r="J2315" s="5" t="s">
        <v>5554</v>
      </c>
      <c r="K2315" s="10" t="s">
        <v>50</v>
      </c>
      <c r="L2315" s="5" t="s">
        <v>51</v>
      </c>
      <c r="M2315" s="5" t="s">
        <v>52</v>
      </c>
      <c r="N2315" s="5" t="s">
        <v>88</v>
      </c>
      <c r="O2315" s="12"/>
      <c r="AC2315" s="16" t="str">
        <f t="shared" si="108"/>
        <v/>
      </c>
      <c r="AD2315" s="17">
        <f t="shared" si="109"/>
        <v>0</v>
      </c>
      <c r="AE2315" s="17">
        <f t="shared" si="110"/>
        <v>0</v>
      </c>
      <c r="AF2315" s="10" t="s">
        <v>5587</v>
      </c>
      <c r="AG2315" s="5" t="s">
        <v>72</v>
      </c>
      <c r="AH2315" s="5" t="s">
        <v>4717</v>
      </c>
      <c r="AI2315" s="5" t="s">
        <v>5459</v>
      </c>
      <c r="AJ2315" s="5" t="s">
        <v>5554</v>
      </c>
    </row>
    <row r="2316" spans="1:36" ht="10" customHeight="1" x14ac:dyDescent="0.2">
      <c r="A2316" s="5" t="s">
        <v>5448</v>
      </c>
      <c r="B2316" s="5" t="s">
        <v>4713</v>
      </c>
      <c r="D2316" s="5" t="s">
        <v>5588</v>
      </c>
      <c r="E2316" s="10" t="s">
        <v>188</v>
      </c>
      <c r="I2316" s="11">
        <v>2</v>
      </c>
      <c r="J2316" s="5" t="s">
        <v>5554</v>
      </c>
      <c r="K2316" s="10" t="s">
        <v>50</v>
      </c>
      <c r="L2316" s="5" t="s">
        <v>51</v>
      </c>
      <c r="M2316" s="5" t="s">
        <v>52</v>
      </c>
      <c r="N2316" s="5" t="s">
        <v>88</v>
      </c>
      <c r="O2316" s="12"/>
      <c r="AC2316" s="16" t="str">
        <f t="shared" si="108"/>
        <v/>
      </c>
      <c r="AD2316" s="17">
        <f t="shared" si="109"/>
        <v>0</v>
      </c>
      <c r="AE2316" s="17">
        <f t="shared" si="110"/>
        <v>0</v>
      </c>
      <c r="AF2316" s="10" t="s">
        <v>5589</v>
      </c>
      <c r="AG2316" s="5" t="s">
        <v>72</v>
      </c>
      <c r="AH2316" s="5" t="s">
        <v>4717</v>
      </c>
      <c r="AI2316" s="5" t="s">
        <v>5459</v>
      </c>
      <c r="AJ2316" s="5" t="s">
        <v>5554</v>
      </c>
    </row>
    <row r="2317" spans="1:36" ht="10" customHeight="1" x14ac:dyDescent="0.2">
      <c r="A2317" s="5" t="s">
        <v>5448</v>
      </c>
      <c r="B2317" s="5" t="s">
        <v>4713</v>
      </c>
      <c r="D2317" s="5" t="s">
        <v>5590</v>
      </c>
      <c r="E2317" s="10" t="s">
        <v>188</v>
      </c>
      <c r="I2317" s="11">
        <v>2</v>
      </c>
      <c r="J2317" s="5" t="s">
        <v>5554</v>
      </c>
      <c r="K2317" s="10" t="s">
        <v>50</v>
      </c>
      <c r="L2317" s="5" t="s">
        <v>51</v>
      </c>
      <c r="M2317" s="5" t="s">
        <v>119</v>
      </c>
      <c r="N2317" s="5" t="s">
        <v>120</v>
      </c>
      <c r="O2317" s="12"/>
      <c r="AC2317" s="16" t="str">
        <f t="shared" si="108"/>
        <v/>
      </c>
      <c r="AD2317" s="17">
        <f t="shared" si="109"/>
        <v>0</v>
      </c>
      <c r="AE2317" s="17">
        <f t="shared" si="110"/>
        <v>0</v>
      </c>
      <c r="AF2317" s="10" t="s">
        <v>5591</v>
      </c>
      <c r="AG2317" s="5" t="s">
        <v>72</v>
      </c>
      <c r="AH2317" s="5" t="s">
        <v>4717</v>
      </c>
      <c r="AI2317" s="5" t="s">
        <v>5459</v>
      </c>
      <c r="AJ2317" s="5" t="s">
        <v>5554</v>
      </c>
    </row>
    <row r="2318" spans="1:36" ht="10" customHeight="1" x14ac:dyDescent="0.2">
      <c r="A2318" s="5" t="s">
        <v>5448</v>
      </c>
      <c r="B2318" s="5" t="s">
        <v>4713</v>
      </c>
      <c r="D2318" s="5" t="s">
        <v>5592</v>
      </c>
      <c r="E2318" s="10" t="s">
        <v>188</v>
      </c>
      <c r="I2318" s="11">
        <v>2</v>
      </c>
      <c r="J2318" s="5" t="s">
        <v>5554</v>
      </c>
      <c r="K2318" s="10" t="s">
        <v>50</v>
      </c>
      <c r="L2318" s="5" t="s">
        <v>51</v>
      </c>
      <c r="M2318" s="5" t="s">
        <v>52</v>
      </c>
      <c r="N2318" s="5" t="s">
        <v>88</v>
      </c>
      <c r="O2318" s="12"/>
      <c r="AC2318" s="16" t="str">
        <f t="shared" si="108"/>
        <v/>
      </c>
      <c r="AD2318" s="17">
        <f t="shared" si="109"/>
        <v>0</v>
      </c>
      <c r="AE2318" s="17">
        <f t="shared" si="110"/>
        <v>0</v>
      </c>
      <c r="AF2318" s="10" t="s">
        <v>5593</v>
      </c>
      <c r="AG2318" s="5" t="s">
        <v>72</v>
      </c>
      <c r="AH2318" s="5" t="s">
        <v>4717</v>
      </c>
      <c r="AI2318" s="5" t="s">
        <v>5459</v>
      </c>
      <c r="AJ2318" s="5" t="s">
        <v>5554</v>
      </c>
    </row>
    <row r="2319" spans="1:36" ht="10" customHeight="1" x14ac:dyDescent="0.2">
      <c r="A2319" s="5" t="s">
        <v>5448</v>
      </c>
      <c r="B2319" s="5" t="s">
        <v>4713</v>
      </c>
      <c r="D2319" s="5" t="s">
        <v>5594</v>
      </c>
      <c r="E2319" s="10" t="s">
        <v>188</v>
      </c>
      <c r="I2319" s="11">
        <v>3</v>
      </c>
      <c r="J2319" s="5" t="s">
        <v>5554</v>
      </c>
      <c r="K2319" s="10" t="s">
        <v>50</v>
      </c>
      <c r="L2319" s="5" t="s">
        <v>51</v>
      </c>
      <c r="M2319" s="5" t="s">
        <v>52</v>
      </c>
      <c r="N2319" s="5" t="s">
        <v>88</v>
      </c>
      <c r="O2319" s="12"/>
      <c r="AC2319" s="16" t="str">
        <f t="shared" si="108"/>
        <v/>
      </c>
      <c r="AD2319" s="17">
        <f t="shared" si="109"/>
        <v>0</v>
      </c>
      <c r="AE2319" s="17">
        <f t="shared" si="110"/>
        <v>0</v>
      </c>
      <c r="AF2319" s="10" t="s">
        <v>5595</v>
      </c>
      <c r="AG2319" s="5" t="s">
        <v>72</v>
      </c>
      <c r="AH2319" s="5" t="s">
        <v>4717</v>
      </c>
      <c r="AI2319" s="5" t="s">
        <v>5459</v>
      </c>
      <c r="AJ2319" s="5" t="s">
        <v>5554</v>
      </c>
    </row>
    <row r="2320" spans="1:36" ht="10" customHeight="1" x14ac:dyDescent="0.2">
      <c r="A2320" s="5" t="s">
        <v>5448</v>
      </c>
      <c r="B2320" s="5" t="s">
        <v>4713</v>
      </c>
      <c r="D2320" s="5" t="s">
        <v>5596</v>
      </c>
      <c r="E2320" s="10" t="s">
        <v>188</v>
      </c>
      <c r="I2320" s="11">
        <v>2</v>
      </c>
      <c r="J2320" s="5" t="s">
        <v>5554</v>
      </c>
      <c r="K2320" s="10" t="s">
        <v>50</v>
      </c>
      <c r="L2320" s="5" t="s">
        <v>51</v>
      </c>
      <c r="M2320" s="5" t="s">
        <v>52</v>
      </c>
      <c r="N2320" s="5" t="s">
        <v>88</v>
      </c>
      <c r="O2320" s="12"/>
      <c r="AC2320" s="16" t="str">
        <f t="shared" si="108"/>
        <v/>
      </c>
      <c r="AD2320" s="17">
        <f t="shared" si="109"/>
        <v>0</v>
      </c>
      <c r="AE2320" s="17">
        <f t="shared" si="110"/>
        <v>0</v>
      </c>
      <c r="AF2320" s="10" t="s">
        <v>5597</v>
      </c>
      <c r="AG2320" s="5" t="s">
        <v>72</v>
      </c>
      <c r="AH2320" s="5" t="s">
        <v>4717</v>
      </c>
      <c r="AI2320" s="5" t="s">
        <v>5459</v>
      </c>
      <c r="AJ2320" s="5" t="s">
        <v>5554</v>
      </c>
    </row>
    <row r="2321" spans="1:36" ht="10" customHeight="1" x14ac:dyDescent="0.2">
      <c r="A2321" s="5" t="s">
        <v>5448</v>
      </c>
      <c r="B2321" s="5" t="s">
        <v>4713</v>
      </c>
      <c r="D2321" s="5" t="s">
        <v>5598</v>
      </c>
      <c r="E2321" s="10" t="s">
        <v>188</v>
      </c>
      <c r="I2321" s="11">
        <v>2</v>
      </c>
      <c r="J2321" s="5" t="s">
        <v>5554</v>
      </c>
      <c r="K2321" s="10" t="s">
        <v>50</v>
      </c>
      <c r="L2321" s="5" t="s">
        <v>51</v>
      </c>
      <c r="M2321" s="5" t="s">
        <v>52</v>
      </c>
      <c r="N2321" s="5" t="s">
        <v>88</v>
      </c>
      <c r="O2321" s="12"/>
      <c r="AC2321" s="16" t="str">
        <f t="shared" si="108"/>
        <v/>
      </c>
      <c r="AD2321" s="17">
        <f t="shared" si="109"/>
        <v>0</v>
      </c>
      <c r="AE2321" s="17">
        <f t="shared" si="110"/>
        <v>0</v>
      </c>
      <c r="AF2321" s="10" t="s">
        <v>5599</v>
      </c>
      <c r="AG2321" s="5" t="s">
        <v>72</v>
      </c>
      <c r="AH2321" s="5" t="s">
        <v>4717</v>
      </c>
      <c r="AI2321" s="5" t="s">
        <v>5459</v>
      </c>
      <c r="AJ2321" s="5" t="s">
        <v>5554</v>
      </c>
    </row>
    <row r="2322" spans="1:36" ht="10" customHeight="1" x14ac:dyDescent="0.2">
      <c r="A2322" s="5" t="s">
        <v>5448</v>
      </c>
      <c r="B2322" s="5" t="s">
        <v>4713</v>
      </c>
      <c r="D2322" s="5" t="s">
        <v>5600</v>
      </c>
      <c r="E2322" s="10" t="s">
        <v>57</v>
      </c>
      <c r="F2322" s="5" t="s">
        <v>5601</v>
      </c>
      <c r="I2322" s="11">
        <v>2</v>
      </c>
      <c r="J2322" s="5" t="s">
        <v>4328</v>
      </c>
      <c r="K2322" s="12"/>
      <c r="O2322" s="12"/>
      <c r="P2322" s="13">
        <v>2900694</v>
      </c>
      <c r="Q2322" s="13">
        <v>3195971</v>
      </c>
      <c r="S2322" s="13">
        <v>3471183</v>
      </c>
      <c r="AC2322" s="16" t="str">
        <f t="shared" si="108"/>
        <v/>
      </c>
      <c r="AD2322" s="17">
        <f t="shared" si="109"/>
        <v>3471183</v>
      </c>
      <c r="AE2322" s="17">
        <f t="shared" si="110"/>
        <v>0</v>
      </c>
      <c r="AF2322" s="10" t="s">
        <v>5602</v>
      </c>
      <c r="AG2322" s="5" t="s">
        <v>4602</v>
      </c>
      <c r="AH2322" s="5" t="s">
        <v>4717</v>
      </c>
      <c r="AI2322" s="5" t="s">
        <v>5603</v>
      </c>
      <c r="AJ2322" s="5" t="s">
        <v>5460</v>
      </c>
    </row>
    <row r="2323" spans="1:36" ht="10" customHeight="1" x14ac:dyDescent="0.2">
      <c r="A2323" s="5" t="s">
        <v>5448</v>
      </c>
      <c r="B2323" s="5" t="s">
        <v>4713</v>
      </c>
      <c r="D2323" s="5" t="s">
        <v>5604</v>
      </c>
      <c r="E2323" s="10" t="s">
        <v>57</v>
      </c>
      <c r="F2323" s="5" t="s">
        <v>5601</v>
      </c>
      <c r="I2323" s="11">
        <v>2</v>
      </c>
      <c r="J2323" s="5" t="s">
        <v>4328</v>
      </c>
      <c r="K2323" s="12"/>
      <c r="O2323" s="12"/>
      <c r="P2323" s="13">
        <v>2617377</v>
      </c>
      <c r="Q2323" s="13">
        <v>2816900</v>
      </c>
      <c r="S2323" s="13">
        <v>3023072</v>
      </c>
      <c r="AC2323" s="16" t="str">
        <f t="shared" si="108"/>
        <v/>
      </c>
      <c r="AD2323" s="17">
        <f t="shared" si="109"/>
        <v>3023072</v>
      </c>
      <c r="AE2323" s="17">
        <f t="shared" si="110"/>
        <v>0</v>
      </c>
      <c r="AF2323" s="10" t="s">
        <v>5605</v>
      </c>
      <c r="AG2323" s="5" t="s">
        <v>4602</v>
      </c>
      <c r="AH2323" s="5" t="s">
        <v>4717</v>
      </c>
      <c r="AI2323" s="5" t="s">
        <v>5603</v>
      </c>
      <c r="AJ2323" s="5" t="s">
        <v>5460</v>
      </c>
    </row>
    <row r="2324" spans="1:36" ht="10" customHeight="1" x14ac:dyDescent="0.2">
      <c r="A2324" s="5" t="s">
        <v>5448</v>
      </c>
      <c r="B2324" s="5" t="s">
        <v>4713</v>
      </c>
      <c r="D2324" s="5" t="s">
        <v>5606</v>
      </c>
      <c r="E2324" s="10" t="s">
        <v>57</v>
      </c>
      <c r="F2324" s="5" t="s">
        <v>5601</v>
      </c>
      <c r="I2324" s="11">
        <v>2</v>
      </c>
      <c r="J2324" s="5" t="s">
        <v>4328</v>
      </c>
      <c r="K2324" s="12"/>
      <c r="O2324" s="12"/>
      <c r="P2324" s="13">
        <v>2549190</v>
      </c>
      <c r="Q2324" s="13">
        <v>2746474</v>
      </c>
      <c r="S2324" s="13">
        <v>2950183</v>
      </c>
      <c r="AC2324" s="16" t="str">
        <f t="shared" si="108"/>
        <v/>
      </c>
      <c r="AD2324" s="17">
        <f t="shared" si="109"/>
        <v>2950183</v>
      </c>
      <c r="AE2324" s="17">
        <f t="shared" si="110"/>
        <v>0</v>
      </c>
      <c r="AF2324" s="10" t="s">
        <v>5607</v>
      </c>
      <c r="AG2324" s="5" t="s">
        <v>4602</v>
      </c>
      <c r="AH2324" s="5" t="s">
        <v>4717</v>
      </c>
      <c r="AI2324" s="5" t="s">
        <v>5603</v>
      </c>
      <c r="AJ2324" s="5" t="s">
        <v>5460</v>
      </c>
    </row>
    <row r="2325" spans="1:36" ht="10" customHeight="1" x14ac:dyDescent="0.2">
      <c r="A2325" s="5" t="s">
        <v>5448</v>
      </c>
      <c r="B2325" s="5" t="s">
        <v>4713</v>
      </c>
      <c r="D2325" s="5" t="s">
        <v>5608</v>
      </c>
      <c r="E2325" s="10" t="s">
        <v>57</v>
      </c>
      <c r="F2325" s="5" t="s">
        <v>5601</v>
      </c>
      <c r="I2325" s="11">
        <v>2</v>
      </c>
      <c r="J2325" s="5" t="s">
        <v>4328</v>
      </c>
      <c r="K2325" s="12"/>
      <c r="O2325" s="12"/>
      <c r="P2325" s="13">
        <v>0</v>
      </c>
      <c r="Q2325" s="13">
        <v>0</v>
      </c>
      <c r="S2325" s="13">
        <v>0</v>
      </c>
      <c r="AC2325" s="16" t="str">
        <f t="shared" si="108"/>
        <v/>
      </c>
      <c r="AD2325" s="17">
        <f t="shared" si="109"/>
        <v>0</v>
      </c>
      <c r="AE2325" s="17">
        <f t="shared" si="110"/>
        <v>0</v>
      </c>
      <c r="AF2325" s="10" t="s">
        <v>5609</v>
      </c>
      <c r="AG2325" s="5" t="s">
        <v>4602</v>
      </c>
      <c r="AH2325" s="5" t="s">
        <v>4717</v>
      </c>
      <c r="AI2325" s="5" t="s">
        <v>5603</v>
      </c>
      <c r="AJ2325" s="5" t="s">
        <v>5460</v>
      </c>
    </row>
    <row r="2326" spans="1:36" ht="10" customHeight="1" x14ac:dyDescent="0.2">
      <c r="A2326" s="5" t="s">
        <v>5448</v>
      </c>
      <c r="B2326" s="5" t="s">
        <v>4713</v>
      </c>
      <c r="D2326" s="5" t="s">
        <v>5610</v>
      </c>
      <c r="E2326" s="10" t="s">
        <v>57</v>
      </c>
      <c r="F2326" s="5" t="s">
        <v>5601</v>
      </c>
      <c r="I2326" s="11">
        <v>2</v>
      </c>
      <c r="J2326" s="5" t="s">
        <v>4328</v>
      </c>
      <c r="K2326" s="12"/>
      <c r="O2326" s="12"/>
      <c r="P2326" s="13">
        <v>68187</v>
      </c>
      <c r="Q2326" s="13">
        <v>70426</v>
      </c>
      <c r="S2326" s="13">
        <v>72889</v>
      </c>
      <c r="AC2326" s="16" t="str">
        <f t="shared" si="108"/>
        <v/>
      </c>
      <c r="AD2326" s="17">
        <f t="shared" si="109"/>
        <v>72889</v>
      </c>
      <c r="AE2326" s="17">
        <f t="shared" si="110"/>
        <v>0</v>
      </c>
      <c r="AF2326" s="10" t="s">
        <v>5611</v>
      </c>
      <c r="AG2326" s="5" t="s">
        <v>4602</v>
      </c>
      <c r="AH2326" s="5" t="s">
        <v>4717</v>
      </c>
      <c r="AI2326" s="5" t="s">
        <v>5603</v>
      </c>
      <c r="AJ2326" s="5" t="s">
        <v>5460</v>
      </c>
    </row>
    <row r="2327" spans="1:36" ht="10" customHeight="1" x14ac:dyDescent="0.2">
      <c r="A2327" s="5" t="s">
        <v>5448</v>
      </c>
      <c r="B2327" s="5" t="s">
        <v>4713</v>
      </c>
      <c r="D2327" s="5" t="s">
        <v>5612</v>
      </c>
      <c r="E2327" s="10" t="s">
        <v>57</v>
      </c>
      <c r="F2327" s="5" t="s">
        <v>5601</v>
      </c>
      <c r="I2327" s="11">
        <v>2</v>
      </c>
      <c r="J2327" s="5" t="s">
        <v>4328</v>
      </c>
      <c r="K2327" s="12"/>
      <c r="O2327" s="12"/>
      <c r="P2327" s="13">
        <v>283317</v>
      </c>
      <c r="Q2327" s="13">
        <v>379071</v>
      </c>
      <c r="S2327" s="13">
        <v>448111</v>
      </c>
      <c r="AC2327" s="16" t="str">
        <f t="shared" si="108"/>
        <v/>
      </c>
      <c r="AD2327" s="17">
        <f t="shared" si="109"/>
        <v>448111</v>
      </c>
      <c r="AE2327" s="17">
        <f t="shared" si="110"/>
        <v>0</v>
      </c>
      <c r="AF2327" s="10" t="s">
        <v>5613</v>
      </c>
      <c r="AG2327" s="5" t="s">
        <v>4602</v>
      </c>
      <c r="AH2327" s="5" t="s">
        <v>4717</v>
      </c>
      <c r="AI2327" s="5" t="s">
        <v>5603</v>
      </c>
      <c r="AJ2327" s="5" t="s">
        <v>5460</v>
      </c>
    </row>
    <row r="2328" spans="1:36" ht="10" customHeight="1" x14ac:dyDescent="0.2">
      <c r="A2328" s="5" t="s">
        <v>5448</v>
      </c>
      <c r="B2328" s="5" t="s">
        <v>4713</v>
      </c>
      <c r="D2328" s="5" t="s">
        <v>5614</v>
      </c>
      <c r="E2328" s="10" t="s">
        <v>57</v>
      </c>
      <c r="F2328" s="5" t="s">
        <v>5601</v>
      </c>
      <c r="I2328" s="11">
        <v>2</v>
      </c>
      <c r="J2328" s="5" t="s">
        <v>4328</v>
      </c>
      <c r="K2328" s="12"/>
      <c r="O2328" s="12"/>
      <c r="P2328" s="13">
        <v>159789</v>
      </c>
      <c r="Q2328" s="13">
        <v>213794</v>
      </c>
      <c r="S2328" s="13">
        <v>252732</v>
      </c>
      <c r="AC2328" s="16" t="str">
        <f t="shared" si="108"/>
        <v/>
      </c>
      <c r="AD2328" s="17">
        <f t="shared" si="109"/>
        <v>252732</v>
      </c>
      <c r="AE2328" s="17">
        <f t="shared" si="110"/>
        <v>0</v>
      </c>
      <c r="AF2328" s="10" t="s">
        <v>5615</v>
      </c>
      <c r="AG2328" s="5" t="s">
        <v>4602</v>
      </c>
      <c r="AH2328" s="5" t="s">
        <v>4717</v>
      </c>
      <c r="AI2328" s="5" t="s">
        <v>5603</v>
      </c>
      <c r="AJ2328" s="5" t="s">
        <v>5460</v>
      </c>
    </row>
    <row r="2329" spans="1:36" ht="10" customHeight="1" x14ac:dyDescent="0.2">
      <c r="A2329" s="5" t="s">
        <v>5448</v>
      </c>
      <c r="B2329" s="5" t="s">
        <v>4713</v>
      </c>
      <c r="D2329" s="5" t="s">
        <v>5616</v>
      </c>
      <c r="E2329" s="10" t="s">
        <v>57</v>
      </c>
      <c r="F2329" s="5" t="s">
        <v>5601</v>
      </c>
      <c r="I2329" s="11">
        <v>2</v>
      </c>
      <c r="J2329" s="5" t="s">
        <v>4328</v>
      </c>
      <c r="K2329" s="12"/>
      <c r="O2329" s="12"/>
      <c r="P2329" s="13">
        <v>140</v>
      </c>
      <c r="Q2329" s="13">
        <v>187</v>
      </c>
      <c r="S2329" s="13">
        <v>222</v>
      </c>
      <c r="AC2329" s="16" t="str">
        <f t="shared" si="108"/>
        <v/>
      </c>
      <c r="AD2329" s="17">
        <f t="shared" si="109"/>
        <v>222</v>
      </c>
      <c r="AE2329" s="17">
        <f t="shared" si="110"/>
        <v>0</v>
      </c>
      <c r="AF2329" s="10" t="s">
        <v>5617</v>
      </c>
      <c r="AG2329" s="5" t="s">
        <v>4602</v>
      </c>
      <c r="AH2329" s="5" t="s">
        <v>4717</v>
      </c>
      <c r="AI2329" s="5" t="s">
        <v>5603</v>
      </c>
      <c r="AJ2329" s="5" t="s">
        <v>5460</v>
      </c>
    </row>
    <row r="2330" spans="1:36" ht="10" customHeight="1" x14ac:dyDescent="0.2">
      <c r="A2330" s="5" t="s">
        <v>5448</v>
      </c>
      <c r="B2330" s="5" t="s">
        <v>4713</v>
      </c>
      <c r="D2330" s="5" t="s">
        <v>5618</v>
      </c>
      <c r="E2330" s="10" t="s">
        <v>57</v>
      </c>
      <c r="F2330" s="5" t="s">
        <v>5601</v>
      </c>
      <c r="I2330" s="11">
        <v>2</v>
      </c>
      <c r="J2330" s="5" t="s">
        <v>4328</v>
      </c>
      <c r="K2330" s="12"/>
      <c r="O2330" s="12"/>
      <c r="P2330" s="13">
        <v>27173</v>
      </c>
      <c r="Q2330" s="13">
        <v>36357</v>
      </c>
      <c r="S2330" s="13">
        <v>42979</v>
      </c>
      <c r="AC2330" s="16" t="str">
        <f t="shared" si="108"/>
        <v/>
      </c>
      <c r="AD2330" s="17">
        <f t="shared" si="109"/>
        <v>42979</v>
      </c>
      <c r="AE2330" s="17">
        <f t="shared" si="110"/>
        <v>0</v>
      </c>
      <c r="AF2330" s="10" t="s">
        <v>5619</v>
      </c>
      <c r="AG2330" s="5" t="s">
        <v>4602</v>
      </c>
      <c r="AH2330" s="5" t="s">
        <v>4717</v>
      </c>
      <c r="AI2330" s="5" t="s">
        <v>5603</v>
      </c>
      <c r="AJ2330" s="5" t="s">
        <v>5460</v>
      </c>
    </row>
    <row r="2331" spans="1:36" ht="10" customHeight="1" x14ac:dyDescent="0.2">
      <c r="A2331" s="5" t="s">
        <v>5448</v>
      </c>
      <c r="B2331" s="5" t="s">
        <v>4713</v>
      </c>
      <c r="D2331" s="5" t="s">
        <v>5620</v>
      </c>
      <c r="E2331" s="10" t="s">
        <v>57</v>
      </c>
      <c r="F2331" s="5" t="s">
        <v>5601</v>
      </c>
      <c r="I2331" s="11">
        <v>2</v>
      </c>
      <c r="J2331" s="5" t="s">
        <v>4328</v>
      </c>
      <c r="K2331" s="12"/>
      <c r="O2331" s="12"/>
      <c r="P2331" s="13">
        <v>0</v>
      </c>
      <c r="Q2331" s="13">
        <v>0</v>
      </c>
      <c r="S2331" s="13">
        <v>0</v>
      </c>
      <c r="AC2331" s="16" t="str">
        <f t="shared" si="108"/>
        <v/>
      </c>
      <c r="AD2331" s="17">
        <f t="shared" si="109"/>
        <v>0</v>
      </c>
      <c r="AE2331" s="17">
        <f t="shared" si="110"/>
        <v>0</v>
      </c>
      <c r="AF2331" s="10" t="s">
        <v>5621</v>
      </c>
      <c r="AG2331" s="5" t="s">
        <v>4602</v>
      </c>
      <c r="AH2331" s="5" t="s">
        <v>4717</v>
      </c>
      <c r="AI2331" s="5" t="s">
        <v>5603</v>
      </c>
      <c r="AJ2331" s="5" t="s">
        <v>5460</v>
      </c>
    </row>
    <row r="2332" spans="1:36" ht="10" customHeight="1" x14ac:dyDescent="0.2">
      <c r="A2332" s="5" t="s">
        <v>5448</v>
      </c>
      <c r="B2332" s="5" t="s">
        <v>4713</v>
      </c>
      <c r="D2332" s="5" t="s">
        <v>5622</v>
      </c>
      <c r="E2332" s="10" t="s">
        <v>57</v>
      </c>
      <c r="F2332" s="5" t="s">
        <v>5601</v>
      </c>
      <c r="I2332" s="11">
        <v>2</v>
      </c>
      <c r="J2332" s="5" t="s">
        <v>4328</v>
      </c>
      <c r="K2332" s="12"/>
      <c r="O2332" s="12"/>
      <c r="P2332" s="13">
        <v>96215</v>
      </c>
      <c r="Q2332" s="13">
        <v>128733</v>
      </c>
      <c r="S2332" s="13">
        <v>152179</v>
      </c>
      <c r="AC2332" s="16" t="str">
        <f t="shared" si="108"/>
        <v/>
      </c>
      <c r="AD2332" s="17">
        <f t="shared" si="109"/>
        <v>152179</v>
      </c>
      <c r="AE2332" s="17">
        <f t="shared" si="110"/>
        <v>0</v>
      </c>
      <c r="AF2332" s="10" t="s">
        <v>5623</v>
      </c>
      <c r="AG2332" s="5" t="s">
        <v>4602</v>
      </c>
      <c r="AH2332" s="5" t="s">
        <v>4717</v>
      </c>
      <c r="AI2332" s="5" t="s">
        <v>5603</v>
      </c>
      <c r="AJ2332" s="5" t="s">
        <v>5460</v>
      </c>
    </row>
    <row r="2333" spans="1:36" ht="10" customHeight="1" x14ac:dyDescent="0.2">
      <c r="A2333" s="5" t="s">
        <v>5448</v>
      </c>
      <c r="B2333" s="5" t="s">
        <v>4713</v>
      </c>
      <c r="D2333" s="5" t="s">
        <v>5624</v>
      </c>
      <c r="E2333" s="10" t="s">
        <v>57</v>
      </c>
      <c r="F2333" s="5" t="s">
        <v>5601</v>
      </c>
      <c r="I2333" s="11">
        <v>2</v>
      </c>
      <c r="J2333" s="5" t="s">
        <v>4328</v>
      </c>
      <c r="K2333" s="12"/>
      <c r="O2333" s="12"/>
      <c r="P2333" s="13">
        <v>902</v>
      </c>
      <c r="Q2333" s="13">
        <v>1207</v>
      </c>
      <c r="S2333" s="13">
        <v>1427</v>
      </c>
      <c r="AC2333" s="16" t="str">
        <f t="shared" si="108"/>
        <v/>
      </c>
      <c r="AD2333" s="17">
        <f t="shared" si="109"/>
        <v>1427</v>
      </c>
      <c r="AE2333" s="17">
        <f t="shared" si="110"/>
        <v>0</v>
      </c>
      <c r="AF2333" s="10" t="s">
        <v>5625</v>
      </c>
      <c r="AG2333" s="5" t="s">
        <v>4602</v>
      </c>
      <c r="AH2333" s="5" t="s">
        <v>4717</v>
      </c>
      <c r="AI2333" s="5" t="s">
        <v>5603</v>
      </c>
      <c r="AJ2333" s="5" t="s">
        <v>5460</v>
      </c>
    </row>
    <row r="2334" spans="1:36" ht="10" customHeight="1" x14ac:dyDescent="0.2">
      <c r="A2334" s="5" t="s">
        <v>5448</v>
      </c>
      <c r="B2334" s="5" t="s">
        <v>4713</v>
      </c>
      <c r="D2334" s="5" t="s">
        <v>5626</v>
      </c>
      <c r="E2334" s="10" t="s">
        <v>57</v>
      </c>
      <c r="F2334" s="5" t="s">
        <v>5601</v>
      </c>
      <c r="I2334" s="11">
        <v>2</v>
      </c>
      <c r="J2334" s="5" t="s">
        <v>4328</v>
      </c>
      <c r="K2334" s="12"/>
      <c r="O2334" s="12"/>
      <c r="P2334" s="13">
        <v>735</v>
      </c>
      <c r="Q2334" s="13">
        <v>983</v>
      </c>
      <c r="S2334" s="13">
        <v>1162</v>
      </c>
      <c r="AC2334" s="16" t="str">
        <f t="shared" si="108"/>
        <v/>
      </c>
      <c r="AD2334" s="17">
        <f t="shared" si="109"/>
        <v>1162</v>
      </c>
      <c r="AE2334" s="17">
        <f t="shared" si="110"/>
        <v>0</v>
      </c>
      <c r="AF2334" s="10" t="s">
        <v>5627</v>
      </c>
      <c r="AG2334" s="5" t="s">
        <v>4602</v>
      </c>
      <c r="AH2334" s="5" t="s">
        <v>4717</v>
      </c>
      <c r="AI2334" s="5" t="s">
        <v>5603</v>
      </c>
      <c r="AJ2334" s="5" t="s">
        <v>5460</v>
      </c>
    </row>
    <row r="2335" spans="1:36" ht="10" customHeight="1" x14ac:dyDescent="0.2">
      <c r="A2335" s="5" t="s">
        <v>5448</v>
      </c>
      <c r="B2335" s="5" t="s">
        <v>4713</v>
      </c>
      <c r="D2335" s="5" t="s">
        <v>5628</v>
      </c>
      <c r="E2335" s="10" t="s">
        <v>57</v>
      </c>
      <c r="F2335" s="5" t="s">
        <v>5601</v>
      </c>
      <c r="I2335" s="11">
        <v>2</v>
      </c>
      <c r="J2335" s="5" t="s">
        <v>4328</v>
      </c>
      <c r="K2335" s="12"/>
      <c r="O2335" s="12"/>
      <c r="P2335" s="13">
        <v>735</v>
      </c>
      <c r="Q2335" s="13">
        <v>983</v>
      </c>
      <c r="S2335" s="13">
        <v>1162</v>
      </c>
      <c r="AC2335" s="16" t="str">
        <f t="shared" si="108"/>
        <v/>
      </c>
      <c r="AD2335" s="17">
        <f t="shared" si="109"/>
        <v>1162</v>
      </c>
      <c r="AE2335" s="17">
        <f t="shared" si="110"/>
        <v>0</v>
      </c>
      <c r="AF2335" s="10" t="s">
        <v>5629</v>
      </c>
      <c r="AG2335" s="5" t="s">
        <v>4602</v>
      </c>
      <c r="AH2335" s="5" t="s">
        <v>4717</v>
      </c>
      <c r="AI2335" s="5" t="s">
        <v>5603</v>
      </c>
      <c r="AJ2335" s="5" t="s">
        <v>5460</v>
      </c>
    </row>
    <row r="2336" spans="1:36" ht="10" customHeight="1" x14ac:dyDescent="0.2">
      <c r="A2336" s="5" t="s">
        <v>5448</v>
      </c>
      <c r="B2336" s="5" t="s">
        <v>4713</v>
      </c>
      <c r="D2336" s="5" t="s">
        <v>5630</v>
      </c>
      <c r="E2336" s="10" t="s">
        <v>57</v>
      </c>
      <c r="F2336" s="5" t="s">
        <v>5601</v>
      </c>
      <c r="I2336" s="11">
        <v>2</v>
      </c>
      <c r="J2336" s="5" t="s">
        <v>4328</v>
      </c>
      <c r="K2336" s="12"/>
      <c r="O2336" s="12"/>
      <c r="P2336" s="13">
        <v>0</v>
      </c>
      <c r="Q2336" s="13">
        <v>0</v>
      </c>
      <c r="S2336" s="13">
        <v>0</v>
      </c>
      <c r="AC2336" s="16" t="str">
        <f t="shared" si="108"/>
        <v/>
      </c>
      <c r="AD2336" s="17">
        <f t="shared" si="109"/>
        <v>0</v>
      </c>
      <c r="AE2336" s="17">
        <f t="shared" si="110"/>
        <v>0</v>
      </c>
      <c r="AF2336" s="10" t="s">
        <v>5631</v>
      </c>
      <c r="AG2336" s="5" t="s">
        <v>4602</v>
      </c>
      <c r="AH2336" s="5" t="s">
        <v>4717</v>
      </c>
      <c r="AI2336" s="5" t="s">
        <v>5603</v>
      </c>
      <c r="AJ2336" s="5" t="s">
        <v>5460</v>
      </c>
    </row>
    <row r="2337" spans="1:36" ht="10" customHeight="1" x14ac:dyDescent="0.2">
      <c r="A2337" s="5" t="s">
        <v>5448</v>
      </c>
      <c r="B2337" s="5" t="s">
        <v>4713</v>
      </c>
      <c r="D2337" s="5" t="s">
        <v>5632</v>
      </c>
      <c r="E2337" s="10" t="s">
        <v>57</v>
      </c>
      <c r="F2337" s="5" t="s">
        <v>5601</v>
      </c>
      <c r="I2337" s="11">
        <v>2</v>
      </c>
      <c r="J2337" s="5" t="s">
        <v>4328</v>
      </c>
      <c r="K2337" s="12"/>
      <c r="O2337" s="12"/>
      <c r="P2337" s="13">
        <v>0</v>
      </c>
      <c r="Q2337" s="13">
        <v>0</v>
      </c>
      <c r="S2337" s="13">
        <v>0</v>
      </c>
      <c r="AC2337" s="16" t="str">
        <f t="shared" si="108"/>
        <v/>
      </c>
      <c r="AD2337" s="17">
        <f t="shared" si="109"/>
        <v>0</v>
      </c>
      <c r="AE2337" s="17">
        <f t="shared" si="110"/>
        <v>0</v>
      </c>
      <c r="AF2337" s="10" t="s">
        <v>5633</v>
      </c>
      <c r="AG2337" s="5" t="s">
        <v>4602</v>
      </c>
      <c r="AH2337" s="5" t="s">
        <v>4717</v>
      </c>
      <c r="AI2337" s="5" t="s">
        <v>5603</v>
      </c>
      <c r="AJ2337" s="5" t="s">
        <v>5460</v>
      </c>
    </row>
    <row r="2338" spans="1:36" ht="10" customHeight="1" x14ac:dyDescent="0.2">
      <c r="A2338" s="5" t="s">
        <v>5448</v>
      </c>
      <c r="B2338" s="5" t="s">
        <v>4713</v>
      </c>
      <c r="D2338" s="5" t="s">
        <v>5634</v>
      </c>
      <c r="E2338" s="10" t="s">
        <v>48</v>
      </c>
      <c r="I2338" s="11">
        <v>2</v>
      </c>
      <c r="J2338" s="5" t="s">
        <v>4328</v>
      </c>
      <c r="K2338" s="12"/>
      <c r="O2338" s="12"/>
      <c r="P2338" s="13">
        <v>2902331</v>
      </c>
      <c r="Q2338" s="13">
        <v>3198161</v>
      </c>
      <c r="S2338" s="13">
        <v>3473772</v>
      </c>
      <c r="AC2338" s="16" t="str">
        <f t="shared" si="108"/>
        <v>ADD</v>
      </c>
      <c r="AD2338" s="17">
        <f t="shared" si="109"/>
        <v>3473772</v>
      </c>
      <c r="AE2338" s="17">
        <f t="shared" si="110"/>
        <v>0</v>
      </c>
      <c r="AF2338" s="10" t="s">
        <v>5635</v>
      </c>
      <c r="AG2338" s="5" t="s">
        <v>4602</v>
      </c>
      <c r="AH2338" s="5" t="s">
        <v>4717</v>
      </c>
      <c r="AI2338" s="5" t="s">
        <v>5603</v>
      </c>
      <c r="AJ2338" s="5" t="s">
        <v>5460</v>
      </c>
    </row>
    <row r="2339" spans="1:36" ht="10" customHeight="1" x14ac:dyDescent="0.2">
      <c r="A2339" s="5" t="s">
        <v>5448</v>
      </c>
      <c r="B2339" s="5" t="s">
        <v>4713</v>
      </c>
      <c r="D2339" s="5" t="s">
        <v>5636</v>
      </c>
      <c r="E2339" s="10" t="s">
        <v>349</v>
      </c>
      <c r="F2339" s="5" t="s">
        <v>5601</v>
      </c>
      <c r="I2339" s="11">
        <v>2</v>
      </c>
      <c r="J2339" s="5" t="s">
        <v>4328</v>
      </c>
      <c r="K2339" s="12"/>
      <c r="O2339" s="12"/>
      <c r="P2339" s="13">
        <v>1180094</v>
      </c>
      <c r="Q2339" s="13">
        <v>1520625</v>
      </c>
      <c r="S2339" s="13">
        <v>1434873</v>
      </c>
      <c r="AC2339" s="16" t="str">
        <f t="shared" si="108"/>
        <v>ALT</v>
      </c>
      <c r="AD2339" s="17">
        <f t="shared" si="109"/>
        <v>1434873</v>
      </c>
      <c r="AE2339" s="17">
        <f t="shared" si="110"/>
        <v>0</v>
      </c>
      <c r="AF2339" s="10" t="s">
        <v>5637</v>
      </c>
      <c r="AG2339" s="5" t="s">
        <v>844</v>
      </c>
      <c r="AH2339" s="5" t="s">
        <v>4717</v>
      </c>
      <c r="AI2339" s="5" t="s">
        <v>5603</v>
      </c>
      <c r="AJ2339" s="5" t="s">
        <v>5496</v>
      </c>
    </row>
    <row r="2340" spans="1:36" ht="10" customHeight="1" x14ac:dyDescent="0.2">
      <c r="A2340" s="5" t="s">
        <v>5448</v>
      </c>
      <c r="B2340" s="5" t="s">
        <v>4713</v>
      </c>
      <c r="D2340" s="5" t="s">
        <v>5638</v>
      </c>
      <c r="E2340" s="10" t="s">
        <v>349</v>
      </c>
      <c r="F2340" s="5" t="s">
        <v>5601</v>
      </c>
      <c r="I2340" s="11">
        <v>2</v>
      </c>
      <c r="J2340" s="5" t="s">
        <v>4328</v>
      </c>
      <c r="K2340" s="12"/>
      <c r="O2340" s="12"/>
      <c r="P2340" s="13">
        <v>43981</v>
      </c>
      <c r="Q2340" s="13">
        <v>45425</v>
      </c>
      <c r="S2340" s="13">
        <v>47013</v>
      </c>
      <c r="AC2340" s="16" t="str">
        <f t="shared" si="108"/>
        <v>ALT</v>
      </c>
      <c r="AD2340" s="17">
        <f t="shared" si="109"/>
        <v>47013</v>
      </c>
      <c r="AE2340" s="17">
        <f t="shared" si="110"/>
        <v>0</v>
      </c>
      <c r="AF2340" s="10" t="s">
        <v>5639</v>
      </c>
      <c r="AG2340" s="5" t="s">
        <v>844</v>
      </c>
      <c r="AH2340" s="5" t="s">
        <v>4717</v>
      </c>
      <c r="AI2340" s="5" t="s">
        <v>5603</v>
      </c>
      <c r="AJ2340" s="5" t="s">
        <v>5496</v>
      </c>
    </row>
    <row r="2341" spans="1:36" ht="10" customHeight="1" x14ac:dyDescent="0.2">
      <c r="A2341" s="5" t="s">
        <v>5448</v>
      </c>
      <c r="B2341" s="5" t="s">
        <v>4713</v>
      </c>
      <c r="D2341" s="5" t="s">
        <v>5640</v>
      </c>
      <c r="E2341" s="10" t="s">
        <v>349</v>
      </c>
      <c r="F2341" s="5" t="s">
        <v>5601</v>
      </c>
      <c r="I2341" s="11">
        <v>2</v>
      </c>
      <c r="J2341" s="5" t="s">
        <v>4328</v>
      </c>
      <c r="K2341" s="12"/>
      <c r="O2341" s="12"/>
      <c r="P2341" s="13">
        <v>292621</v>
      </c>
      <c r="Q2341" s="13">
        <v>356343</v>
      </c>
      <c r="S2341" s="13">
        <v>566849</v>
      </c>
      <c r="AC2341" s="16" t="str">
        <f t="shared" si="108"/>
        <v>ALT</v>
      </c>
      <c r="AD2341" s="17">
        <f t="shared" si="109"/>
        <v>566849</v>
      </c>
      <c r="AE2341" s="17">
        <f t="shared" si="110"/>
        <v>0</v>
      </c>
      <c r="AF2341" s="10" t="s">
        <v>5641</v>
      </c>
      <c r="AG2341" s="5" t="s">
        <v>844</v>
      </c>
      <c r="AH2341" s="5" t="s">
        <v>4717</v>
      </c>
      <c r="AI2341" s="5" t="s">
        <v>5603</v>
      </c>
      <c r="AJ2341" s="5" t="s">
        <v>5496</v>
      </c>
    </row>
    <row r="2342" spans="1:36" ht="10" customHeight="1" x14ac:dyDescent="0.2">
      <c r="A2342" s="5" t="s">
        <v>5448</v>
      </c>
      <c r="B2342" s="5" t="s">
        <v>4713</v>
      </c>
      <c r="D2342" s="5" t="s">
        <v>5642</v>
      </c>
      <c r="E2342" s="10" t="s">
        <v>349</v>
      </c>
      <c r="F2342" s="5" t="s">
        <v>5601</v>
      </c>
      <c r="I2342" s="11">
        <v>2</v>
      </c>
      <c r="J2342" s="5" t="s">
        <v>4328</v>
      </c>
      <c r="K2342" s="12"/>
      <c r="O2342" s="12"/>
      <c r="P2342" s="13">
        <v>106880</v>
      </c>
      <c r="Q2342" s="13">
        <v>128313</v>
      </c>
      <c r="S2342" s="13">
        <v>199884</v>
      </c>
      <c r="AC2342" s="16" t="str">
        <f t="shared" si="108"/>
        <v>ALT</v>
      </c>
      <c r="AD2342" s="17">
        <f t="shared" si="109"/>
        <v>199884</v>
      </c>
      <c r="AE2342" s="17">
        <f t="shared" si="110"/>
        <v>0</v>
      </c>
      <c r="AF2342" s="10" t="s">
        <v>5643</v>
      </c>
      <c r="AG2342" s="5" t="s">
        <v>844</v>
      </c>
      <c r="AH2342" s="5" t="s">
        <v>4717</v>
      </c>
      <c r="AI2342" s="5" t="s">
        <v>5603</v>
      </c>
      <c r="AJ2342" s="5" t="s">
        <v>5496</v>
      </c>
    </row>
    <row r="2343" spans="1:36" ht="10" customHeight="1" x14ac:dyDescent="0.2">
      <c r="A2343" s="5" t="s">
        <v>5448</v>
      </c>
      <c r="B2343" s="5" t="s">
        <v>4713</v>
      </c>
      <c r="D2343" s="5" t="s">
        <v>5644</v>
      </c>
      <c r="E2343" s="10" t="s">
        <v>349</v>
      </c>
      <c r="F2343" s="5" t="s">
        <v>5601</v>
      </c>
      <c r="I2343" s="11">
        <v>2</v>
      </c>
      <c r="J2343" s="5" t="s">
        <v>4328</v>
      </c>
      <c r="K2343" s="12"/>
      <c r="O2343" s="12"/>
      <c r="P2343" s="13">
        <v>98526</v>
      </c>
      <c r="Q2343" s="13">
        <v>113492</v>
      </c>
      <c r="S2343" s="13">
        <v>165608</v>
      </c>
      <c r="AC2343" s="16" t="str">
        <f t="shared" si="108"/>
        <v>ALT</v>
      </c>
      <c r="AD2343" s="17">
        <f t="shared" si="109"/>
        <v>165608</v>
      </c>
      <c r="AE2343" s="17">
        <f t="shared" si="110"/>
        <v>0</v>
      </c>
      <c r="AF2343" s="10" t="s">
        <v>5645</v>
      </c>
      <c r="AG2343" s="5" t="s">
        <v>844</v>
      </c>
      <c r="AH2343" s="5" t="s">
        <v>4717</v>
      </c>
      <c r="AI2343" s="5" t="s">
        <v>5603</v>
      </c>
      <c r="AJ2343" s="5" t="s">
        <v>5496</v>
      </c>
    </row>
    <row r="2344" spans="1:36" ht="10" customHeight="1" x14ac:dyDescent="0.2">
      <c r="A2344" s="5" t="s">
        <v>5448</v>
      </c>
      <c r="B2344" s="5" t="s">
        <v>4713</v>
      </c>
      <c r="D2344" s="5" t="s">
        <v>5646</v>
      </c>
      <c r="E2344" s="10" t="s">
        <v>349</v>
      </c>
      <c r="F2344" s="5" t="s">
        <v>5601</v>
      </c>
      <c r="I2344" s="11">
        <v>2</v>
      </c>
      <c r="J2344" s="5" t="s">
        <v>4328</v>
      </c>
      <c r="K2344" s="12"/>
      <c r="O2344" s="12"/>
      <c r="P2344" s="13">
        <v>894251</v>
      </c>
      <c r="Q2344" s="13">
        <v>776191</v>
      </c>
      <c r="S2344" s="13">
        <v>747414</v>
      </c>
      <c r="AC2344" s="16" t="str">
        <f t="shared" si="108"/>
        <v>ALT</v>
      </c>
      <c r="AD2344" s="17">
        <f t="shared" si="109"/>
        <v>747414</v>
      </c>
      <c r="AE2344" s="17">
        <f t="shared" si="110"/>
        <v>0</v>
      </c>
      <c r="AF2344" s="10" t="s">
        <v>5647</v>
      </c>
      <c r="AG2344" s="5" t="s">
        <v>844</v>
      </c>
      <c r="AH2344" s="5" t="s">
        <v>4717</v>
      </c>
      <c r="AI2344" s="5" t="s">
        <v>5603</v>
      </c>
      <c r="AJ2344" s="5" t="s">
        <v>5496</v>
      </c>
    </row>
    <row r="2345" spans="1:36" ht="10" customHeight="1" x14ac:dyDescent="0.2">
      <c r="A2345" s="5" t="s">
        <v>5448</v>
      </c>
      <c r="B2345" s="5" t="s">
        <v>4713</v>
      </c>
      <c r="D2345" s="5" t="s">
        <v>5648</v>
      </c>
      <c r="E2345" s="10" t="s">
        <v>349</v>
      </c>
      <c r="F2345" s="5" t="s">
        <v>5601</v>
      </c>
      <c r="I2345" s="11">
        <v>2</v>
      </c>
      <c r="J2345" s="5" t="s">
        <v>4328</v>
      </c>
      <c r="K2345" s="12"/>
      <c r="O2345" s="12"/>
      <c r="P2345" s="13">
        <v>24206</v>
      </c>
      <c r="Q2345" s="13">
        <v>25001</v>
      </c>
      <c r="S2345" s="13">
        <v>25876</v>
      </c>
      <c r="AC2345" s="16" t="str">
        <f t="shared" si="108"/>
        <v>ALT</v>
      </c>
      <c r="AD2345" s="17">
        <f t="shared" si="109"/>
        <v>25876</v>
      </c>
      <c r="AE2345" s="17">
        <f t="shared" si="110"/>
        <v>0</v>
      </c>
      <c r="AF2345" s="10" t="s">
        <v>5649</v>
      </c>
      <c r="AG2345" s="5" t="s">
        <v>844</v>
      </c>
      <c r="AH2345" s="5" t="s">
        <v>4717</v>
      </c>
      <c r="AI2345" s="5" t="s">
        <v>5603</v>
      </c>
      <c r="AJ2345" s="5" t="s">
        <v>5496</v>
      </c>
    </row>
    <row r="2346" spans="1:36" ht="10" customHeight="1" x14ac:dyDescent="0.2">
      <c r="A2346" s="5" t="s">
        <v>5448</v>
      </c>
      <c r="B2346" s="5" t="s">
        <v>4713</v>
      </c>
      <c r="D2346" s="5" t="s">
        <v>5650</v>
      </c>
      <c r="E2346" s="10" t="s">
        <v>349</v>
      </c>
      <c r="F2346" s="5" t="s">
        <v>5601</v>
      </c>
      <c r="I2346" s="11">
        <v>2</v>
      </c>
      <c r="J2346" s="5" t="s">
        <v>4328</v>
      </c>
      <c r="K2346" s="12"/>
      <c r="O2346" s="12"/>
      <c r="P2346" s="13">
        <v>252118</v>
      </c>
      <c r="Q2346" s="13">
        <v>222914</v>
      </c>
      <c r="S2346" s="13">
        <v>276190</v>
      </c>
      <c r="AC2346" s="16" t="str">
        <f t="shared" si="108"/>
        <v>ALT</v>
      </c>
      <c r="AD2346" s="17">
        <f t="shared" si="109"/>
        <v>276190</v>
      </c>
      <c r="AE2346" s="17">
        <f t="shared" si="110"/>
        <v>0</v>
      </c>
      <c r="AF2346" s="10" t="s">
        <v>5651</v>
      </c>
      <c r="AG2346" s="5" t="s">
        <v>844</v>
      </c>
      <c r="AH2346" s="5" t="s">
        <v>4717</v>
      </c>
      <c r="AI2346" s="5" t="s">
        <v>5603</v>
      </c>
      <c r="AJ2346" s="5" t="s">
        <v>5496</v>
      </c>
    </row>
    <row r="2347" spans="1:36" ht="10" customHeight="1" x14ac:dyDescent="0.2">
      <c r="A2347" s="5" t="s">
        <v>5448</v>
      </c>
      <c r="B2347" s="5" t="s">
        <v>4713</v>
      </c>
      <c r="D2347" s="5" t="s">
        <v>5652</v>
      </c>
      <c r="E2347" s="10" t="s">
        <v>349</v>
      </c>
      <c r="F2347" s="5" t="s">
        <v>5601</v>
      </c>
      <c r="I2347" s="11">
        <v>2</v>
      </c>
      <c r="J2347" s="5" t="s">
        <v>4328</v>
      </c>
      <c r="K2347" s="12"/>
      <c r="O2347" s="12"/>
      <c r="P2347" s="13">
        <v>9655</v>
      </c>
      <c r="Q2347" s="13">
        <v>9858</v>
      </c>
      <c r="S2347" s="13">
        <v>10065</v>
      </c>
      <c r="AC2347" s="16" t="str">
        <f t="shared" si="108"/>
        <v>ALT</v>
      </c>
      <c r="AD2347" s="17">
        <f t="shared" si="109"/>
        <v>10065</v>
      </c>
      <c r="AE2347" s="17">
        <f t="shared" si="110"/>
        <v>0</v>
      </c>
      <c r="AF2347" s="10" t="s">
        <v>5653</v>
      </c>
      <c r="AG2347" s="5" t="s">
        <v>844</v>
      </c>
      <c r="AH2347" s="5" t="s">
        <v>4717</v>
      </c>
      <c r="AI2347" s="5" t="s">
        <v>5603</v>
      </c>
      <c r="AJ2347" s="5" t="s">
        <v>5496</v>
      </c>
    </row>
    <row r="2348" spans="1:36" ht="10" customHeight="1" x14ac:dyDescent="0.2">
      <c r="A2348" s="5" t="s">
        <v>5448</v>
      </c>
      <c r="B2348" s="5" t="s">
        <v>4713</v>
      </c>
      <c r="D2348" s="5" t="s">
        <v>5654</v>
      </c>
      <c r="E2348" s="10" t="s">
        <v>349</v>
      </c>
      <c r="F2348" s="5" t="s">
        <v>5601</v>
      </c>
      <c r="I2348" s="11">
        <v>2</v>
      </c>
      <c r="J2348" s="5" t="s">
        <v>4328</v>
      </c>
      <c r="K2348" s="12"/>
      <c r="O2348" s="12"/>
      <c r="P2348" s="13">
        <v>2902331</v>
      </c>
      <c r="Q2348" s="13">
        <v>3198161</v>
      </c>
      <c r="S2348" s="13">
        <v>3473772</v>
      </c>
      <c r="AC2348" s="16" t="str">
        <f t="shared" si="108"/>
        <v>ALT</v>
      </c>
      <c r="AD2348" s="17">
        <f t="shared" si="109"/>
        <v>3473772</v>
      </c>
      <c r="AE2348" s="17">
        <f t="shared" si="110"/>
        <v>0</v>
      </c>
      <c r="AF2348" s="10" t="s">
        <v>5655</v>
      </c>
      <c r="AG2348" s="5" t="s">
        <v>844</v>
      </c>
      <c r="AH2348" s="5" t="s">
        <v>4717</v>
      </c>
      <c r="AI2348" s="5" t="s">
        <v>5603</v>
      </c>
      <c r="AJ2348" s="5" t="s">
        <v>5496</v>
      </c>
    </row>
    <row r="2349" spans="1:36" ht="10" customHeight="1" x14ac:dyDescent="0.2">
      <c r="A2349" s="5" t="s">
        <v>5448</v>
      </c>
      <c r="B2349" s="5" t="s">
        <v>4713</v>
      </c>
      <c r="D2349" s="5" t="s">
        <v>5656</v>
      </c>
      <c r="E2349" s="10" t="s">
        <v>57</v>
      </c>
      <c r="F2349" s="5" t="s">
        <v>5657</v>
      </c>
      <c r="I2349" s="11">
        <v>7</v>
      </c>
      <c r="J2349" s="5" t="s">
        <v>5517</v>
      </c>
      <c r="K2349" s="12"/>
      <c r="O2349" s="12"/>
      <c r="P2349" s="13">
        <v>5444</v>
      </c>
      <c r="Q2349" s="13">
        <v>5558</v>
      </c>
      <c r="S2349" s="13">
        <v>5675</v>
      </c>
      <c r="AC2349" s="16" t="str">
        <f t="shared" si="108"/>
        <v/>
      </c>
      <c r="AD2349" s="17">
        <f t="shared" si="109"/>
        <v>5675</v>
      </c>
      <c r="AE2349" s="17">
        <f t="shared" si="110"/>
        <v>0</v>
      </c>
      <c r="AF2349" s="10" t="s">
        <v>5658</v>
      </c>
      <c r="AG2349" s="5" t="s">
        <v>861</v>
      </c>
      <c r="AH2349" s="5" t="s">
        <v>4717</v>
      </c>
      <c r="AI2349" s="5" t="s">
        <v>5603</v>
      </c>
      <c r="AJ2349" s="5" t="s">
        <v>5520</v>
      </c>
    </row>
    <row r="2350" spans="1:36" ht="10" customHeight="1" x14ac:dyDescent="0.2">
      <c r="A2350" s="5" t="s">
        <v>5448</v>
      </c>
      <c r="B2350" s="5" t="s">
        <v>4713</v>
      </c>
      <c r="D2350" s="5" t="s">
        <v>5659</v>
      </c>
      <c r="E2350" s="10" t="s">
        <v>57</v>
      </c>
      <c r="F2350" s="5" t="s">
        <v>5657</v>
      </c>
      <c r="I2350" s="11">
        <v>7</v>
      </c>
      <c r="J2350" s="5" t="s">
        <v>5517</v>
      </c>
      <c r="K2350" s="12"/>
      <c r="O2350" s="12"/>
      <c r="P2350" s="13">
        <v>67630</v>
      </c>
      <c r="Q2350" s="13">
        <v>9252</v>
      </c>
      <c r="S2350" s="13">
        <v>0</v>
      </c>
      <c r="AC2350" s="16" t="str">
        <f t="shared" si="108"/>
        <v/>
      </c>
      <c r="AD2350" s="17">
        <f t="shared" si="109"/>
        <v>0</v>
      </c>
      <c r="AE2350" s="17">
        <f t="shared" si="110"/>
        <v>0</v>
      </c>
      <c r="AF2350" s="10" t="s">
        <v>5660</v>
      </c>
      <c r="AG2350" s="5" t="s">
        <v>861</v>
      </c>
      <c r="AH2350" s="5" t="s">
        <v>4717</v>
      </c>
      <c r="AI2350" s="5" t="s">
        <v>5603</v>
      </c>
      <c r="AJ2350" s="5" t="s">
        <v>5520</v>
      </c>
    </row>
    <row r="2351" spans="1:36" ht="10" customHeight="1" x14ac:dyDescent="0.2">
      <c r="A2351" s="5" t="s">
        <v>5448</v>
      </c>
      <c r="B2351" s="5" t="s">
        <v>4713</v>
      </c>
      <c r="D2351" s="5" t="s">
        <v>5661</v>
      </c>
      <c r="E2351" s="10" t="s">
        <v>57</v>
      </c>
      <c r="F2351" s="5" t="s">
        <v>5657</v>
      </c>
      <c r="I2351" s="11">
        <v>7</v>
      </c>
      <c r="J2351" s="5" t="s">
        <v>5517</v>
      </c>
      <c r="K2351" s="12"/>
      <c r="O2351" s="12"/>
      <c r="P2351" s="13">
        <v>100356</v>
      </c>
      <c r="Q2351" s="13">
        <v>149268</v>
      </c>
      <c r="S2351" s="13">
        <v>981248</v>
      </c>
      <c r="AC2351" s="16" t="str">
        <f t="shared" si="108"/>
        <v/>
      </c>
      <c r="AD2351" s="17">
        <f t="shared" si="109"/>
        <v>981248</v>
      </c>
      <c r="AE2351" s="17">
        <f t="shared" si="110"/>
        <v>0</v>
      </c>
      <c r="AF2351" s="10" t="s">
        <v>5662</v>
      </c>
      <c r="AG2351" s="5" t="s">
        <v>861</v>
      </c>
      <c r="AH2351" s="5" t="s">
        <v>4717</v>
      </c>
      <c r="AI2351" s="5" t="s">
        <v>5603</v>
      </c>
      <c r="AJ2351" s="5" t="s">
        <v>5520</v>
      </c>
    </row>
    <row r="2352" spans="1:36" ht="10" customHeight="1" x14ac:dyDescent="0.2">
      <c r="A2352" s="5" t="s">
        <v>5448</v>
      </c>
      <c r="B2352" s="5" t="s">
        <v>4713</v>
      </c>
      <c r="D2352" s="5" t="s">
        <v>5663</v>
      </c>
      <c r="E2352" s="10" t="s">
        <v>57</v>
      </c>
      <c r="F2352" s="5" t="s">
        <v>5657</v>
      </c>
      <c r="I2352" s="11">
        <v>7</v>
      </c>
      <c r="J2352" s="5" t="s">
        <v>5517</v>
      </c>
      <c r="K2352" s="12"/>
      <c r="O2352" s="12"/>
      <c r="P2352" s="13">
        <v>0</v>
      </c>
      <c r="Q2352" s="13">
        <v>0</v>
      </c>
      <c r="S2352" s="13">
        <v>0</v>
      </c>
      <c r="AC2352" s="16" t="str">
        <f t="shared" si="108"/>
        <v/>
      </c>
      <c r="AD2352" s="17">
        <f t="shared" si="109"/>
        <v>0</v>
      </c>
      <c r="AE2352" s="17">
        <f t="shared" si="110"/>
        <v>0</v>
      </c>
      <c r="AF2352" s="10" t="s">
        <v>5664</v>
      </c>
      <c r="AG2352" s="5" t="s">
        <v>861</v>
      </c>
      <c r="AH2352" s="5" t="s">
        <v>4717</v>
      </c>
      <c r="AI2352" s="5" t="s">
        <v>5603</v>
      </c>
      <c r="AJ2352" s="5" t="s">
        <v>5520</v>
      </c>
    </row>
    <row r="2353" spans="1:36" ht="10" customHeight="1" x14ac:dyDescent="0.2">
      <c r="A2353" s="5" t="s">
        <v>5448</v>
      </c>
      <c r="B2353" s="5" t="s">
        <v>4713</v>
      </c>
      <c r="D2353" s="5" t="s">
        <v>5665</v>
      </c>
      <c r="E2353" s="10" t="s">
        <v>57</v>
      </c>
      <c r="F2353" s="5" t="s">
        <v>5657</v>
      </c>
      <c r="I2353" s="11">
        <v>7</v>
      </c>
      <c r="J2353" s="5" t="s">
        <v>5517</v>
      </c>
      <c r="K2353" s="12"/>
      <c r="O2353" s="12"/>
      <c r="P2353" s="13">
        <v>195000</v>
      </c>
      <c r="Q2353" s="13">
        <v>182200</v>
      </c>
      <c r="S2353" s="13">
        <v>48800</v>
      </c>
      <c r="AC2353" s="16" t="str">
        <f t="shared" si="108"/>
        <v/>
      </c>
      <c r="AD2353" s="17">
        <f t="shared" si="109"/>
        <v>48800</v>
      </c>
      <c r="AE2353" s="17">
        <f t="shared" si="110"/>
        <v>0</v>
      </c>
      <c r="AF2353" s="10" t="s">
        <v>5666</v>
      </c>
      <c r="AG2353" s="5" t="s">
        <v>861</v>
      </c>
      <c r="AH2353" s="5" t="s">
        <v>4717</v>
      </c>
      <c r="AI2353" s="5" t="s">
        <v>5603</v>
      </c>
      <c r="AJ2353" s="5" t="s">
        <v>5520</v>
      </c>
    </row>
    <row r="2354" spans="1:36" ht="10" customHeight="1" x14ac:dyDescent="0.2">
      <c r="A2354" s="5" t="s">
        <v>5448</v>
      </c>
      <c r="B2354" s="5" t="s">
        <v>4713</v>
      </c>
      <c r="D2354" s="5" t="s">
        <v>5667</v>
      </c>
      <c r="E2354" s="10" t="s">
        <v>48</v>
      </c>
      <c r="I2354" s="11">
        <v>7</v>
      </c>
      <c r="J2354" s="5" t="s">
        <v>5517</v>
      </c>
      <c r="K2354" s="12"/>
      <c r="O2354" s="12"/>
      <c r="P2354" s="13">
        <v>368430</v>
      </c>
      <c r="Q2354" s="13">
        <v>346278</v>
      </c>
      <c r="S2354" s="13">
        <v>1035723</v>
      </c>
      <c r="AC2354" s="16" t="str">
        <f t="shared" si="108"/>
        <v>ADD</v>
      </c>
      <c r="AD2354" s="17">
        <f t="shared" si="109"/>
        <v>1035723</v>
      </c>
      <c r="AE2354" s="17">
        <f t="shared" si="110"/>
        <v>0</v>
      </c>
      <c r="AF2354" s="10" t="s">
        <v>5668</v>
      </c>
      <c r="AG2354" s="5" t="s">
        <v>861</v>
      </c>
      <c r="AH2354" s="5" t="s">
        <v>4717</v>
      </c>
      <c r="AI2354" s="5" t="s">
        <v>5603</v>
      </c>
      <c r="AJ2354" s="5" t="s">
        <v>5520</v>
      </c>
    </row>
    <row r="2355" spans="1:36" ht="10" customHeight="1" x14ac:dyDescent="0.2">
      <c r="A2355" s="5" t="s">
        <v>5448</v>
      </c>
      <c r="B2355" s="5" t="s">
        <v>4713</v>
      </c>
      <c r="D2355" s="5" t="s">
        <v>5669</v>
      </c>
      <c r="E2355" s="10" t="s">
        <v>57</v>
      </c>
      <c r="F2355" s="5" t="s">
        <v>5657</v>
      </c>
      <c r="I2355" s="11">
        <v>7</v>
      </c>
      <c r="J2355" s="5" t="s">
        <v>5517</v>
      </c>
      <c r="K2355" s="12"/>
      <c r="O2355" s="12"/>
      <c r="P2355" s="13">
        <v>32359</v>
      </c>
      <c r="AC2355" s="16" t="str">
        <f t="shared" si="108"/>
        <v/>
      </c>
      <c r="AD2355" s="17">
        <f t="shared" si="109"/>
        <v>0</v>
      </c>
      <c r="AE2355" s="17">
        <f t="shared" si="110"/>
        <v>0</v>
      </c>
      <c r="AF2355" s="10" t="s">
        <v>5670</v>
      </c>
      <c r="AG2355" s="5" t="s">
        <v>861</v>
      </c>
      <c r="AH2355" s="5" t="s">
        <v>4717</v>
      </c>
      <c r="AI2355" s="5" t="s">
        <v>5603</v>
      </c>
      <c r="AJ2355" s="5" t="s">
        <v>5533</v>
      </c>
    </row>
    <row r="2356" spans="1:36" ht="10" customHeight="1" x14ac:dyDescent="0.2">
      <c r="A2356" s="5" t="s">
        <v>5448</v>
      </c>
      <c r="B2356" s="5" t="s">
        <v>4713</v>
      </c>
      <c r="D2356" s="5" t="s">
        <v>5671</v>
      </c>
      <c r="E2356" s="10" t="s">
        <v>57</v>
      </c>
      <c r="F2356" s="5" t="s">
        <v>5657</v>
      </c>
      <c r="I2356" s="11">
        <v>7</v>
      </c>
      <c r="J2356" s="5" t="s">
        <v>5517</v>
      </c>
      <c r="K2356" s="12"/>
      <c r="O2356" s="12"/>
      <c r="P2356" s="13">
        <v>11722</v>
      </c>
      <c r="AC2356" s="16" t="str">
        <f t="shared" si="108"/>
        <v/>
      </c>
      <c r="AD2356" s="17">
        <f t="shared" si="109"/>
        <v>0</v>
      </c>
      <c r="AE2356" s="17">
        <f t="shared" si="110"/>
        <v>0</v>
      </c>
      <c r="AF2356" s="10" t="s">
        <v>5672</v>
      </c>
      <c r="AG2356" s="5" t="s">
        <v>861</v>
      </c>
      <c r="AH2356" s="5" t="s">
        <v>4717</v>
      </c>
      <c r="AI2356" s="5" t="s">
        <v>5603</v>
      </c>
      <c r="AJ2356" s="5" t="s">
        <v>5533</v>
      </c>
    </row>
    <row r="2357" spans="1:36" ht="10" customHeight="1" x14ac:dyDescent="0.2">
      <c r="A2357" s="5" t="s">
        <v>5448</v>
      </c>
      <c r="B2357" s="5" t="s">
        <v>4713</v>
      </c>
      <c r="D2357" s="5" t="s">
        <v>5673</v>
      </c>
      <c r="E2357" s="10" t="s">
        <v>57</v>
      </c>
      <c r="F2357" s="5" t="s">
        <v>5657</v>
      </c>
      <c r="I2357" s="11">
        <v>7</v>
      </c>
      <c r="J2357" s="5" t="s">
        <v>5517</v>
      </c>
      <c r="K2357" s="12"/>
      <c r="O2357" s="12"/>
      <c r="P2357" s="13">
        <v>5376</v>
      </c>
      <c r="AC2357" s="16" t="str">
        <f t="shared" si="108"/>
        <v/>
      </c>
      <c r="AD2357" s="17">
        <f t="shared" si="109"/>
        <v>0</v>
      </c>
      <c r="AE2357" s="17">
        <f t="shared" si="110"/>
        <v>0</v>
      </c>
      <c r="AF2357" s="10" t="s">
        <v>5674</v>
      </c>
      <c r="AG2357" s="5" t="s">
        <v>861</v>
      </c>
      <c r="AH2357" s="5" t="s">
        <v>4717</v>
      </c>
      <c r="AI2357" s="5" t="s">
        <v>5603</v>
      </c>
      <c r="AJ2357" s="5" t="s">
        <v>5533</v>
      </c>
    </row>
    <row r="2358" spans="1:36" ht="10" customHeight="1" x14ac:dyDescent="0.2">
      <c r="A2358" s="5" t="s">
        <v>5448</v>
      </c>
      <c r="B2358" s="5" t="s">
        <v>4713</v>
      </c>
      <c r="D2358" s="5" t="s">
        <v>5675</v>
      </c>
      <c r="E2358" s="10" t="s">
        <v>57</v>
      </c>
      <c r="F2358" s="5" t="s">
        <v>5657</v>
      </c>
      <c r="I2358" s="11">
        <v>7</v>
      </c>
      <c r="J2358" s="5" t="s">
        <v>5517</v>
      </c>
      <c r="K2358" s="12"/>
      <c r="O2358" s="12"/>
      <c r="P2358" s="13">
        <v>298</v>
      </c>
      <c r="AC2358" s="16" t="str">
        <f t="shared" si="108"/>
        <v/>
      </c>
      <c r="AD2358" s="17">
        <f t="shared" si="109"/>
        <v>0</v>
      </c>
      <c r="AE2358" s="17">
        <f t="shared" si="110"/>
        <v>0</v>
      </c>
      <c r="AF2358" s="10" t="s">
        <v>5676</v>
      </c>
      <c r="AG2358" s="5" t="s">
        <v>861</v>
      </c>
      <c r="AH2358" s="5" t="s">
        <v>4717</v>
      </c>
      <c r="AI2358" s="5" t="s">
        <v>5603</v>
      </c>
      <c r="AJ2358" s="5" t="s">
        <v>5533</v>
      </c>
    </row>
    <row r="2359" spans="1:36" ht="10" customHeight="1" x14ac:dyDescent="0.2">
      <c r="A2359" s="5" t="s">
        <v>5448</v>
      </c>
      <c r="B2359" s="5" t="s">
        <v>4713</v>
      </c>
      <c r="D2359" s="5" t="s">
        <v>5677</v>
      </c>
      <c r="E2359" s="10" t="s">
        <v>57</v>
      </c>
      <c r="F2359" s="5" t="s">
        <v>5657</v>
      </c>
      <c r="I2359" s="11">
        <v>7</v>
      </c>
      <c r="J2359" s="5" t="s">
        <v>5517</v>
      </c>
      <c r="K2359" s="12"/>
      <c r="O2359" s="12"/>
      <c r="P2359" s="13">
        <v>1716</v>
      </c>
      <c r="AC2359" s="16" t="str">
        <f t="shared" si="108"/>
        <v/>
      </c>
      <c r="AD2359" s="17">
        <f t="shared" si="109"/>
        <v>0</v>
      </c>
      <c r="AE2359" s="17">
        <f t="shared" si="110"/>
        <v>0</v>
      </c>
      <c r="AF2359" s="10" t="s">
        <v>5678</v>
      </c>
      <c r="AG2359" s="5" t="s">
        <v>861</v>
      </c>
      <c r="AH2359" s="5" t="s">
        <v>4717</v>
      </c>
      <c r="AI2359" s="5" t="s">
        <v>5603</v>
      </c>
      <c r="AJ2359" s="5" t="s">
        <v>5533</v>
      </c>
    </row>
    <row r="2360" spans="1:36" ht="10" customHeight="1" x14ac:dyDescent="0.2">
      <c r="A2360" s="5" t="s">
        <v>5448</v>
      </c>
      <c r="B2360" s="5" t="s">
        <v>4713</v>
      </c>
      <c r="D2360" s="5" t="s">
        <v>5679</v>
      </c>
      <c r="E2360" s="10" t="s">
        <v>57</v>
      </c>
      <c r="F2360" s="5" t="s">
        <v>5657</v>
      </c>
      <c r="I2360" s="11">
        <v>7</v>
      </c>
      <c r="J2360" s="5" t="s">
        <v>5517</v>
      </c>
      <c r="K2360" s="12"/>
      <c r="O2360" s="12"/>
      <c r="P2360" s="13">
        <v>16159</v>
      </c>
      <c r="AC2360" s="16" t="str">
        <f t="shared" si="108"/>
        <v/>
      </c>
      <c r="AD2360" s="17">
        <f t="shared" si="109"/>
        <v>0</v>
      </c>
      <c r="AE2360" s="17">
        <f t="shared" si="110"/>
        <v>0</v>
      </c>
      <c r="AF2360" s="10" t="s">
        <v>5680</v>
      </c>
      <c r="AG2360" s="5" t="s">
        <v>861</v>
      </c>
      <c r="AH2360" s="5" t="s">
        <v>4717</v>
      </c>
      <c r="AI2360" s="5" t="s">
        <v>5603</v>
      </c>
      <c r="AJ2360" s="5" t="s">
        <v>5533</v>
      </c>
    </row>
    <row r="2361" spans="1:36" ht="10" customHeight="1" x14ac:dyDescent="0.2">
      <c r="A2361" s="5" t="s">
        <v>5448</v>
      </c>
      <c r="B2361" s="5" t="s">
        <v>4713</v>
      </c>
      <c r="D2361" s="5" t="s">
        <v>5681</v>
      </c>
      <c r="E2361" s="10" t="s">
        <v>57</v>
      </c>
      <c r="F2361" s="5" t="s">
        <v>5657</v>
      </c>
      <c r="I2361" s="11">
        <v>7</v>
      </c>
      <c r="J2361" s="5" t="s">
        <v>5517</v>
      </c>
      <c r="K2361" s="12"/>
      <c r="O2361" s="12"/>
      <c r="Q2361" s="13">
        <v>3620</v>
      </c>
      <c r="AC2361" s="16" t="str">
        <f t="shared" si="108"/>
        <v/>
      </c>
      <c r="AD2361" s="17">
        <f t="shared" si="109"/>
        <v>0</v>
      </c>
      <c r="AE2361" s="17">
        <f t="shared" si="110"/>
        <v>0</v>
      </c>
      <c r="AF2361" s="10" t="s">
        <v>5682</v>
      </c>
      <c r="AG2361" s="5" t="s">
        <v>861</v>
      </c>
      <c r="AH2361" s="5" t="s">
        <v>4717</v>
      </c>
      <c r="AI2361" s="5" t="s">
        <v>5603</v>
      </c>
      <c r="AJ2361" s="5" t="s">
        <v>5533</v>
      </c>
    </row>
    <row r="2362" spans="1:36" ht="10" customHeight="1" x14ac:dyDescent="0.2">
      <c r="A2362" s="5" t="s">
        <v>5448</v>
      </c>
      <c r="B2362" s="5" t="s">
        <v>4713</v>
      </c>
      <c r="D2362" s="5" t="s">
        <v>5683</v>
      </c>
      <c r="E2362" s="10" t="s">
        <v>57</v>
      </c>
      <c r="F2362" s="5" t="s">
        <v>5657</v>
      </c>
      <c r="I2362" s="11">
        <v>7</v>
      </c>
      <c r="J2362" s="5" t="s">
        <v>5517</v>
      </c>
      <c r="K2362" s="12"/>
      <c r="O2362" s="12"/>
      <c r="Q2362" s="13">
        <v>1500</v>
      </c>
      <c r="AC2362" s="16" t="str">
        <f t="shared" si="108"/>
        <v/>
      </c>
      <c r="AD2362" s="17">
        <f t="shared" si="109"/>
        <v>0</v>
      </c>
      <c r="AE2362" s="17">
        <f t="shared" si="110"/>
        <v>0</v>
      </c>
      <c r="AF2362" s="10" t="s">
        <v>5684</v>
      </c>
      <c r="AG2362" s="5" t="s">
        <v>861</v>
      </c>
      <c r="AH2362" s="5" t="s">
        <v>4717</v>
      </c>
      <c r="AI2362" s="5" t="s">
        <v>5603</v>
      </c>
      <c r="AJ2362" s="5" t="s">
        <v>5533</v>
      </c>
    </row>
    <row r="2363" spans="1:36" ht="10" customHeight="1" x14ac:dyDescent="0.2">
      <c r="A2363" s="5" t="s">
        <v>5448</v>
      </c>
      <c r="B2363" s="5" t="s">
        <v>4713</v>
      </c>
      <c r="D2363" s="5" t="s">
        <v>5685</v>
      </c>
      <c r="E2363" s="10" t="s">
        <v>57</v>
      </c>
      <c r="F2363" s="5" t="s">
        <v>5657</v>
      </c>
      <c r="I2363" s="11">
        <v>7</v>
      </c>
      <c r="J2363" s="5" t="s">
        <v>5517</v>
      </c>
      <c r="K2363" s="12"/>
      <c r="O2363" s="12"/>
      <c r="Q2363" s="13">
        <v>4132</v>
      </c>
      <c r="AC2363" s="16" t="str">
        <f t="shared" si="108"/>
        <v/>
      </c>
      <c r="AD2363" s="17">
        <f t="shared" si="109"/>
        <v>0</v>
      </c>
      <c r="AE2363" s="17">
        <f t="shared" si="110"/>
        <v>0</v>
      </c>
      <c r="AF2363" s="10" t="s">
        <v>5686</v>
      </c>
      <c r="AG2363" s="5" t="s">
        <v>861</v>
      </c>
      <c r="AH2363" s="5" t="s">
        <v>4717</v>
      </c>
      <c r="AI2363" s="5" t="s">
        <v>5603</v>
      </c>
      <c r="AJ2363" s="5" t="s">
        <v>5533</v>
      </c>
    </row>
    <row r="2364" spans="1:36" ht="10" customHeight="1" x14ac:dyDescent="0.2">
      <c r="A2364" s="5" t="s">
        <v>5448</v>
      </c>
      <c r="B2364" s="5" t="s">
        <v>4713</v>
      </c>
      <c r="D2364" s="5" t="s">
        <v>5687</v>
      </c>
      <c r="E2364" s="10" t="s">
        <v>57</v>
      </c>
      <c r="F2364" s="5" t="s">
        <v>5657</v>
      </c>
      <c r="I2364" s="11">
        <v>7</v>
      </c>
      <c r="J2364" s="5" t="s">
        <v>5517</v>
      </c>
      <c r="K2364" s="12"/>
      <c r="O2364" s="12"/>
      <c r="P2364" s="13">
        <v>195000</v>
      </c>
      <c r="AC2364" s="16" t="str">
        <f t="shared" si="108"/>
        <v/>
      </c>
      <c r="AD2364" s="17">
        <f t="shared" si="109"/>
        <v>0</v>
      </c>
      <c r="AE2364" s="17">
        <f t="shared" si="110"/>
        <v>0</v>
      </c>
      <c r="AF2364" s="10" t="s">
        <v>5688</v>
      </c>
      <c r="AG2364" s="5" t="s">
        <v>946</v>
      </c>
      <c r="AH2364" s="5" t="s">
        <v>4717</v>
      </c>
      <c r="AI2364" s="5" t="s">
        <v>5603</v>
      </c>
      <c r="AJ2364" s="5" t="s">
        <v>5548</v>
      </c>
    </row>
    <row r="2365" spans="1:36" ht="10" customHeight="1" x14ac:dyDescent="0.2">
      <c r="A2365" s="5" t="s">
        <v>5448</v>
      </c>
      <c r="B2365" s="5" t="s">
        <v>4713</v>
      </c>
      <c r="D2365" s="5" t="s">
        <v>5689</v>
      </c>
      <c r="E2365" s="10" t="s">
        <v>57</v>
      </c>
      <c r="F2365" s="5" t="s">
        <v>5657</v>
      </c>
      <c r="I2365" s="11">
        <v>7</v>
      </c>
      <c r="J2365" s="5" t="s">
        <v>5517</v>
      </c>
      <c r="K2365" s="12"/>
      <c r="O2365" s="12"/>
      <c r="Q2365" s="13">
        <v>182200</v>
      </c>
      <c r="AC2365" s="16" t="str">
        <f t="shared" si="108"/>
        <v/>
      </c>
      <c r="AD2365" s="17">
        <f t="shared" si="109"/>
        <v>0</v>
      </c>
      <c r="AE2365" s="17">
        <f t="shared" si="110"/>
        <v>0</v>
      </c>
      <c r="AF2365" s="10" t="s">
        <v>5690</v>
      </c>
      <c r="AG2365" s="5" t="s">
        <v>946</v>
      </c>
      <c r="AH2365" s="5" t="s">
        <v>4717</v>
      </c>
      <c r="AI2365" s="5" t="s">
        <v>5603</v>
      </c>
      <c r="AJ2365" s="5" t="s">
        <v>5548</v>
      </c>
    </row>
    <row r="2366" spans="1:36" ht="10" customHeight="1" x14ac:dyDescent="0.2">
      <c r="A2366" s="5" t="s">
        <v>5448</v>
      </c>
      <c r="B2366" s="5" t="s">
        <v>4713</v>
      </c>
      <c r="D2366" s="5" t="s">
        <v>5691</v>
      </c>
      <c r="E2366" s="10" t="s">
        <v>57</v>
      </c>
      <c r="F2366" s="5" t="s">
        <v>5657</v>
      </c>
      <c r="I2366" s="11">
        <v>7</v>
      </c>
      <c r="J2366" s="5" t="s">
        <v>5517</v>
      </c>
      <c r="K2366" s="12"/>
      <c r="O2366" s="12"/>
      <c r="S2366" s="13">
        <v>48800</v>
      </c>
      <c r="AC2366" s="16" t="str">
        <f t="shared" si="108"/>
        <v/>
      </c>
      <c r="AD2366" s="17">
        <f t="shared" si="109"/>
        <v>48800</v>
      </c>
      <c r="AE2366" s="17">
        <f t="shared" si="110"/>
        <v>0</v>
      </c>
      <c r="AF2366" s="10" t="s">
        <v>5692</v>
      </c>
      <c r="AG2366" s="5" t="s">
        <v>946</v>
      </c>
      <c r="AH2366" s="5" t="s">
        <v>4717</v>
      </c>
      <c r="AI2366" s="5" t="s">
        <v>5603</v>
      </c>
      <c r="AJ2366" s="5" t="s">
        <v>5548</v>
      </c>
    </row>
    <row r="2367" spans="1:36" ht="10" customHeight="1" x14ac:dyDescent="0.2">
      <c r="A2367" s="5" t="s">
        <v>5448</v>
      </c>
      <c r="B2367" s="5" t="s">
        <v>4713</v>
      </c>
      <c r="D2367" s="5" t="s">
        <v>5693</v>
      </c>
      <c r="E2367" s="10" t="s">
        <v>188</v>
      </c>
      <c r="I2367" s="11">
        <v>5</v>
      </c>
      <c r="J2367" s="5" t="s">
        <v>5554</v>
      </c>
      <c r="K2367" s="10" t="s">
        <v>50</v>
      </c>
      <c r="L2367" s="5" t="s">
        <v>51</v>
      </c>
      <c r="M2367" s="5" t="s">
        <v>52</v>
      </c>
      <c r="N2367" s="5" t="s">
        <v>4752</v>
      </c>
      <c r="O2367" s="12"/>
      <c r="AC2367" s="16" t="str">
        <f t="shared" si="108"/>
        <v/>
      </c>
      <c r="AD2367" s="17">
        <f t="shared" si="109"/>
        <v>0</v>
      </c>
      <c r="AE2367" s="17">
        <f t="shared" si="110"/>
        <v>0</v>
      </c>
      <c r="AF2367" s="10" t="s">
        <v>5694</v>
      </c>
      <c r="AG2367" s="5" t="s">
        <v>1004</v>
      </c>
      <c r="AH2367" s="5" t="s">
        <v>4717</v>
      </c>
      <c r="AI2367" s="5" t="s">
        <v>5603</v>
      </c>
      <c r="AJ2367" s="5" t="s">
        <v>5554</v>
      </c>
    </row>
    <row r="2368" spans="1:36" ht="10" customHeight="1" x14ac:dyDescent="0.2">
      <c r="A2368" s="5" t="s">
        <v>5448</v>
      </c>
      <c r="B2368" s="5" t="s">
        <v>4713</v>
      </c>
      <c r="D2368" s="5" t="s">
        <v>5695</v>
      </c>
      <c r="E2368" s="10" t="s">
        <v>188</v>
      </c>
      <c r="I2368" s="11">
        <v>2</v>
      </c>
      <c r="J2368" s="5" t="s">
        <v>5554</v>
      </c>
      <c r="K2368" s="10" t="s">
        <v>50</v>
      </c>
      <c r="L2368" s="5" t="s">
        <v>51</v>
      </c>
      <c r="M2368" s="5" t="s">
        <v>69</v>
      </c>
      <c r="N2368" s="5" t="s">
        <v>70</v>
      </c>
      <c r="O2368" s="12"/>
      <c r="AC2368" s="16" t="str">
        <f t="shared" si="108"/>
        <v/>
      </c>
      <c r="AD2368" s="17">
        <f t="shared" si="109"/>
        <v>0</v>
      </c>
      <c r="AE2368" s="17">
        <f t="shared" si="110"/>
        <v>0</v>
      </c>
      <c r="AF2368" s="10" t="s">
        <v>5696</v>
      </c>
      <c r="AG2368" s="5" t="s">
        <v>1004</v>
      </c>
      <c r="AH2368" s="5" t="s">
        <v>4717</v>
      </c>
      <c r="AI2368" s="5" t="s">
        <v>5603</v>
      </c>
      <c r="AJ2368" s="5" t="s">
        <v>5554</v>
      </c>
    </row>
    <row r="2369" spans="1:36" ht="10" customHeight="1" x14ac:dyDescent="0.2">
      <c r="A2369" s="5" t="s">
        <v>5448</v>
      </c>
      <c r="B2369" s="5" t="s">
        <v>4713</v>
      </c>
      <c r="D2369" s="5" t="s">
        <v>5697</v>
      </c>
      <c r="E2369" s="10" t="s">
        <v>188</v>
      </c>
      <c r="I2369" s="11">
        <v>2</v>
      </c>
      <c r="J2369" s="5" t="s">
        <v>5554</v>
      </c>
      <c r="K2369" s="10" t="s">
        <v>50</v>
      </c>
      <c r="L2369" s="5" t="s">
        <v>51</v>
      </c>
      <c r="M2369" s="5" t="s">
        <v>69</v>
      </c>
      <c r="N2369" s="5" t="s">
        <v>70</v>
      </c>
      <c r="O2369" s="12"/>
      <c r="AC2369" s="16" t="str">
        <f t="shared" si="108"/>
        <v/>
      </c>
      <c r="AD2369" s="17">
        <f t="shared" si="109"/>
        <v>0</v>
      </c>
      <c r="AE2369" s="17">
        <f t="shared" si="110"/>
        <v>0</v>
      </c>
      <c r="AF2369" s="10" t="s">
        <v>5698</v>
      </c>
      <c r="AG2369" s="5" t="s">
        <v>1004</v>
      </c>
      <c r="AH2369" s="5" t="s">
        <v>4717</v>
      </c>
      <c r="AI2369" s="5" t="s">
        <v>5603</v>
      </c>
      <c r="AJ2369" s="5" t="s">
        <v>5554</v>
      </c>
    </row>
    <row r="2370" spans="1:36" ht="10" customHeight="1" x14ac:dyDescent="0.2">
      <c r="A2370" s="5" t="s">
        <v>5448</v>
      </c>
      <c r="B2370" s="5" t="s">
        <v>4713</v>
      </c>
      <c r="D2370" s="5" t="s">
        <v>5699</v>
      </c>
      <c r="E2370" s="10" t="s">
        <v>188</v>
      </c>
      <c r="I2370" s="11">
        <v>2</v>
      </c>
      <c r="J2370" s="5" t="s">
        <v>5554</v>
      </c>
      <c r="K2370" s="10" t="s">
        <v>50</v>
      </c>
      <c r="L2370" s="5" t="s">
        <v>51</v>
      </c>
      <c r="M2370" s="5" t="s">
        <v>52</v>
      </c>
      <c r="N2370" s="5" t="s">
        <v>88</v>
      </c>
      <c r="O2370" s="12"/>
      <c r="AC2370" s="16" t="str">
        <f t="shared" si="108"/>
        <v/>
      </c>
      <c r="AD2370" s="17">
        <f t="shared" si="109"/>
        <v>0</v>
      </c>
      <c r="AE2370" s="17">
        <f t="shared" si="110"/>
        <v>0</v>
      </c>
      <c r="AF2370" s="10" t="s">
        <v>5700</v>
      </c>
      <c r="AG2370" s="5" t="s">
        <v>1004</v>
      </c>
      <c r="AH2370" s="5" t="s">
        <v>4717</v>
      </c>
      <c r="AI2370" s="5" t="s">
        <v>5603</v>
      </c>
      <c r="AJ2370" s="5" t="s">
        <v>5554</v>
      </c>
    </row>
    <row r="2371" spans="1:36" ht="10" customHeight="1" x14ac:dyDescent="0.2">
      <c r="A2371" s="5" t="s">
        <v>5448</v>
      </c>
      <c r="B2371" s="5" t="s">
        <v>4713</v>
      </c>
      <c r="D2371" s="5" t="s">
        <v>5697</v>
      </c>
      <c r="E2371" s="10" t="s">
        <v>188</v>
      </c>
      <c r="I2371" s="11">
        <v>2</v>
      </c>
      <c r="J2371" s="5" t="s">
        <v>5554</v>
      </c>
      <c r="K2371" s="10" t="s">
        <v>50</v>
      </c>
      <c r="L2371" s="5" t="s">
        <v>51</v>
      </c>
      <c r="M2371" s="5" t="s">
        <v>69</v>
      </c>
      <c r="N2371" s="5" t="s">
        <v>70</v>
      </c>
      <c r="O2371" s="12"/>
      <c r="AC2371" s="16" t="str">
        <f t="shared" si="108"/>
        <v/>
      </c>
      <c r="AD2371" s="17">
        <f t="shared" si="109"/>
        <v>0</v>
      </c>
      <c r="AE2371" s="17">
        <f t="shared" si="110"/>
        <v>0</v>
      </c>
      <c r="AF2371" s="10" t="s">
        <v>5698</v>
      </c>
      <c r="AG2371" s="5" t="s">
        <v>1004</v>
      </c>
      <c r="AH2371" s="5" t="s">
        <v>4717</v>
      </c>
      <c r="AI2371" s="5" t="s">
        <v>5603</v>
      </c>
      <c r="AJ2371" s="5" t="s">
        <v>5554</v>
      </c>
    </row>
    <row r="2372" spans="1:36" ht="10" customHeight="1" x14ac:dyDescent="0.2">
      <c r="A2372" s="5" t="s">
        <v>5448</v>
      </c>
      <c r="B2372" s="5" t="s">
        <v>4713</v>
      </c>
      <c r="D2372" s="5" t="s">
        <v>5701</v>
      </c>
      <c r="E2372" s="10" t="s">
        <v>188</v>
      </c>
      <c r="I2372" s="11">
        <v>5</v>
      </c>
      <c r="J2372" s="5" t="s">
        <v>5554</v>
      </c>
      <c r="K2372" s="10" t="s">
        <v>50</v>
      </c>
      <c r="L2372" s="5" t="s">
        <v>51</v>
      </c>
      <c r="M2372" s="5" t="s">
        <v>52</v>
      </c>
      <c r="N2372" s="5" t="s">
        <v>4752</v>
      </c>
      <c r="O2372" s="12"/>
      <c r="AC2372" s="16" t="str">
        <f t="shared" si="108"/>
        <v/>
      </c>
      <c r="AD2372" s="17">
        <f t="shared" si="109"/>
        <v>0</v>
      </c>
      <c r="AE2372" s="17">
        <f t="shared" si="110"/>
        <v>0</v>
      </c>
      <c r="AF2372" s="10" t="s">
        <v>5702</v>
      </c>
      <c r="AG2372" s="5" t="s">
        <v>1004</v>
      </c>
      <c r="AH2372" s="5" t="s">
        <v>4717</v>
      </c>
      <c r="AI2372" s="5" t="s">
        <v>5603</v>
      </c>
      <c r="AJ2372" s="5" t="s">
        <v>5554</v>
      </c>
    </row>
    <row r="2373" spans="1:36" ht="10" customHeight="1" x14ac:dyDescent="0.2">
      <c r="A2373" s="5" t="s">
        <v>5448</v>
      </c>
      <c r="B2373" s="5" t="s">
        <v>4713</v>
      </c>
      <c r="D2373" s="5" t="s">
        <v>5703</v>
      </c>
      <c r="E2373" s="10" t="s">
        <v>188</v>
      </c>
      <c r="I2373" s="11">
        <v>2</v>
      </c>
      <c r="J2373" s="5" t="s">
        <v>5554</v>
      </c>
      <c r="K2373" s="10" t="s">
        <v>50</v>
      </c>
      <c r="L2373" s="5" t="s">
        <v>51</v>
      </c>
      <c r="M2373" s="5" t="s">
        <v>52</v>
      </c>
      <c r="N2373" s="5" t="s">
        <v>88</v>
      </c>
      <c r="O2373" s="12"/>
      <c r="AC2373" s="16" t="str">
        <f t="shared" si="108"/>
        <v/>
      </c>
      <c r="AD2373" s="17">
        <f t="shared" si="109"/>
        <v>0</v>
      </c>
      <c r="AE2373" s="17">
        <f t="shared" si="110"/>
        <v>0</v>
      </c>
      <c r="AF2373" s="10" t="s">
        <v>5704</v>
      </c>
      <c r="AG2373" s="5" t="s">
        <v>1004</v>
      </c>
      <c r="AH2373" s="5" t="s">
        <v>4717</v>
      </c>
      <c r="AI2373" s="5" t="s">
        <v>5603</v>
      </c>
      <c r="AJ2373" s="5" t="s">
        <v>5554</v>
      </c>
    </row>
    <row r="2374" spans="1:36" ht="10" customHeight="1" x14ac:dyDescent="0.2">
      <c r="A2374" s="5" t="s">
        <v>5448</v>
      </c>
      <c r="B2374" s="5" t="s">
        <v>4713</v>
      </c>
      <c r="D2374" s="5" t="s">
        <v>5705</v>
      </c>
      <c r="E2374" s="10" t="s">
        <v>188</v>
      </c>
      <c r="I2374" s="11">
        <v>2</v>
      </c>
      <c r="J2374" s="5" t="s">
        <v>5554</v>
      </c>
      <c r="K2374" s="10" t="s">
        <v>50</v>
      </c>
      <c r="L2374" s="5" t="s">
        <v>51</v>
      </c>
      <c r="M2374" s="5" t="s">
        <v>52</v>
      </c>
      <c r="N2374" s="5" t="s">
        <v>4752</v>
      </c>
      <c r="O2374" s="12"/>
      <c r="AC2374" s="16" t="str">
        <f t="shared" ref="AC2374:AC2437" si="111">IF(OR(E2374="",E2374="[PARENT]"),"ADD",IF(E2374="[ALT_VIEW]","ALT",""))</f>
        <v/>
      </c>
      <c r="AD2374" s="17">
        <f t="shared" ref="AD2374:AD2437" si="112">IF(Y2374&lt;&gt;"",Y2374,IF(U2374&lt;&gt;"",U2374,S2374))</f>
        <v>0</v>
      </c>
      <c r="AE2374" s="17">
        <f t="shared" ref="AE2374:AE2437" si="113">IF(AB2374&lt;&gt;"",AB2374,Z2374)</f>
        <v>0</v>
      </c>
      <c r="AF2374" s="10" t="s">
        <v>5706</v>
      </c>
      <c r="AG2374" s="5" t="s">
        <v>1004</v>
      </c>
      <c r="AH2374" s="5" t="s">
        <v>4717</v>
      </c>
      <c r="AI2374" s="5" t="s">
        <v>5603</v>
      </c>
      <c r="AJ2374" s="5" t="s">
        <v>5554</v>
      </c>
    </row>
    <row r="2375" spans="1:36" ht="10" customHeight="1" x14ac:dyDescent="0.2">
      <c r="A2375" s="5" t="s">
        <v>5448</v>
      </c>
      <c r="B2375" s="5" t="s">
        <v>4713</v>
      </c>
      <c r="D2375" s="5" t="s">
        <v>5707</v>
      </c>
      <c r="E2375" s="10" t="s">
        <v>188</v>
      </c>
      <c r="I2375" s="11">
        <v>2</v>
      </c>
      <c r="J2375" s="5" t="s">
        <v>5554</v>
      </c>
      <c r="K2375" s="10" t="s">
        <v>50</v>
      </c>
      <c r="L2375" s="5" t="s">
        <v>51</v>
      </c>
      <c r="M2375" s="5" t="s">
        <v>52</v>
      </c>
      <c r="N2375" s="5" t="s">
        <v>88</v>
      </c>
      <c r="O2375" s="12"/>
      <c r="AC2375" s="16" t="str">
        <f t="shared" si="111"/>
        <v/>
      </c>
      <c r="AD2375" s="17">
        <f t="shared" si="112"/>
        <v>0</v>
      </c>
      <c r="AE2375" s="17">
        <f t="shared" si="113"/>
        <v>0</v>
      </c>
      <c r="AF2375" s="10" t="s">
        <v>5708</v>
      </c>
      <c r="AG2375" s="5" t="s">
        <v>1004</v>
      </c>
      <c r="AH2375" s="5" t="s">
        <v>4717</v>
      </c>
      <c r="AI2375" s="5" t="s">
        <v>5603</v>
      </c>
      <c r="AJ2375" s="5" t="s">
        <v>5554</v>
      </c>
    </row>
    <row r="2376" spans="1:36" ht="10" customHeight="1" x14ac:dyDescent="0.2">
      <c r="A2376" s="5" t="s">
        <v>5448</v>
      </c>
      <c r="B2376" s="5" t="s">
        <v>4713</v>
      </c>
      <c r="D2376" s="5" t="s">
        <v>5709</v>
      </c>
      <c r="E2376" s="10" t="s">
        <v>188</v>
      </c>
      <c r="I2376" s="11">
        <v>2</v>
      </c>
      <c r="J2376" s="5" t="s">
        <v>5554</v>
      </c>
      <c r="K2376" s="10" t="s">
        <v>50</v>
      </c>
      <c r="L2376" s="5" t="s">
        <v>51</v>
      </c>
      <c r="M2376" s="5" t="s">
        <v>52</v>
      </c>
      <c r="N2376" s="5" t="s">
        <v>88</v>
      </c>
      <c r="O2376" s="12"/>
      <c r="AC2376" s="16" t="str">
        <f t="shared" si="111"/>
        <v/>
      </c>
      <c r="AD2376" s="17">
        <f t="shared" si="112"/>
        <v>0</v>
      </c>
      <c r="AE2376" s="17">
        <f t="shared" si="113"/>
        <v>0</v>
      </c>
      <c r="AF2376" s="10" t="s">
        <v>5710</v>
      </c>
      <c r="AG2376" s="5" t="s">
        <v>1004</v>
      </c>
      <c r="AH2376" s="5" t="s">
        <v>4717</v>
      </c>
      <c r="AI2376" s="5" t="s">
        <v>5603</v>
      </c>
      <c r="AJ2376" s="5" t="s">
        <v>5554</v>
      </c>
    </row>
    <row r="2377" spans="1:36" ht="10" customHeight="1" x14ac:dyDescent="0.2">
      <c r="A2377" s="5" t="s">
        <v>5448</v>
      </c>
      <c r="B2377" s="5" t="s">
        <v>4713</v>
      </c>
      <c r="D2377" s="5" t="s">
        <v>5711</v>
      </c>
      <c r="E2377" s="10" t="s">
        <v>188</v>
      </c>
      <c r="I2377" s="11">
        <v>2</v>
      </c>
      <c r="J2377" s="5" t="s">
        <v>5554</v>
      </c>
      <c r="K2377" s="10" t="s">
        <v>50</v>
      </c>
      <c r="L2377" s="5" t="s">
        <v>51</v>
      </c>
      <c r="M2377" s="5" t="s">
        <v>52</v>
      </c>
      <c r="N2377" s="5" t="s">
        <v>88</v>
      </c>
      <c r="O2377" s="12"/>
      <c r="AC2377" s="16" t="str">
        <f t="shared" si="111"/>
        <v/>
      </c>
      <c r="AD2377" s="17">
        <f t="shared" si="112"/>
        <v>0</v>
      </c>
      <c r="AE2377" s="17">
        <f t="shared" si="113"/>
        <v>0</v>
      </c>
      <c r="AF2377" s="10" t="s">
        <v>5712</v>
      </c>
      <c r="AG2377" s="5" t="s">
        <v>1004</v>
      </c>
      <c r="AH2377" s="5" t="s">
        <v>4717</v>
      </c>
      <c r="AI2377" s="5" t="s">
        <v>5603</v>
      </c>
      <c r="AJ2377" s="5" t="s">
        <v>5554</v>
      </c>
    </row>
    <row r="2378" spans="1:36" ht="10" customHeight="1" x14ac:dyDescent="0.2">
      <c r="A2378" s="5" t="s">
        <v>5448</v>
      </c>
      <c r="B2378" s="5" t="s">
        <v>4713</v>
      </c>
      <c r="D2378" s="5" t="s">
        <v>5713</v>
      </c>
      <c r="E2378" s="10" t="s">
        <v>188</v>
      </c>
      <c r="I2378" s="11">
        <v>5</v>
      </c>
      <c r="J2378" s="5" t="s">
        <v>5554</v>
      </c>
      <c r="K2378" s="10" t="s">
        <v>50</v>
      </c>
      <c r="L2378" s="5" t="s">
        <v>51</v>
      </c>
      <c r="M2378" s="5" t="s">
        <v>52</v>
      </c>
      <c r="N2378" s="5" t="s">
        <v>4752</v>
      </c>
      <c r="O2378" s="12"/>
      <c r="AC2378" s="16" t="str">
        <f t="shared" si="111"/>
        <v/>
      </c>
      <c r="AD2378" s="17">
        <f t="shared" si="112"/>
        <v>0</v>
      </c>
      <c r="AE2378" s="17">
        <f t="shared" si="113"/>
        <v>0</v>
      </c>
      <c r="AF2378" s="10" t="s">
        <v>5714</v>
      </c>
      <c r="AG2378" s="5" t="s">
        <v>1004</v>
      </c>
      <c r="AH2378" s="5" t="s">
        <v>4717</v>
      </c>
      <c r="AI2378" s="5" t="s">
        <v>5603</v>
      </c>
      <c r="AJ2378" s="5" t="s">
        <v>5554</v>
      </c>
    </row>
    <row r="2379" spans="1:36" ht="10" customHeight="1" x14ac:dyDescent="0.2">
      <c r="A2379" s="5" t="s">
        <v>5448</v>
      </c>
      <c r="B2379" s="5" t="s">
        <v>4713</v>
      </c>
      <c r="D2379" s="5" t="s">
        <v>5715</v>
      </c>
      <c r="E2379" s="10" t="s">
        <v>188</v>
      </c>
      <c r="I2379" s="11">
        <v>2</v>
      </c>
      <c r="J2379" s="5" t="s">
        <v>5554</v>
      </c>
      <c r="K2379" s="10" t="s">
        <v>50</v>
      </c>
      <c r="L2379" s="5" t="s">
        <v>51</v>
      </c>
      <c r="M2379" s="5" t="s">
        <v>52</v>
      </c>
      <c r="N2379" s="5" t="s">
        <v>88</v>
      </c>
      <c r="O2379" s="12"/>
      <c r="AC2379" s="16" t="str">
        <f t="shared" si="111"/>
        <v/>
      </c>
      <c r="AD2379" s="17">
        <f t="shared" si="112"/>
        <v>0</v>
      </c>
      <c r="AE2379" s="17">
        <f t="shared" si="113"/>
        <v>0</v>
      </c>
      <c r="AF2379" s="10" t="s">
        <v>5716</v>
      </c>
      <c r="AG2379" s="5" t="s">
        <v>1004</v>
      </c>
      <c r="AH2379" s="5" t="s">
        <v>4717</v>
      </c>
      <c r="AI2379" s="5" t="s">
        <v>5603</v>
      </c>
      <c r="AJ2379" s="5" t="s">
        <v>5554</v>
      </c>
    </row>
    <row r="2380" spans="1:36" ht="10" customHeight="1" x14ac:dyDescent="0.2">
      <c r="A2380" s="5" t="s">
        <v>5448</v>
      </c>
      <c r="B2380" s="5" t="s">
        <v>4713</v>
      </c>
      <c r="D2380" s="5" t="s">
        <v>5717</v>
      </c>
      <c r="E2380" s="10" t="s">
        <v>188</v>
      </c>
      <c r="I2380" s="11">
        <v>2</v>
      </c>
      <c r="J2380" s="5" t="s">
        <v>5554</v>
      </c>
      <c r="K2380" s="10" t="s">
        <v>50</v>
      </c>
      <c r="L2380" s="5" t="s">
        <v>51</v>
      </c>
      <c r="M2380" s="5" t="s">
        <v>69</v>
      </c>
      <c r="N2380" s="5" t="s">
        <v>70</v>
      </c>
      <c r="O2380" s="12"/>
      <c r="AC2380" s="16" t="str">
        <f t="shared" si="111"/>
        <v/>
      </c>
      <c r="AD2380" s="17">
        <f t="shared" si="112"/>
        <v>0</v>
      </c>
      <c r="AE2380" s="17">
        <f t="shared" si="113"/>
        <v>0</v>
      </c>
      <c r="AF2380" s="10" t="s">
        <v>5718</v>
      </c>
      <c r="AG2380" s="5" t="s">
        <v>1004</v>
      </c>
      <c r="AH2380" s="5" t="s">
        <v>4717</v>
      </c>
      <c r="AI2380" s="5" t="s">
        <v>5603</v>
      </c>
      <c r="AJ2380" s="5" t="s">
        <v>5554</v>
      </c>
    </row>
    <row r="2381" spans="1:36" ht="10" customHeight="1" x14ac:dyDescent="0.2">
      <c r="A2381" s="5" t="s">
        <v>5448</v>
      </c>
      <c r="B2381" s="5" t="s">
        <v>4713</v>
      </c>
      <c r="D2381" s="5" t="s">
        <v>5719</v>
      </c>
      <c r="E2381" s="10" t="s">
        <v>188</v>
      </c>
      <c r="I2381" s="11">
        <v>2</v>
      </c>
      <c r="J2381" s="5" t="s">
        <v>5554</v>
      </c>
      <c r="K2381" s="10" t="s">
        <v>50</v>
      </c>
      <c r="L2381" s="5" t="s">
        <v>51</v>
      </c>
      <c r="M2381" s="5" t="s">
        <v>52</v>
      </c>
      <c r="N2381" s="5" t="s">
        <v>88</v>
      </c>
      <c r="O2381" s="12"/>
      <c r="AC2381" s="16" t="str">
        <f t="shared" si="111"/>
        <v/>
      </c>
      <c r="AD2381" s="17">
        <f t="shared" si="112"/>
        <v>0</v>
      </c>
      <c r="AE2381" s="17">
        <f t="shared" si="113"/>
        <v>0</v>
      </c>
      <c r="AF2381" s="10" t="s">
        <v>5720</v>
      </c>
      <c r="AG2381" s="5" t="s">
        <v>1004</v>
      </c>
      <c r="AH2381" s="5" t="s">
        <v>4717</v>
      </c>
      <c r="AI2381" s="5" t="s">
        <v>5603</v>
      </c>
      <c r="AJ2381" s="5" t="s">
        <v>5554</v>
      </c>
    </row>
    <row r="2382" spans="1:36" ht="10" customHeight="1" x14ac:dyDescent="0.2">
      <c r="A2382" s="5" t="s">
        <v>5448</v>
      </c>
      <c r="B2382" s="5" t="s">
        <v>4713</v>
      </c>
      <c r="D2382" s="5" t="s">
        <v>5721</v>
      </c>
      <c r="E2382" s="10" t="s">
        <v>188</v>
      </c>
      <c r="I2382" s="11">
        <v>2</v>
      </c>
      <c r="J2382" s="5" t="s">
        <v>5554</v>
      </c>
      <c r="K2382" s="10" t="s">
        <v>50</v>
      </c>
      <c r="L2382" s="5" t="s">
        <v>51</v>
      </c>
      <c r="M2382" s="5" t="s">
        <v>52</v>
      </c>
      <c r="N2382" s="5" t="s">
        <v>4752</v>
      </c>
      <c r="O2382" s="12"/>
      <c r="AC2382" s="16" t="str">
        <f t="shared" si="111"/>
        <v/>
      </c>
      <c r="AD2382" s="17">
        <f t="shared" si="112"/>
        <v>0</v>
      </c>
      <c r="AE2382" s="17">
        <f t="shared" si="113"/>
        <v>0</v>
      </c>
      <c r="AF2382" s="10" t="s">
        <v>5722</v>
      </c>
      <c r="AG2382" s="5" t="s">
        <v>1004</v>
      </c>
      <c r="AH2382" s="5" t="s">
        <v>4717</v>
      </c>
      <c r="AI2382" s="5" t="s">
        <v>5603</v>
      </c>
      <c r="AJ2382" s="5" t="s">
        <v>5554</v>
      </c>
    </row>
    <row r="2383" spans="1:36" ht="10" customHeight="1" x14ac:dyDescent="0.2">
      <c r="A2383" s="5" t="s">
        <v>5448</v>
      </c>
      <c r="B2383" s="5" t="s">
        <v>4713</v>
      </c>
      <c r="D2383" s="5" t="s">
        <v>5723</v>
      </c>
      <c r="E2383" s="10" t="s">
        <v>188</v>
      </c>
      <c r="I2383" s="11">
        <v>2</v>
      </c>
      <c r="J2383" s="5" t="s">
        <v>5554</v>
      </c>
      <c r="K2383" s="10" t="s">
        <v>50</v>
      </c>
      <c r="L2383" s="5" t="s">
        <v>51</v>
      </c>
      <c r="M2383" s="5" t="s">
        <v>52</v>
      </c>
      <c r="N2383" s="5" t="s">
        <v>88</v>
      </c>
      <c r="O2383" s="12"/>
      <c r="AC2383" s="16" t="str">
        <f t="shared" si="111"/>
        <v/>
      </c>
      <c r="AD2383" s="17">
        <f t="shared" si="112"/>
        <v>0</v>
      </c>
      <c r="AE2383" s="17">
        <f t="shared" si="113"/>
        <v>0</v>
      </c>
      <c r="AF2383" s="10" t="s">
        <v>5724</v>
      </c>
      <c r="AG2383" s="5" t="s">
        <v>1004</v>
      </c>
      <c r="AH2383" s="5" t="s">
        <v>4717</v>
      </c>
      <c r="AI2383" s="5" t="s">
        <v>5603</v>
      </c>
      <c r="AJ2383" s="5" t="s">
        <v>5554</v>
      </c>
    </row>
    <row r="2384" spans="1:36" ht="10" customHeight="1" x14ac:dyDescent="0.2">
      <c r="A2384" s="5" t="s">
        <v>5448</v>
      </c>
      <c r="B2384" s="5" t="s">
        <v>4713</v>
      </c>
      <c r="D2384" s="5" t="s">
        <v>5725</v>
      </c>
      <c r="E2384" s="10" t="s">
        <v>188</v>
      </c>
      <c r="I2384" s="11">
        <v>2</v>
      </c>
      <c r="J2384" s="5" t="s">
        <v>5554</v>
      </c>
      <c r="K2384" s="10" t="s">
        <v>50</v>
      </c>
      <c r="L2384" s="5" t="s">
        <v>51</v>
      </c>
      <c r="M2384" s="5" t="s">
        <v>52</v>
      </c>
      <c r="N2384" s="5" t="s">
        <v>88</v>
      </c>
      <c r="O2384" s="12"/>
      <c r="AC2384" s="16" t="str">
        <f t="shared" si="111"/>
        <v/>
      </c>
      <c r="AD2384" s="17">
        <f t="shared" si="112"/>
        <v>0</v>
      </c>
      <c r="AE2384" s="17">
        <f t="shared" si="113"/>
        <v>0</v>
      </c>
      <c r="AF2384" s="10" t="s">
        <v>5726</v>
      </c>
      <c r="AG2384" s="5" t="s">
        <v>1004</v>
      </c>
      <c r="AH2384" s="5" t="s">
        <v>4717</v>
      </c>
      <c r="AI2384" s="5" t="s">
        <v>5603</v>
      </c>
      <c r="AJ2384" s="5" t="s">
        <v>5554</v>
      </c>
    </row>
    <row r="2385" spans="1:36" ht="10" customHeight="1" x14ac:dyDescent="0.2">
      <c r="A2385" s="5" t="s">
        <v>5448</v>
      </c>
      <c r="B2385" s="5" t="s">
        <v>4713</v>
      </c>
      <c r="D2385" s="5" t="s">
        <v>5727</v>
      </c>
      <c r="E2385" s="10" t="s">
        <v>188</v>
      </c>
      <c r="I2385" s="11">
        <v>2</v>
      </c>
      <c r="J2385" s="5" t="s">
        <v>5554</v>
      </c>
      <c r="K2385" s="10" t="s">
        <v>50</v>
      </c>
      <c r="L2385" s="5" t="s">
        <v>51</v>
      </c>
      <c r="M2385" s="5" t="s">
        <v>69</v>
      </c>
      <c r="N2385" s="5" t="s">
        <v>70</v>
      </c>
      <c r="O2385" s="12"/>
      <c r="AC2385" s="16" t="str">
        <f t="shared" si="111"/>
        <v/>
      </c>
      <c r="AD2385" s="17">
        <f t="shared" si="112"/>
        <v>0</v>
      </c>
      <c r="AE2385" s="17">
        <f t="shared" si="113"/>
        <v>0</v>
      </c>
      <c r="AF2385" s="10" t="s">
        <v>5728</v>
      </c>
      <c r="AG2385" s="5" t="s">
        <v>1004</v>
      </c>
      <c r="AH2385" s="5" t="s">
        <v>4717</v>
      </c>
      <c r="AI2385" s="5" t="s">
        <v>5603</v>
      </c>
      <c r="AJ2385" s="5" t="s">
        <v>5554</v>
      </c>
    </row>
    <row r="2386" spans="1:36" ht="10" customHeight="1" x14ac:dyDescent="0.2">
      <c r="A2386" s="5" t="s">
        <v>5448</v>
      </c>
      <c r="B2386" s="5" t="s">
        <v>4713</v>
      </c>
      <c r="D2386" s="5" t="s">
        <v>5729</v>
      </c>
      <c r="E2386" s="10" t="s">
        <v>188</v>
      </c>
      <c r="I2386" s="11">
        <v>2</v>
      </c>
      <c r="J2386" s="5" t="s">
        <v>5554</v>
      </c>
      <c r="K2386" s="10" t="s">
        <v>50</v>
      </c>
      <c r="L2386" s="5" t="s">
        <v>51</v>
      </c>
      <c r="M2386" s="5" t="s">
        <v>69</v>
      </c>
      <c r="N2386" s="5" t="s">
        <v>70</v>
      </c>
      <c r="O2386" s="12"/>
      <c r="AC2386" s="16" t="str">
        <f t="shared" si="111"/>
        <v/>
      </c>
      <c r="AD2386" s="17">
        <f t="shared" si="112"/>
        <v>0</v>
      </c>
      <c r="AE2386" s="17">
        <f t="shared" si="113"/>
        <v>0</v>
      </c>
      <c r="AF2386" s="10" t="s">
        <v>5730</v>
      </c>
      <c r="AG2386" s="5" t="s">
        <v>1004</v>
      </c>
      <c r="AH2386" s="5" t="s">
        <v>4717</v>
      </c>
      <c r="AI2386" s="5" t="s">
        <v>5603</v>
      </c>
      <c r="AJ2386" s="5" t="s">
        <v>5554</v>
      </c>
    </row>
    <row r="2387" spans="1:36" ht="10" customHeight="1" x14ac:dyDescent="0.2">
      <c r="A2387" s="5" t="s">
        <v>5448</v>
      </c>
      <c r="B2387" s="5" t="s">
        <v>4713</v>
      </c>
      <c r="D2387" s="5" t="s">
        <v>5731</v>
      </c>
      <c r="E2387" s="10" t="s">
        <v>188</v>
      </c>
      <c r="I2387" s="11">
        <v>2</v>
      </c>
      <c r="J2387" s="5" t="s">
        <v>5554</v>
      </c>
      <c r="K2387" s="10" t="s">
        <v>50</v>
      </c>
      <c r="L2387" s="5" t="s">
        <v>51</v>
      </c>
      <c r="M2387" s="5" t="s">
        <v>69</v>
      </c>
      <c r="N2387" s="5" t="s">
        <v>70</v>
      </c>
      <c r="O2387" s="12"/>
      <c r="AC2387" s="16" t="str">
        <f t="shared" si="111"/>
        <v/>
      </c>
      <c r="AD2387" s="17">
        <f t="shared" si="112"/>
        <v>0</v>
      </c>
      <c r="AE2387" s="17">
        <f t="shared" si="113"/>
        <v>0</v>
      </c>
      <c r="AF2387" s="10" t="s">
        <v>5732</v>
      </c>
      <c r="AG2387" s="5" t="s">
        <v>1004</v>
      </c>
      <c r="AH2387" s="5" t="s">
        <v>4717</v>
      </c>
      <c r="AI2387" s="5" t="s">
        <v>5603</v>
      </c>
      <c r="AJ2387" s="5" t="s">
        <v>5554</v>
      </c>
    </row>
    <row r="2388" spans="1:36" ht="10" customHeight="1" x14ac:dyDescent="0.2">
      <c r="A2388" s="5" t="s">
        <v>5448</v>
      </c>
      <c r="B2388" s="5" t="s">
        <v>4713</v>
      </c>
      <c r="D2388" s="5" t="s">
        <v>5733</v>
      </c>
      <c r="E2388" s="10" t="s">
        <v>188</v>
      </c>
      <c r="I2388" s="11">
        <v>2</v>
      </c>
      <c r="J2388" s="5" t="s">
        <v>5554</v>
      </c>
      <c r="K2388" s="10" t="s">
        <v>50</v>
      </c>
      <c r="L2388" s="5" t="s">
        <v>51</v>
      </c>
      <c r="M2388" s="5" t="s">
        <v>69</v>
      </c>
      <c r="N2388" s="5" t="s">
        <v>70</v>
      </c>
      <c r="O2388" s="12"/>
      <c r="AC2388" s="16" t="str">
        <f t="shared" si="111"/>
        <v/>
      </c>
      <c r="AD2388" s="17">
        <f t="shared" si="112"/>
        <v>0</v>
      </c>
      <c r="AE2388" s="17">
        <f t="shared" si="113"/>
        <v>0</v>
      </c>
      <c r="AF2388" s="10" t="s">
        <v>5734</v>
      </c>
      <c r="AG2388" s="5" t="s">
        <v>1004</v>
      </c>
      <c r="AH2388" s="5" t="s">
        <v>4717</v>
      </c>
      <c r="AI2388" s="5" t="s">
        <v>5603</v>
      </c>
      <c r="AJ2388" s="5" t="s">
        <v>5554</v>
      </c>
    </row>
    <row r="2389" spans="1:36" ht="10" customHeight="1" x14ac:dyDescent="0.2">
      <c r="A2389" s="5" t="s">
        <v>5448</v>
      </c>
      <c r="B2389" s="5" t="s">
        <v>4713</v>
      </c>
      <c r="D2389" s="5" t="s">
        <v>5735</v>
      </c>
      <c r="E2389" s="10" t="s">
        <v>188</v>
      </c>
      <c r="I2389" s="11">
        <v>2</v>
      </c>
      <c r="J2389" s="5" t="s">
        <v>5554</v>
      </c>
      <c r="K2389" s="10" t="s">
        <v>50</v>
      </c>
      <c r="L2389" s="5" t="s">
        <v>51</v>
      </c>
      <c r="M2389" s="5" t="s">
        <v>52</v>
      </c>
      <c r="N2389" s="5" t="s">
        <v>88</v>
      </c>
      <c r="O2389" s="12"/>
      <c r="AC2389" s="16" t="str">
        <f t="shared" si="111"/>
        <v/>
      </c>
      <c r="AD2389" s="17">
        <f t="shared" si="112"/>
        <v>0</v>
      </c>
      <c r="AE2389" s="17">
        <f t="shared" si="113"/>
        <v>0</v>
      </c>
      <c r="AF2389" s="10" t="s">
        <v>5736</v>
      </c>
      <c r="AG2389" s="5" t="s">
        <v>1009</v>
      </c>
      <c r="AH2389" s="5" t="s">
        <v>4717</v>
      </c>
      <c r="AI2389" s="5" t="s">
        <v>5603</v>
      </c>
      <c r="AJ2389" s="5" t="s">
        <v>5554</v>
      </c>
    </row>
    <row r="2390" spans="1:36" ht="10" customHeight="1" x14ac:dyDescent="0.2">
      <c r="A2390" s="5" t="s">
        <v>5448</v>
      </c>
      <c r="B2390" s="5" t="s">
        <v>4713</v>
      </c>
      <c r="D2390" s="5" t="s">
        <v>5737</v>
      </c>
      <c r="E2390" s="10" t="s">
        <v>188</v>
      </c>
      <c r="I2390" s="11">
        <v>2</v>
      </c>
      <c r="J2390" s="5" t="s">
        <v>5554</v>
      </c>
      <c r="K2390" s="10" t="s">
        <v>50</v>
      </c>
      <c r="L2390" s="5" t="s">
        <v>51</v>
      </c>
      <c r="M2390" s="5" t="s">
        <v>52</v>
      </c>
      <c r="N2390" s="5" t="s">
        <v>88</v>
      </c>
      <c r="O2390" s="12"/>
      <c r="AC2390" s="16" t="str">
        <f t="shared" si="111"/>
        <v/>
      </c>
      <c r="AD2390" s="17">
        <f t="shared" si="112"/>
        <v>0</v>
      </c>
      <c r="AE2390" s="17">
        <f t="shared" si="113"/>
        <v>0</v>
      </c>
      <c r="AF2390" s="10" t="s">
        <v>5738</v>
      </c>
      <c r="AG2390" s="5" t="s">
        <v>1009</v>
      </c>
      <c r="AH2390" s="5" t="s">
        <v>4717</v>
      </c>
      <c r="AI2390" s="5" t="s">
        <v>5603</v>
      </c>
      <c r="AJ2390" s="5" t="s">
        <v>5554</v>
      </c>
    </row>
    <row r="2391" spans="1:36" ht="10" customHeight="1" x14ac:dyDescent="0.2">
      <c r="A2391" s="5" t="s">
        <v>5448</v>
      </c>
      <c r="B2391" s="5" t="s">
        <v>4713</v>
      </c>
      <c r="D2391" s="5" t="s">
        <v>5739</v>
      </c>
      <c r="E2391" s="10" t="s">
        <v>188</v>
      </c>
      <c r="I2391" s="11">
        <v>2</v>
      </c>
      <c r="J2391" s="5" t="s">
        <v>5554</v>
      </c>
      <c r="K2391" s="10" t="s">
        <v>50</v>
      </c>
      <c r="L2391" s="5" t="s">
        <v>51</v>
      </c>
      <c r="M2391" s="5" t="s">
        <v>52</v>
      </c>
      <c r="N2391" s="5" t="s">
        <v>88</v>
      </c>
      <c r="O2391" s="12"/>
      <c r="AC2391" s="16" t="str">
        <f t="shared" si="111"/>
        <v/>
      </c>
      <c r="AD2391" s="17">
        <f t="shared" si="112"/>
        <v>0</v>
      </c>
      <c r="AE2391" s="17">
        <f t="shared" si="113"/>
        <v>0</v>
      </c>
      <c r="AF2391" s="10" t="s">
        <v>5740</v>
      </c>
      <c r="AG2391" s="5" t="s">
        <v>1009</v>
      </c>
      <c r="AH2391" s="5" t="s">
        <v>4717</v>
      </c>
      <c r="AI2391" s="5" t="s">
        <v>5603</v>
      </c>
      <c r="AJ2391" s="5" t="s">
        <v>5554</v>
      </c>
    </row>
    <row r="2392" spans="1:36" ht="10" customHeight="1" x14ac:dyDescent="0.2">
      <c r="A2392" s="5" t="s">
        <v>5448</v>
      </c>
      <c r="B2392" s="5" t="s">
        <v>4713</v>
      </c>
      <c r="D2392" s="5" t="s">
        <v>5741</v>
      </c>
      <c r="E2392" s="10" t="s">
        <v>188</v>
      </c>
      <c r="I2392" s="11">
        <v>2</v>
      </c>
      <c r="J2392" s="5" t="s">
        <v>5554</v>
      </c>
      <c r="K2392" s="10" t="s">
        <v>50</v>
      </c>
      <c r="L2392" s="5" t="s">
        <v>51</v>
      </c>
      <c r="M2392" s="5" t="s">
        <v>69</v>
      </c>
      <c r="N2392" s="5" t="s">
        <v>70</v>
      </c>
      <c r="O2392" s="12"/>
      <c r="AC2392" s="16" t="str">
        <f t="shared" si="111"/>
        <v/>
      </c>
      <c r="AD2392" s="17">
        <f t="shared" si="112"/>
        <v>0</v>
      </c>
      <c r="AE2392" s="17">
        <f t="shared" si="113"/>
        <v>0</v>
      </c>
      <c r="AF2392" s="10" t="s">
        <v>5742</v>
      </c>
      <c r="AG2392" s="5" t="s">
        <v>1009</v>
      </c>
      <c r="AH2392" s="5" t="s">
        <v>4717</v>
      </c>
      <c r="AI2392" s="5" t="s">
        <v>5603</v>
      </c>
      <c r="AJ2392" s="5" t="s">
        <v>5554</v>
      </c>
    </row>
    <row r="2393" spans="1:36" ht="10" customHeight="1" x14ac:dyDescent="0.2">
      <c r="A2393" s="5" t="s">
        <v>5448</v>
      </c>
      <c r="B2393" s="5" t="s">
        <v>4713</v>
      </c>
      <c r="D2393" s="5" t="s">
        <v>5743</v>
      </c>
      <c r="E2393" s="10" t="s">
        <v>188</v>
      </c>
      <c r="I2393" s="11">
        <v>5</v>
      </c>
      <c r="J2393" s="5" t="s">
        <v>5554</v>
      </c>
      <c r="K2393" s="10" t="s">
        <v>50</v>
      </c>
      <c r="L2393" s="5" t="s">
        <v>51</v>
      </c>
      <c r="M2393" s="5" t="s">
        <v>52</v>
      </c>
      <c r="N2393" s="5" t="s">
        <v>4752</v>
      </c>
      <c r="O2393" s="12"/>
      <c r="AC2393" s="16" t="str">
        <f t="shared" si="111"/>
        <v/>
      </c>
      <c r="AD2393" s="17">
        <f t="shared" si="112"/>
        <v>0</v>
      </c>
      <c r="AE2393" s="17">
        <f t="shared" si="113"/>
        <v>0</v>
      </c>
      <c r="AF2393" s="10" t="s">
        <v>5744</v>
      </c>
      <c r="AG2393" s="5" t="s">
        <v>1009</v>
      </c>
      <c r="AH2393" s="5" t="s">
        <v>4717</v>
      </c>
      <c r="AI2393" s="5" t="s">
        <v>5603</v>
      </c>
      <c r="AJ2393" s="5" t="s">
        <v>5554</v>
      </c>
    </row>
    <row r="2394" spans="1:36" ht="10" customHeight="1" x14ac:dyDescent="0.2">
      <c r="A2394" s="5" t="s">
        <v>5448</v>
      </c>
      <c r="B2394" s="5" t="s">
        <v>4713</v>
      </c>
      <c r="D2394" s="5" t="s">
        <v>5745</v>
      </c>
      <c r="E2394" s="10" t="s">
        <v>188</v>
      </c>
      <c r="I2394" s="11">
        <v>2</v>
      </c>
      <c r="J2394" s="5" t="s">
        <v>5554</v>
      </c>
      <c r="K2394" s="10" t="s">
        <v>50</v>
      </c>
      <c r="L2394" s="5" t="s">
        <v>51</v>
      </c>
      <c r="M2394" s="5" t="s">
        <v>69</v>
      </c>
      <c r="N2394" s="5" t="s">
        <v>70</v>
      </c>
      <c r="O2394" s="12"/>
      <c r="AC2394" s="16" t="str">
        <f t="shared" si="111"/>
        <v/>
      </c>
      <c r="AD2394" s="17">
        <f t="shared" si="112"/>
        <v>0</v>
      </c>
      <c r="AE2394" s="17">
        <f t="shared" si="113"/>
        <v>0</v>
      </c>
      <c r="AF2394" s="10" t="s">
        <v>5746</v>
      </c>
      <c r="AG2394" s="5" t="s">
        <v>1009</v>
      </c>
      <c r="AH2394" s="5" t="s">
        <v>4717</v>
      </c>
      <c r="AI2394" s="5" t="s">
        <v>5603</v>
      </c>
      <c r="AJ2394" s="5" t="s">
        <v>5554</v>
      </c>
    </row>
    <row r="2395" spans="1:36" ht="10" customHeight="1" x14ac:dyDescent="0.2">
      <c r="A2395" s="5" t="s">
        <v>5448</v>
      </c>
      <c r="B2395" s="5" t="s">
        <v>4713</v>
      </c>
      <c r="D2395" s="5" t="s">
        <v>5747</v>
      </c>
      <c r="E2395" s="10" t="s">
        <v>188</v>
      </c>
      <c r="I2395" s="11">
        <v>2</v>
      </c>
      <c r="J2395" s="5" t="s">
        <v>5554</v>
      </c>
      <c r="K2395" s="10" t="s">
        <v>50</v>
      </c>
      <c r="L2395" s="5" t="s">
        <v>51</v>
      </c>
      <c r="M2395" s="5" t="s">
        <v>69</v>
      </c>
      <c r="N2395" s="5" t="s">
        <v>70</v>
      </c>
      <c r="O2395" s="12"/>
      <c r="AC2395" s="16" t="str">
        <f t="shared" si="111"/>
        <v/>
      </c>
      <c r="AD2395" s="17">
        <f t="shared" si="112"/>
        <v>0</v>
      </c>
      <c r="AE2395" s="17">
        <f t="shared" si="113"/>
        <v>0</v>
      </c>
      <c r="AF2395" s="10" t="s">
        <v>5748</v>
      </c>
      <c r="AG2395" s="5" t="s">
        <v>1009</v>
      </c>
      <c r="AH2395" s="5" t="s">
        <v>4717</v>
      </c>
      <c r="AI2395" s="5" t="s">
        <v>5603</v>
      </c>
      <c r="AJ2395" s="5" t="s">
        <v>5554</v>
      </c>
    </row>
    <row r="2396" spans="1:36" ht="10" customHeight="1" x14ac:dyDescent="0.2">
      <c r="A2396" s="5" t="s">
        <v>5448</v>
      </c>
      <c r="B2396" s="5" t="s">
        <v>4713</v>
      </c>
      <c r="D2396" s="5" t="s">
        <v>5749</v>
      </c>
      <c r="E2396" s="10" t="s">
        <v>188</v>
      </c>
      <c r="I2396" s="11">
        <v>2</v>
      </c>
      <c r="J2396" s="5" t="s">
        <v>5554</v>
      </c>
      <c r="K2396" s="10" t="s">
        <v>50</v>
      </c>
      <c r="L2396" s="5" t="s">
        <v>51</v>
      </c>
      <c r="M2396" s="5" t="s">
        <v>52</v>
      </c>
      <c r="N2396" s="5" t="s">
        <v>88</v>
      </c>
      <c r="O2396" s="12"/>
      <c r="AC2396" s="16" t="str">
        <f t="shared" si="111"/>
        <v/>
      </c>
      <c r="AD2396" s="17">
        <f t="shared" si="112"/>
        <v>0</v>
      </c>
      <c r="AE2396" s="17">
        <f t="shared" si="113"/>
        <v>0</v>
      </c>
      <c r="AF2396" s="10" t="s">
        <v>5750</v>
      </c>
      <c r="AG2396" s="5" t="s">
        <v>1009</v>
      </c>
      <c r="AH2396" s="5" t="s">
        <v>4717</v>
      </c>
      <c r="AI2396" s="5" t="s">
        <v>5603</v>
      </c>
      <c r="AJ2396" s="5" t="s">
        <v>5554</v>
      </c>
    </row>
    <row r="2397" spans="1:36" ht="10" customHeight="1" x14ac:dyDescent="0.2">
      <c r="A2397" s="5" t="s">
        <v>5448</v>
      </c>
      <c r="B2397" s="5" t="s">
        <v>4713</v>
      </c>
      <c r="D2397" s="5" t="s">
        <v>5751</v>
      </c>
      <c r="E2397" s="10" t="s">
        <v>188</v>
      </c>
      <c r="I2397" s="11">
        <v>2</v>
      </c>
      <c r="J2397" s="5" t="s">
        <v>5554</v>
      </c>
      <c r="K2397" s="10" t="s">
        <v>50</v>
      </c>
      <c r="L2397" s="5" t="s">
        <v>51</v>
      </c>
      <c r="M2397" s="5" t="s">
        <v>69</v>
      </c>
      <c r="N2397" s="5" t="s">
        <v>70</v>
      </c>
      <c r="O2397" s="12"/>
      <c r="AC2397" s="16" t="str">
        <f t="shared" si="111"/>
        <v/>
      </c>
      <c r="AD2397" s="17">
        <f t="shared" si="112"/>
        <v>0</v>
      </c>
      <c r="AE2397" s="17">
        <f t="shared" si="113"/>
        <v>0</v>
      </c>
      <c r="AF2397" s="10" t="s">
        <v>5752</v>
      </c>
      <c r="AG2397" s="5" t="s">
        <v>1009</v>
      </c>
      <c r="AH2397" s="5" t="s">
        <v>4717</v>
      </c>
      <c r="AI2397" s="5" t="s">
        <v>5603</v>
      </c>
      <c r="AJ2397" s="5" t="s">
        <v>5554</v>
      </c>
    </row>
    <row r="2398" spans="1:36" ht="10" customHeight="1" x14ac:dyDescent="0.2">
      <c r="A2398" s="5" t="s">
        <v>5448</v>
      </c>
      <c r="B2398" s="5" t="s">
        <v>4713</v>
      </c>
      <c r="D2398" s="5" t="s">
        <v>5753</v>
      </c>
      <c r="E2398" s="10" t="s">
        <v>188</v>
      </c>
      <c r="I2398" s="11">
        <v>2</v>
      </c>
      <c r="J2398" s="5" t="s">
        <v>5554</v>
      </c>
      <c r="K2398" s="10" t="s">
        <v>50</v>
      </c>
      <c r="L2398" s="5" t="s">
        <v>51</v>
      </c>
      <c r="M2398" s="5" t="s">
        <v>52</v>
      </c>
      <c r="N2398" s="5" t="s">
        <v>88</v>
      </c>
      <c r="O2398" s="12"/>
      <c r="AC2398" s="16" t="str">
        <f t="shared" si="111"/>
        <v/>
      </c>
      <c r="AD2398" s="17">
        <f t="shared" si="112"/>
        <v>0</v>
      </c>
      <c r="AE2398" s="17">
        <f t="shared" si="113"/>
        <v>0</v>
      </c>
      <c r="AF2398" s="10" t="s">
        <v>5754</v>
      </c>
      <c r="AG2398" s="5" t="s">
        <v>1009</v>
      </c>
      <c r="AH2398" s="5" t="s">
        <v>4717</v>
      </c>
      <c r="AI2398" s="5" t="s">
        <v>5603</v>
      </c>
      <c r="AJ2398" s="5" t="s">
        <v>5554</v>
      </c>
    </row>
    <row r="2399" spans="1:36" ht="10" customHeight="1" x14ac:dyDescent="0.2">
      <c r="A2399" s="5" t="s">
        <v>5448</v>
      </c>
      <c r="B2399" s="5" t="s">
        <v>4713</v>
      </c>
      <c r="D2399" s="5" t="s">
        <v>5755</v>
      </c>
      <c r="E2399" s="10" t="s">
        <v>188</v>
      </c>
      <c r="I2399" s="11">
        <v>2</v>
      </c>
      <c r="J2399" s="5" t="s">
        <v>5554</v>
      </c>
      <c r="K2399" s="10" t="s">
        <v>50</v>
      </c>
      <c r="L2399" s="5" t="s">
        <v>51</v>
      </c>
      <c r="M2399" s="5" t="s">
        <v>52</v>
      </c>
      <c r="N2399" s="5" t="s">
        <v>88</v>
      </c>
      <c r="O2399" s="12"/>
      <c r="AC2399" s="16" t="str">
        <f t="shared" si="111"/>
        <v/>
      </c>
      <c r="AD2399" s="17">
        <f t="shared" si="112"/>
        <v>0</v>
      </c>
      <c r="AE2399" s="17">
        <f t="shared" si="113"/>
        <v>0</v>
      </c>
      <c r="AF2399" s="10" t="s">
        <v>5756</v>
      </c>
      <c r="AG2399" s="5" t="s">
        <v>1009</v>
      </c>
      <c r="AH2399" s="5" t="s">
        <v>4717</v>
      </c>
      <c r="AI2399" s="5" t="s">
        <v>5603</v>
      </c>
      <c r="AJ2399" s="5" t="s">
        <v>5554</v>
      </c>
    </row>
    <row r="2400" spans="1:36" ht="10" customHeight="1" x14ac:dyDescent="0.2">
      <c r="A2400" s="5" t="s">
        <v>5448</v>
      </c>
      <c r="B2400" s="5" t="s">
        <v>4713</v>
      </c>
      <c r="D2400" s="5" t="s">
        <v>5749</v>
      </c>
      <c r="E2400" s="10" t="s">
        <v>188</v>
      </c>
      <c r="I2400" s="11">
        <v>2</v>
      </c>
      <c r="J2400" s="5" t="s">
        <v>5554</v>
      </c>
      <c r="K2400" s="10" t="s">
        <v>50</v>
      </c>
      <c r="L2400" s="5" t="s">
        <v>51</v>
      </c>
      <c r="M2400" s="5" t="s">
        <v>52</v>
      </c>
      <c r="N2400" s="5" t="s">
        <v>88</v>
      </c>
      <c r="O2400" s="12"/>
      <c r="AC2400" s="16" t="str">
        <f t="shared" si="111"/>
        <v/>
      </c>
      <c r="AD2400" s="17">
        <f t="shared" si="112"/>
        <v>0</v>
      </c>
      <c r="AE2400" s="17">
        <f t="shared" si="113"/>
        <v>0</v>
      </c>
      <c r="AF2400" s="10" t="s">
        <v>5750</v>
      </c>
      <c r="AG2400" s="5" t="s">
        <v>1009</v>
      </c>
      <c r="AH2400" s="5" t="s">
        <v>4717</v>
      </c>
      <c r="AI2400" s="5" t="s">
        <v>5603</v>
      </c>
      <c r="AJ2400" s="5" t="s">
        <v>5554</v>
      </c>
    </row>
    <row r="2401" spans="1:36" ht="10" customHeight="1" x14ac:dyDescent="0.2">
      <c r="A2401" s="5" t="s">
        <v>5448</v>
      </c>
      <c r="B2401" s="5" t="s">
        <v>4713</v>
      </c>
      <c r="D2401" s="5" t="s">
        <v>5757</v>
      </c>
      <c r="E2401" s="10" t="s">
        <v>188</v>
      </c>
      <c r="I2401" s="11">
        <v>5</v>
      </c>
      <c r="J2401" s="5" t="s">
        <v>5554</v>
      </c>
      <c r="K2401" s="10" t="s">
        <v>50</v>
      </c>
      <c r="L2401" s="5" t="s">
        <v>51</v>
      </c>
      <c r="M2401" s="5" t="s">
        <v>52</v>
      </c>
      <c r="N2401" s="5" t="s">
        <v>4752</v>
      </c>
      <c r="O2401" s="12"/>
      <c r="AC2401" s="16" t="str">
        <f t="shared" si="111"/>
        <v/>
      </c>
      <c r="AD2401" s="17">
        <f t="shared" si="112"/>
        <v>0</v>
      </c>
      <c r="AE2401" s="17">
        <f t="shared" si="113"/>
        <v>0</v>
      </c>
      <c r="AF2401" s="10" t="s">
        <v>5758</v>
      </c>
      <c r="AG2401" s="5" t="s">
        <v>1009</v>
      </c>
      <c r="AH2401" s="5" t="s">
        <v>4717</v>
      </c>
      <c r="AI2401" s="5" t="s">
        <v>5603</v>
      </c>
      <c r="AJ2401" s="5" t="s">
        <v>5554</v>
      </c>
    </row>
    <row r="2402" spans="1:36" ht="10" customHeight="1" x14ac:dyDescent="0.2">
      <c r="A2402" s="5" t="s">
        <v>5448</v>
      </c>
      <c r="B2402" s="5" t="s">
        <v>4713</v>
      </c>
      <c r="D2402" s="5" t="s">
        <v>5751</v>
      </c>
      <c r="E2402" s="10" t="s">
        <v>188</v>
      </c>
      <c r="I2402" s="11">
        <v>2</v>
      </c>
      <c r="J2402" s="5" t="s">
        <v>5554</v>
      </c>
      <c r="K2402" s="10" t="s">
        <v>50</v>
      </c>
      <c r="L2402" s="5" t="s">
        <v>51</v>
      </c>
      <c r="M2402" s="5" t="s">
        <v>69</v>
      </c>
      <c r="N2402" s="5" t="s">
        <v>70</v>
      </c>
      <c r="O2402" s="12"/>
      <c r="AC2402" s="16" t="str">
        <f t="shared" si="111"/>
        <v/>
      </c>
      <c r="AD2402" s="17">
        <f t="shared" si="112"/>
        <v>0</v>
      </c>
      <c r="AE2402" s="17">
        <f t="shared" si="113"/>
        <v>0</v>
      </c>
      <c r="AF2402" s="10" t="s">
        <v>5752</v>
      </c>
      <c r="AG2402" s="5" t="s">
        <v>1009</v>
      </c>
      <c r="AH2402" s="5" t="s">
        <v>4717</v>
      </c>
      <c r="AI2402" s="5" t="s">
        <v>5603</v>
      </c>
      <c r="AJ2402" s="5" t="s">
        <v>5554</v>
      </c>
    </row>
    <row r="2403" spans="1:36" ht="10" customHeight="1" x14ac:dyDescent="0.2">
      <c r="A2403" s="5" t="s">
        <v>5448</v>
      </c>
      <c r="B2403" s="5" t="s">
        <v>4713</v>
      </c>
      <c r="D2403" s="5" t="s">
        <v>5759</v>
      </c>
      <c r="E2403" s="10" t="s">
        <v>188</v>
      </c>
      <c r="I2403" s="11">
        <v>2</v>
      </c>
      <c r="J2403" s="5" t="s">
        <v>5554</v>
      </c>
      <c r="K2403" s="10" t="s">
        <v>50</v>
      </c>
      <c r="L2403" s="5" t="s">
        <v>51</v>
      </c>
      <c r="M2403" s="5" t="s">
        <v>52</v>
      </c>
      <c r="N2403" s="5" t="s">
        <v>88</v>
      </c>
      <c r="O2403" s="12"/>
      <c r="AC2403" s="16" t="str">
        <f t="shared" si="111"/>
        <v/>
      </c>
      <c r="AD2403" s="17">
        <f t="shared" si="112"/>
        <v>0</v>
      </c>
      <c r="AE2403" s="17">
        <f t="shared" si="113"/>
        <v>0</v>
      </c>
      <c r="AF2403" s="10" t="s">
        <v>5760</v>
      </c>
      <c r="AG2403" s="5" t="s">
        <v>1009</v>
      </c>
      <c r="AH2403" s="5" t="s">
        <v>4717</v>
      </c>
      <c r="AI2403" s="5" t="s">
        <v>5603</v>
      </c>
      <c r="AJ2403" s="5" t="s">
        <v>5554</v>
      </c>
    </row>
    <row r="2404" spans="1:36" ht="10" customHeight="1" x14ac:dyDescent="0.2">
      <c r="A2404" s="5" t="s">
        <v>5448</v>
      </c>
      <c r="B2404" s="5" t="s">
        <v>4713</v>
      </c>
      <c r="D2404" s="5" t="s">
        <v>5741</v>
      </c>
      <c r="E2404" s="10" t="s">
        <v>188</v>
      </c>
      <c r="I2404" s="11">
        <v>2</v>
      </c>
      <c r="J2404" s="5" t="s">
        <v>5554</v>
      </c>
      <c r="K2404" s="10" t="s">
        <v>50</v>
      </c>
      <c r="L2404" s="5" t="s">
        <v>51</v>
      </c>
      <c r="M2404" s="5" t="s">
        <v>69</v>
      </c>
      <c r="N2404" s="5" t="s">
        <v>70</v>
      </c>
      <c r="O2404" s="12"/>
      <c r="AC2404" s="16" t="str">
        <f t="shared" si="111"/>
        <v/>
      </c>
      <c r="AD2404" s="17">
        <f t="shared" si="112"/>
        <v>0</v>
      </c>
      <c r="AE2404" s="17">
        <f t="shared" si="113"/>
        <v>0</v>
      </c>
      <c r="AF2404" s="10" t="s">
        <v>5742</v>
      </c>
      <c r="AG2404" s="5" t="s">
        <v>1009</v>
      </c>
      <c r="AH2404" s="5" t="s">
        <v>4717</v>
      </c>
      <c r="AI2404" s="5" t="s">
        <v>5603</v>
      </c>
      <c r="AJ2404" s="5" t="s">
        <v>5554</v>
      </c>
    </row>
    <row r="2405" spans="1:36" ht="10" customHeight="1" x14ac:dyDescent="0.2">
      <c r="A2405" s="5" t="s">
        <v>5448</v>
      </c>
      <c r="B2405" s="5" t="s">
        <v>4713</v>
      </c>
      <c r="D2405" s="5" t="s">
        <v>5753</v>
      </c>
      <c r="E2405" s="10" t="s">
        <v>188</v>
      </c>
      <c r="I2405" s="11">
        <v>2</v>
      </c>
      <c r="J2405" s="5" t="s">
        <v>5554</v>
      </c>
      <c r="K2405" s="10" t="s">
        <v>50</v>
      </c>
      <c r="L2405" s="5" t="s">
        <v>51</v>
      </c>
      <c r="M2405" s="5" t="s">
        <v>52</v>
      </c>
      <c r="N2405" s="5" t="s">
        <v>88</v>
      </c>
      <c r="O2405" s="12"/>
      <c r="AC2405" s="16" t="str">
        <f t="shared" si="111"/>
        <v/>
      </c>
      <c r="AD2405" s="17">
        <f t="shared" si="112"/>
        <v>0</v>
      </c>
      <c r="AE2405" s="17">
        <f t="shared" si="113"/>
        <v>0</v>
      </c>
      <c r="AF2405" s="10" t="s">
        <v>5754</v>
      </c>
      <c r="AG2405" s="5" t="s">
        <v>1009</v>
      </c>
      <c r="AH2405" s="5" t="s">
        <v>4717</v>
      </c>
      <c r="AI2405" s="5" t="s">
        <v>5603</v>
      </c>
      <c r="AJ2405" s="5" t="s">
        <v>5554</v>
      </c>
    </row>
    <row r="2406" spans="1:36" ht="10" customHeight="1" x14ac:dyDescent="0.2">
      <c r="A2406" s="5" t="s">
        <v>5448</v>
      </c>
      <c r="B2406" s="5" t="s">
        <v>4713</v>
      </c>
      <c r="D2406" s="5" t="s">
        <v>5761</v>
      </c>
      <c r="E2406" s="10" t="s">
        <v>188</v>
      </c>
      <c r="I2406" s="11">
        <v>2</v>
      </c>
      <c r="J2406" s="5" t="s">
        <v>5554</v>
      </c>
      <c r="K2406" s="10" t="s">
        <v>50</v>
      </c>
      <c r="L2406" s="5" t="s">
        <v>51</v>
      </c>
      <c r="M2406" s="5" t="s">
        <v>52</v>
      </c>
      <c r="N2406" s="5" t="s">
        <v>88</v>
      </c>
      <c r="O2406" s="12"/>
      <c r="AC2406" s="16" t="str">
        <f t="shared" si="111"/>
        <v/>
      </c>
      <c r="AD2406" s="17">
        <f t="shared" si="112"/>
        <v>0</v>
      </c>
      <c r="AE2406" s="17">
        <f t="shared" si="113"/>
        <v>0</v>
      </c>
      <c r="AF2406" s="10" t="s">
        <v>5762</v>
      </c>
      <c r="AG2406" s="5" t="s">
        <v>1009</v>
      </c>
      <c r="AH2406" s="5" t="s">
        <v>4717</v>
      </c>
      <c r="AI2406" s="5" t="s">
        <v>5603</v>
      </c>
      <c r="AJ2406" s="5" t="s">
        <v>5554</v>
      </c>
    </row>
    <row r="2407" spans="1:36" ht="10" customHeight="1" x14ac:dyDescent="0.2">
      <c r="A2407" s="5" t="s">
        <v>5448</v>
      </c>
      <c r="B2407" s="5" t="s">
        <v>4713</v>
      </c>
      <c r="D2407" s="5" t="s">
        <v>5763</v>
      </c>
      <c r="E2407" s="10" t="s">
        <v>188</v>
      </c>
      <c r="I2407" s="11">
        <v>2</v>
      </c>
      <c r="J2407" s="5" t="s">
        <v>5554</v>
      </c>
      <c r="K2407" s="10" t="s">
        <v>50</v>
      </c>
      <c r="L2407" s="5" t="s">
        <v>51</v>
      </c>
      <c r="M2407" s="5" t="s">
        <v>69</v>
      </c>
      <c r="N2407" s="5" t="s">
        <v>70</v>
      </c>
      <c r="O2407" s="12"/>
      <c r="AC2407" s="16" t="str">
        <f t="shared" si="111"/>
        <v/>
      </c>
      <c r="AD2407" s="17">
        <f t="shared" si="112"/>
        <v>0</v>
      </c>
      <c r="AE2407" s="17">
        <f t="shared" si="113"/>
        <v>0</v>
      </c>
      <c r="AF2407" s="10" t="s">
        <v>5764</v>
      </c>
      <c r="AG2407" s="5" t="s">
        <v>1009</v>
      </c>
      <c r="AH2407" s="5" t="s">
        <v>4717</v>
      </c>
      <c r="AI2407" s="5" t="s">
        <v>5603</v>
      </c>
      <c r="AJ2407" s="5" t="s">
        <v>5554</v>
      </c>
    </row>
    <row r="2408" spans="1:36" ht="10" customHeight="1" x14ac:dyDescent="0.2">
      <c r="A2408" s="5" t="s">
        <v>5448</v>
      </c>
      <c r="B2408" s="5" t="s">
        <v>4713</v>
      </c>
      <c r="D2408" s="5" t="s">
        <v>5765</v>
      </c>
      <c r="E2408" s="10" t="s">
        <v>188</v>
      </c>
      <c r="I2408" s="11">
        <v>2</v>
      </c>
      <c r="J2408" s="5" t="s">
        <v>5554</v>
      </c>
      <c r="K2408" s="10" t="s">
        <v>50</v>
      </c>
      <c r="L2408" s="5" t="s">
        <v>51</v>
      </c>
      <c r="M2408" s="5" t="s">
        <v>52</v>
      </c>
      <c r="N2408" s="5" t="s">
        <v>88</v>
      </c>
      <c r="O2408" s="12"/>
      <c r="AC2408" s="16" t="str">
        <f t="shared" si="111"/>
        <v/>
      </c>
      <c r="AD2408" s="17">
        <f t="shared" si="112"/>
        <v>0</v>
      </c>
      <c r="AE2408" s="17">
        <f t="shared" si="113"/>
        <v>0</v>
      </c>
      <c r="AF2408" s="10" t="s">
        <v>5766</v>
      </c>
      <c r="AG2408" s="5" t="s">
        <v>1009</v>
      </c>
      <c r="AH2408" s="5" t="s">
        <v>4717</v>
      </c>
      <c r="AI2408" s="5" t="s">
        <v>5603</v>
      </c>
      <c r="AJ2408" s="5" t="s">
        <v>5554</v>
      </c>
    </row>
    <row r="2409" spans="1:36" ht="10" customHeight="1" x14ac:dyDescent="0.2">
      <c r="A2409" s="5" t="s">
        <v>5448</v>
      </c>
      <c r="B2409" s="5" t="s">
        <v>4713</v>
      </c>
      <c r="D2409" s="5" t="s">
        <v>5767</v>
      </c>
      <c r="E2409" s="10" t="s">
        <v>188</v>
      </c>
      <c r="I2409" s="11">
        <v>2</v>
      </c>
      <c r="J2409" s="5" t="s">
        <v>5554</v>
      </c>
      <c r="K2409" s="10" t="s">
        <v>50</v>
      </c>
      <c r="L2409" s="5" t="s">
        <v>51</v>
      </c>
      <c r="M2409" s="5" t="s">
        <v>69</v>
      </c>
      <c r="N2409" s="5" t="s">
        <v>70</v>
      </c>
      <c r="O2409" s="12"/>
      <c r="AC2409" s="16" t="str">
        <f t="shared" si="111"/>
        <v/>
      </c>
      <c r="AD2409" s="17">
        <f t="shared" si="112"/>
        <v>0</v>
      </c>
      <c r="AE2409" s="17">
        <f t="shared" si="113"/>
        <v>0</v>
      </c>
      <c r="AF2409" s="10" t="s">
        <v>5768</v>
      </c>
      <c r="AG2409" s="5" t="s">
        <v>1009</v>
      </c>
      <c r="AH2409" s="5" t="s">
        <v>4717</v>
      </c>
      <c r="AI2409" s="5" t="s">
        <v>5603</v>
      </c>
      <c r="AJ2409" s="5" t="s">
        <v>5554</v>
      </c>
    </row>
    <row r="2410" spans="1:36" ht="10" customHeight="1" x14ac:dyDescent="0.2">
      <c r="A2410" s="5" t="s">
        <v>5448</v>
      </c>
      <c r="B2410" s="5" t="s">
        <v>4713</v>
      </c>
      <c r="D2410" s="5" t="s">
        <v>5769</v>
      </c>
      <c r="E2410" s="10" t="s">
        <v>57</v>
      </c>
      <c r="F2410" s="5" t="s">
        <v>5770</v>
      </c>
      <c r="I2410" s="11">
        <v>2</v>
      </c>
      <c r="J2410" s="5" t="s">
        <v>4328</v>
      </c>
      <c r="K2410" s="12"/>
      <c r="O2410" s="12"/>
      <c r="P2410" s="13">
        <v>1536562</v>
      </c>
      <c r="Q2410" s="13">
        <v>1689320</v>
      </c>
      <c r="S2410" s="13">
        <v>1634100</v>
      </c>
      <c r="AC2410" s="16" t="str">
        <f t="shared" si="111"/>
        <v/>
      </c>
      <c r="AD2410" s="17">
        <f t="shared" si="112"/>
        <v>1634100</v>
      </c>
      <c r="AE2410" s="17">
        <f t="shared" si="113"/>
        <v>0</v>
      </c>
      <c r="AF2410" s="10" t="s">
        <v>5771</v>
      </c>
      <c r="AG2410" s="5" t="s">
        <v>1025</v>
      </c>
      <c r="AH2410" s="5" t="s">
        <v>4717</v>
      </c>
      <c r="AI2410" s="5" t="s">
        <v>5772</v>
      </c>
      <c r="AJ2410" s="5" t="s">
        <v>5460</v>
      </c>
    </row>
    <row r="2411" spans="1:36" ht="10" customHeight="1" x14ac:dyDescent="0.2">
      <c r="A2411" s="5" t="s">
        <v>5448</v>
      </c>
      <c r="B2411" s="5" t="s">
        <v>4713</v>
      </c>
      <c r="D2411" s="5" t="s">
        <v>5773</v>
      </c>
      <c r="E2411" s="10" t="s">
        <v>57</v>
      </c>
      <c r="F2411" s="5" t="s">
        <v>5770</v>
      </c>
      <c r="I2411" s="11">
        <v>2</v>
      </c>
      <c r="J2411" s="5" t="s">
        <v>4328</v>
      </c>
      <c r="K2411" s="12"/>
      <c r="O2411" s="12"/>
      <c r="P2411" s="13">
        <v>1345207</v>
      </c>
      <c r="Q2411" s="13">
        <v>1490550</v>
      </c>
      <c r="S2411" s="13">
        <v>1424720</v>
      </c>
      <c r="AC2411" s="16" t="str">
        <f t="shared" si="111"/>
        <v/>
      </c>
      <c r="AD2411" s="17">
        <f t="shared" si="112"/>
        <v>1424720</v>
      </c>
      <c r="AE2411" s="17">
        <f t="shared" si="113"/>
        <v>0</v>
      </c>
      <c r="AF2411" s="10" t="s">
        <v>5774</v>
      </c>
      <c r="AG2411" s="5" t="s">
        <v>1025</v>
      </c>
      <c r="AH2411" s="5" t="s">
        <v>4717</v>
      </c>
      <c r="AI2411" s="5" t="s">
        <v>5772</v>
      </c>
      <c r="AJ2411" s="5" t="s">
        <v>5460</v>
      </c>
    </row>
    <row r="2412" spans="1:36" ht="10" customHeight="1" x14ac:dyDescent="0.2">
      <c r="A2412" s="5" t="s">
        <v>5448</v>
      </c>
      <c r="B2412" s="5" t="s">
        <v>4713</v>
      </c>
      <c r="D2412" s="5" t="s">
        <v>5775</v>
      </c>
      <c r="E2412" s="10" t="s">
        <v>57</v>
      </c>
      <c r="F2412" s="5" t="s">
        <v>5770</v>
      </c>
      <c r="I2412" s="11">
        <v>2</v>
      </c>
      <c r="J2412" s="5" t="s">
        <v>4328</v>
      </c>
      <c r="K2412" s="12"/>
      <c r="O2412" s="12"/>
      <c r="P2412" s="13">
        <v>1200641</v>
      </c>
      <c r="Q2412" s="13">
        <v>1309897</v>
      </c>
      <c r="S2412" s="13">
        <v>1165641</v>
      </c>
      <c r="AC2412" s="16" t="str">
        <f t="shared" si="111"/>
        <v/>
      </c>
      <c r="AD2412" s="17">
        <f t="shared" si="112"/>
        <v>1165641</v>
      </c>
      <c r="AE2412" s="17">
        <f t="shared" si="113"/>
        <v>0</v>
      </c>
      <c r="AF2412" s="10" t="s">
        <v>5776</v>
      </c>
      <c r="AG2412" s="5" t="s">
        <v>1025</v>
      </c>
      <c r="AH2412" s="5" t="s">
        <v>4717</v>
      </c>
      <c r="AI2412" s="5" t="s">
        <v>5772</v>
      </c>
      <c r="AJ2412" s="5" t="s">
        <v>5460</v>
      </c>
    </row>
    <row r="2413" spans="1:36" ht="10" customHeight="1" x14ac:dyDescent="0.2">
      <c r="A2413" s="5" t="s">
        <v>5448</v>
      </c>
      <c r="B2413" s="5" t="s">
        <v>4713</v>
      </c>
      <c r="D2413" s="5" t="s">
        <v>5777</v>
      </c>
      <c r="E2413" s="10" t="s">
        <v>57</v>
      </c>
      <c r="F2413" s="5" t="s">
        <v>5770</v>
      </c>
      <c r="I2413" s="11">
        <v>2</v>
      </c>
      <c r="J2413" s="5" t="s">
        <v>4328</v>
      </c>
      <c r="K2413" s="12"/>
      <c r="O2413" s="12"/>
      <c r="P2413" s="13">
        <v>125254</v>
      </c>
      <c r="Q2413" s="13">
        <v>160523</v>
      </c>
      <c r="S2413" s="13">
        <v>238286</v>
      </c>
      <c r="AC2413" s="16" t="str">
        <f t="shared" si="111"/>
        <v/>
      </c>
      <c r="AD2413" s="17">
        <f t="shared" si="112"/>
        <v>238286</v>
      </c>
      <c r="AE2413" s="17">
        <f t="shared" si="113"/>
        <v>0</v>
      </c>
      <c r="AF2413" s="10" t="s">
        <v>5778</v>
      </c>
      <c r="AG2413" s="5" t="s">
        <v>1025</v>
      </c>
      <c r="AH2413" s="5" t="s">
        <v>4717</v>
      </c>
      <c r="AI2413" s="5" t="s">
        <v>5772</v>
      </c>
      <c r="AJ2413" s="5" t="s">
        <v>5460</v>
      </c>
    </row>
    <row r="2414" spans="1:36" ht="10" customHeight="1" x14ac:dyDescent="0.2">
      <c r="A2414" s="5" t="s">
        <v>5448</v>
      </c>
      <c r="B2414" s="5" t="s">
        <v>4713</v>
      </c>
      <c r="D2414" s="5" t="s">
        <v>5779</v>
      </c>
      <c r="E2414" s="10" t="s">
        <v>57</v>
      </c>
      <c r="F2414" s="5" t="s">
        <v>5770</v>
      </c>
      <c r="I2414" s="11">
        <v>2</v>
      </c>
      <c r="J2414" s="5" t="s">
        <v>4328</v>
      </c>
      <c r="K2414" s="12"/>
      <c r="O2414" s="12"/>
      <c r="P2414" s="13">
        <v>19312</v>
      </c>
      <c r="Q2414" s="13">
        <v>20130</v>
      </c>
      <c r="S2414" s="13">
        <v>20793</v>
      </c>
      <c r="AC2414" s="16" t="str">
        <f t="shared" si="111"/>
        <v/>
      </c>
      <c r="AD2414" s="17">
        <f t="shared" si="112"/>
        <v>20793</v>
      </c>
      <c r="AE2414" s="17">
        <f t="shared" si="113"/>
        <v>0</v>
      </c>
      <c r="AF2414" s="10" t="s">
        <v>5780</v>
      </c>
      <c r="AG2414" s="5" t="s">
        <v>1025</v>
      </c>
      <c r="AH2414" s="5" t="s">
        <v>4717</v>
      </c>
      <c r="AI2414" s="5" t="s">
        <v>5772</v>
      </c>
      <c r="AJ2414" s="5" t="s">
        <v>5460</v>
      </c>
    </row>
    <row r="2415" spans="1:36" ht="10" customHeight="1" x14ac:dyDescent="0.2">
      <c r="A2415" s="5" t="s">
        <v>5448</v>
      </c>
      <c r="B2415" s="5" t="s">
        <v>4713</v>
      </c>
      <c r="D2415" s="5" t="s">
        <v>5781</v>
      </c>
      <c r="E2415" s="10" t="s">
        <v>57</v>
      </c>
      <c r="F2415" s="5" t="s">
        <v>5770</v>
      </c>
      <c r="I2415" s="11">
        <v>2</v>
      </c>
      <c r="J2415" s="5" t="s">
        <v>4328</v>
      </c>
      <c r="K2415" s="12"/>
      <c r="O2415" s="12"/>
      <c r="P2415" s="13">
        <v>191355</v>
      </c>
      <c r="Q2415" s="13">
        <v>198770</v>
      </c>
      <c r="S2415" s="13">
        <v>209380</v>
      </c>
      <c r="AC2415" s="16" t="str">
        <f t="shared" si="111"/>
        <v/>
      </c>
      <c r="AD2415" s="17">
        <f t="shared" si="112"/>
        <v>209380</v>
      </c>
      <c r="AE2415" s="17">
        <f t="shared" si="113"/>
        <v>0</v>
      </c>
      <c r="AF2415" s="10" t="s">
        <v>5782</v>
      </c>
      <c r="AG2415" s="5" t="s">
        <v>1025</v>
      </c>
      <c r="AH2415" s="5" t="s">
        <v>4717</v>
      </c>
      <c r="AI2415" s="5" t="s">
        <v>5772</v>
      </c>
      <c r="AJ2415" s="5" t="s">
        <v>5460</v>
      </c>
    </row>
    <row r="2416" spans="1:36" ht="10" customHeight="1" x14ac:dyDescent="0.2">
      <c r="A2416" s="5" t="s">
        <v>5448</v>
      </c>
      <c r="B2416" s="5" t="s">
        <v>4713</v>
      </c>
      <c r="D2416" s="5" t="s">
        <v>5783</v>
      </c>
      <c r="E2416" s="10" t="s">
        <v>57</v>
      </c>
      <c r="F2416" s="5" t="s">
        <v>5770</v>
      </c>
      <c r="I2416" s="11">
        <v>2</v>
      </c>
      <c r="J2416" s="5" t="s">
        <v>4328</v>
      </c>
      <c r="K2416" s="12"/>
      <c r="O2416" s="12"/>
      <c r="P2416" s="13">
        <v>151831</v>
      </c>
      <c r="Q2416" s="13">
        <v>118776</v>
      </c>
      <c r="S2416" s="13">
        <v>173107</v>
      </c>
      <c r="AC2416" s="16" t="str">
        <f t="shared" si="111"/>
        <v/>
      </c>
      <c r="AD2416" s="17">
        <f t="shared" si="112"/>
        <v>173107</v>
      </c>
      <c r="AE2416" s="17">
        <f t="shared" si="113"/>
        <v>0</v>
      </c>
      <c r="AF2416" s="10" t="s">
        <v>5784</v>
      </c>
      <c r="AG2416" s="5" t="s">
        <v>1025</v>
      </c>
      <c r="AH2416" s="5" t="s">
        <v>4717</v>
      </c>
      <c r="AI2416" s="5" t="s">
        <v>5772</v>
      </c>
      <c r="AJ2416" s="5" t="s">
        <v>5460</v>
      </c>
    </row>
    <row r="2417" spans="1:36" ht="10" customHeight="1" x14ac:dyDescent="0.2">
      <c r="A2417" s="5" t="s">
        <v>5448</v>
      </c>
      <c r="B2417" s="5" t="s">
        <v>4713</v>
      </c>
      <c r="D2417" s="5" t="s">
        <v>5785</v>
      </c>
      <c r="E2417" s="10" t="s">
        <v>57</v>
      </c>
      <c r="F2417" s="5" t="s">
        <v>5770</v>
      </c>
      <c r="I2417" s="11">
        <v>2</v>
      </c>
      <c r="J2417" s="5" t="s">
        <v>4328</v>
      </c>
      <c r="K2417" s="12"/>
      <c r="O2417" s="12"/>
      <c r="P2417" s="13">
        <v>124</v>
      </c>
      <c r="Q2417" s="13">
        <v>251</v>
      </c>
      <c r="S2417" s="13">
        <v>114</v>
      </c>
      <c r="AC2417" s="16" t="str">
        <f t="shared" si="111"/>
        <v/>
      </c>
      <c r="AD2417" s="17">
        <f t="shared" si="112"/>
        <v>114</v>
      </c>
      <c r="AE2417" s="17">
        <f t="shared" si="113"/>
        <v>0</v>
      </c>
      <c r="AF2417" s="10" t="s">
        <v>5786</v>
      </c>
      <c r="AG2417" s="5" t="s">
        <v>1025</v>
      </c>
      <c r="AH2417" s="5" t="s">
        <v>4717</v>
      </c>
      <c r="AI2417" s="5" t="s">
        <v>5772</v>
      </c>
      <c r="AJ2417" s="5" t="s">
        <v>5460</v>
      </c>
    </row>
    <row r="2418" spans="1:36" ht="10" customHeight="1" x14ac:dyDescent="0.2">
      <c r="A2418" s="5" t="s">
        <v>5448</v>
      </c>
      <c r="B2418" s="5" t="s">
        <v>4713</v>
      </c>
      <c r="D2418" s="5" t="s">
        <v>5787</v>
      </c>
      <c r="E2418" s="10" t="s">
        <v>57</v>
      </c>
      <c r="F2418" s="5" t="s">
        <v>5770</v>
      </c>
      <c r="I2418" s="11">
        <v>2</v>
      </c>
      <c r="J2418" s="5" t="s">
        <v>4328</v>
      </c>
      <c r="K2418" s="12"/>
      <c r="O2418" s="12"/>
      <c r="P2418" s="13">
        <v>20352</v>
      </c>
      <c r="Q2418" s="13">
        <v>41191</v>
      </c>
      <c r="S2418" s="13">
        <v>18678</v>
      </c>
      <c r="AC2418" s="16" t="str">
        <f t="shared" si="111"/>
        <v/>
      </c>
      <c r="AD2418" s="17">
        <f t="shared" si="112"/>
        <v>18678</v>
      </c>
      <c r="AE2418" s="17">
        <f t="shared" si="113"/>
        <v>0</v>
      </c>
      <c r="AF2418" s="10" t="s">
        <v>5788</v>
      </c>
      <c r="AG2418" s="5" t="s">
        <v>1025</v>
      </c>
      <c r="AH2418" s="5" t="s">
        <v>4717</v>
      </c>
      <c r="AI2418" s="5" t="s">
        <v>5772</v>
      </c>
      <c r="AJ2418" s="5" t="s">
        <v>5460</v>
      </c>
    </row>
    <row r="2419" spans="1:36" ht="10" customHeight="1" x14ac:dyDescent="0.2">
      <c r="A2419" s="5" t="s">
        <v>5448</v>
      </c>
      <c r="B2419" s="5" t="s">
        <v>4713</v>
      </c>
      <c r="D2419" s="5" t="s">
        <v>5789</v>
      </c>
      <c r="E2419" s="10" t="s">
        <v>57</v>
      </c>
      <c r="F2419" s="5" t="s">
        <v>5770</v>
      </c>
      <c r="I2419" s="11">
        <v>2</v>
      </c>
      <c r="J2419" s="5" t="s">
        <v>4328</v>
      </c>
      <c r="K2419" s="12"/>
      <c r="O2419" s="12"/>
      <c r="P2419" s="13">
        <v>0</v>
      </c>
      <c r="Q2419" s="13">
        <v>0</v>
      </c>
      <c r="S2419" s="13">
        <v>0</v>
      </c>
      <c r="AC2419" s="16" t="str">
        <f t="shared" si="111"/>
        <v/>
      </c>
      <c r="AD2419" s="17">
        <f t="shared" si="112"/>
        <v>0</v>
      </c>
      <c r="AE2419" s="17">
        <f t="shared" si="113"/>
        <v>0</v>
      </c>
      <c r="AF2419" s="10" t="s">
        <v>5790</v>
      </c>
      <c r="AG2419" s="5" t="s">
        <v>1025</v>
      </c>
      <c r="AH2419" s="5" t="s">
        <v>4717</v>
      </c>
      <c r="AI2419" s="5" t="s">
        <v>5772</v>
      </c>
      <c r="AJ2419" s="5" t="s">
        <v>5460</v>
      </c>
    </row>
    <row r="2420" spans="1:36" ht="10" customHeight="1" x14ac:dyDescent="0.2">
      <c r="A2420" s="5" t="s">
        <v>5448</v>
      </c>
      <c r="B2420" s="5" t="s">
        <v>4713</v>
      </c>
      <c r="D2420" s="5" t="s">
        <v>5791</v>
      </c>
      <c r="E2420" s="10" t="s">
        <v>57</v>
      </c>
      <c r="F2420" s="5" t="s">
        <v>5770</v>
      </c>
      <c r="I2420" s="11">
        <v>2</v>
      </c>
      <c r="J2420" s="5" t="s">
        <v>4328</v>
      </c>
      <c r="K2420" s="12"/>
      <c r="O2420" s="12"/>
      <c r="P2420" s="13">
        <v>19048</v>
      </c>
      <c r="Q2420" s="13">
        <v>38552</v>
      </c>
      <c r="S2420" s="13">
        <v>17481</v>
      </c>
      <c r="AC2420" s="16" t="str">
        <f t="shared" si="111"/>
        <v/>
      </c>
      <c r="AD2420" s="17">
        <f t="shared" si="112"/>
        <v>17481</v>
      </c>
      <c r="AE2420" s="17">
        <f t="shared" si="113"/>
        <v>0</v>
      </c>
      <c r="AF2420" s="10" t="s">
        <v>5792</v>
      </c>
      <c r="AG2420" s="5" t="s">
        <v>1025</v>
      </c>
      <c r="AH2420" s="5" t="s">
        <v>4717</v>
      </c>
      <c r="AI2420" s="5" t="s">
        <v>5772</v>
      </c>
      <c r="AJ2420" s="5" t="s">
        <v>5460</v>
      </c>
    </row>
    <row r="2421" spans="1:36" ht="10" customHeight="1" x14ac:dyDescent="0.2">
      <c r="A2421" s="5" t="s">
        <v>5448</v>
      </c>
      <c r="B2421" s="5" t="s">
        <v>4713</v>
      </c>
      <c r="D2421" s="5" t="s">
        <v>5793</v>
      </c>
      <c r="E2421" s="10" t="s">
        <v>57</v>
      </c>
      <c r="F2421" s="5" t="s">
        <v>5770</v>
      </c>
      <c r="I2421" s="11">
        <v>2</v>
      </c>
      <c r="J2421" s="5" t="s">
        <v>4328</v>
      </c>
      <c r="K2421" s="12"/>
      <c r="O2421" s="12"/>
      <c r="P2421" s="13">
        <v>10901</v>
      </c>
      <c r="Q2421" s="13">
        <v>14690</v>
      </c>
      <c r="S2421" s="13">
        <v>6661</v>
      </c>
      <c r="AC2421" s="16" t="str">
        <f t="shared" si="111"/>
        <v/>
      </c>
      <c r="AD2421" s="17">
        <f t="shared" si="112"/>
        <v>6661</v>
      </c>
      <c r="AE2421" s="17">
        <f t="shared" si="113"/>
        <v>0</v>
      </c>
      <c r="AF2421" s="10" t="s">
        <v>5794</v>
      </c>
      <c r="AG2421" s="5" t="s">
        <v>1025</v>
      </c>
      <c r="AH2421" s="5" t="s">
        <v>4717</v>
      </c>
      <c r="AI2421" s="5" t="s">
        <v>5772</v>
      </c>
      <c r="AJ2421" s="5" t="s">
        <v>5460</v>
      </c>
    </row>
    <row r="2422" spans="1:36" ht="10" customHeight="1" x14ac:dyDescent="0.2">
      <c r="A2422" s="5" t="s">
        <v>5448</v>
      </c>
      <c r="B2422" s="5" t="s">
        <v>4713</v>
      </c>
      <c r="D2422" s="5" t="s">
        <v>5795</v>
      </c>
      <c r="E2422" s="10" t="s">
        <v>57</v>
      </c>
      <c r="F2422" s="5" t="s">
        <v>5770</v>
      </c>
      <c r="I2422" s="11">
        <v>2</v>
      </c>
      <c r="J2422" s="5" t="s">
        <v>4328</v>
      </c>
      <c r="K2422" s="12"/>
      <c r="O2422" s="12"/>
      <c r="P2422" s="13">
        <v>1</v>
      </c>
      <c r="Q2422" s="13">
        <v>2</v>
      </c>
      <c r="S2422" s="13">
        <v>1</v>
      </c>
      <c r="AC2422" s="16" t="str">
        <f t="shared" si="111"/>
        <v/>
      </c>
      <c r="AD2422" s="17">
        <f t="shared" si="112"/>
        <v>1</v>
      </c>
      <c r="AE2422" s="17">
        <f t="shared" si="113"/>
        <v>0</v>
      </c>
      <c r="AF2422" s="10" t="s">
        <v>5796</v>
      </c>
      <c r="AG2422" s="5" t="s">
        <v>1025</v>
      </c>
      <c r="AH2422" s="5" t="s">
        <v>4717</v>
      </c>
      <c r="AI2422" s="5" t="s">
        <v>5772</v>
      </c>
      <c r="AJ2422" s="5" t="s">
        <v>5460</v>
      </c>
    </row>
    <row r="2423" spans="1:36" ht="10" customHeight="1" x14ac:dyDescent="0.2">
      <c r="A2423" s="5" t="s">
        <v>5448</v>
      </c>
      <c r="B2423" s="5" t="s">
        <v>4713</v>
      </c>
      <c r="D2423" s="5" t="s">
        <v>5797</v>
      </c>
      <c r="E2423" s="10" t="s">
        <v>57</v>
      </c>
      <c r="F2423" s="5" t="s">
        <v>5770</v>
      </c>
      <c r="I2423" s="11">
        <v>2</v>
      </c>
      <c r="J2423" s="5" t="s">
        <v>4328</v>
      </c>
      <c r="K2423" s="12"/>
      <c r="O2423" s="12"/>
      <c r="P2423" s="13">
        <v>1</v>
      </c>
      <c r="Q2423" s="13">
        <v>2</v>
      </c>
      <c r="S2423" s="13">
        <v>1</v>
      </c>
      <c r="AC2423" s="16" t="str">
        <f t="shared" si="111"/>
        <v/>
      </c>
      <c r="AD2423" s="17">
        <f t="shared" si="112"/>
        <v>1</v>
      </c>
      <c r="AE2423" s="17">
        <f t="shared" si="113"/>
        <v>0</v>
      </c>
      <c r="AF2423" s="10" t="s">
        <v>5798</v>
      </c>
      <c r="AG2423" s="5" t="s">
        <v>1025</v>
      </c>
      <c r="AH2423" s="5" t="s">
        <v>4717</v>
      </c>
      <c r="AI2423" s="5" t="s">
        <v>5772</v>
      </c>
      <c r="AJ2423" s="5" t="s">
        <v>5460</v>
      </c>
    </row>
    <row r="2424" spans="1:36" ht="10" customHeight="1" x14ac:dyDescent="0.2">
      <c r="A2424" s="5" t="s">
        <v>5448</v>
      </c>
      <c r="B2424" s="5" t="s">
        <v>4713</v>
      </c>
      <c r="D2424" s="5" t="s">
        <v>5799</v>
      </c>
      <c r="E2424" s="10" t="s">
        <v>57</v>
      </c>
      <c r="F2424" s="5" t="s">
        <v>5770</v>
      </c>
      <c r="I2424" s="11">
        <v>2</v>
      </c>
      <c r="J2424" s="5" t="s">
        <v>4328</v>
      </c>
      <c r="K2424" s="12"/>
      <c r="O2424" s="12"/>
      <c r="P2424" s="13">
        <v>0</v>
      </c>
      <c r="Q2424" s="13">
        <v>0</v>
      </c>
      <c r="S2424" s="13">
        <v>0</v>
      </c>
      <c r="AC2424" s="16" t="str">
        <f t="shared" si="111"/>
        <v/>
      </c>
      <c r="AD2424" s="17">
        <f t="shared" si="112"/>
        <v>0</v>
      </c>
      <c r="AE2424" s="17">
        <f t="shared" si="113"/>
        <v>0</v>
      </c>
      <c r="AF2424" s="10" t="s">
        <v>5800</v>
      </c>
      <c r="AG2424" s="5" t="s">
        <v>1025</v>
      </c>
      <c r="AH2424" s="5" t="s">
        <v>4717</v>
      </c>
      <c r="AI2424" s="5" t="s">
        <v>5772</v>
      </c>
      <c r="AJ2424" s="5" t="s">
        <v>5460</v>
      </c>
    </row>
    <row r="2425" spans="1:36" ht="10" customHeight="1" x14ac:dyDescent="0.2">
      <c r="A2425" s="5" t="s">
        <v>5448</v>
      </c>
      <c r="B2425" s="5" t="s">
        <v>4713</v>
      </c>
      <c r="D2425" s="5" t="s">
        <v>5801</v>
      </c>
      <c r="E2425" s="10" t="s">
        <v>57</v>
      </c>
      <c r="F2425" s="5" t="s">
        <v>5770</v>
      </c>
      <c r="I2425" s="11">
        <v>2</v>
      </c>
      <c r="J2425" s="5" t="s">
        <v>4328</v>
      </c>
      <c r="K2425" s="12"/>
      <c r="O2425" s="12"/>
      <c r="P2425" s="13">
        <v>0</v>
      </c>
      <c r="Q2425" s="13">
        <v>0</v>
      </c>
      <c r="S2425" s="13">
        <v>0</v>
      </c>
      <c r="AC2425" s="16" t="str">
        <f t="shared" si="111"/>
        <v/>
      </c>
      <c r="AD2425" s="17">
        <f t="shared" si="112"/>
        <v>0</v>
      </c>
      <c r="AE2425" s="17">
        <f t="shared" si="113"/>
        <v>0</v>
      </c>
      <c r="AF2425" s="10" t="s">
        <v>5802</v>
      </c>
      <c r="AG2425" s="5" t="s">
        <v>1025</v>
      </c>
      <c r="AH2425" s="5" t="s">
        <v>4717</v>
      </c>
      <c r="AI2425" s="5" t="s">
        <v>5772</v>
      </c>
      <c r="AJ2425" s="5" t="s">
        <v>5460</v>
      </c>
    </row>
    <row r="2426" spans="1:36" ht="10" customHeight="1" x14ac:dyDescent="0.2">
      <c r="A2426" s="5" t="s">
        <v>5448</v>
      </c>
      <c r="B2426" s="5" t="s">
        <v>4713</v>
      </c>
      <c r="D2426" s="5" t="s">
        <v>5803</v>
      </c>
      <c r="E2426" s="10" t="s">
        <v>48</v>
      </c>
      <c r="I2426" s="11">
        <v>2</v>
      </c>
      <c r="J2426" s="5" t="s">
        <v>4328</v>
      </c>
      <c r="K2426" s="12"/>
      <c r="O2426" s="12"/>
      <c r="P2426" s="13">
        <v>1547464</v>
      </c>
      <c r="Q2426" s="13">
        <v>1704012</v>
      </c>
      <c r="S2426" s="13">
        <v>1640762</v>
      </c>
      <c r="AC2426" s="16" t="str">
        <f t="shared" si="111"/>
        <v>ADD</v>
      </c>
      <c r="AD2426" s="17">
        <f t="shared" si="112"/>
        <v>1640762</v>
      </c>
      <c r="AE2426" s="17">
        <f t="shared" si="113"/>
        <v>0</v>
      </c>
      <c r="AF2426" s="10" t="s">
        <v>5804</v>
      </c>
      <c r="AG2426" s="5" t="s">
        <v>1025</v>
      </c>
      <c r="AH2426" s="5" t="s">
        <v>4717</v>
      </c>
      <c r="AI2426" s="5" t="s">
        <v>5772</v>
      </c>
      <c r="AJ2426" s="5" t="s">
        <v>5460</v>
      </c>
    </row>
    <row r="2427" spans="1:36" ht="10" customHeight="1" x14ac:dyDescent="0.2">
      <c r="A2427" s="5" t="s">
        <v>5448</v>
      </c>
      <c r="B2427" s="5" t="s">
        <v>4713</v>
      </c>
      <c r="D2427" s="5" t="s">
        <v>5805</v>
      </c>
      <c r="E2427" s="10" t="s">
        <v>349</v>
      </c>
      <c r="F2427" s="5" t="s">
        <v>5770</v>
      </c>
      <c r="I2427" s="11">
        <v>2</v>
      </c>
      <c r="J2427" s="5" t="s">
        <v>4328</v>
      </c>
      <c r="K2427" s="12"/>
      <c r="O2427" s="12"/>
      <c r="P2427" s="13">
        <v>461962</v>
      </c>
      <c r="Q2427" s="13">
        <v>569420</v>
      </c>
      <c r="S2427" s="13">
        <v>603052</v>
      </c>
      <c r="AC2427" s="16" t="str">
        <f t="shared" si="111"/>
        <v>ALT</v>
      </c>
      <c r="AD2427" s="17">
        <f t="shared" si="112"/>
        <v>603052</v>
      </c>
      <c r="AE2427" s="17">
        <f t="shared" si="113"/>
        <v>0</v>
      </c>
      <c r="AF2427" s="10" t="s">
        <v>5806</v>
      </c>
      <c r="AG2427" s="5" t="s">
        <v>1093</v>
      </c>
      <c r="AH2427" s="5" t="s">
        <v>4717</v>
      </c>
      <c r="AI2427" s="5" t="s">
        <v>5772</v>
      </c>
      <c r="AJ2427" s="5" t="s">
        <v>5496</v>
      </c>
    </row>
    <row r="2428" spans="1:36" ht="10" customHeight="1" x14ac:dyDescent="0.2">
      <c r="A2428" s="5" t="s">
        <v>5448</v>
      </c>
      <c r="B2428" s="5" t="s">
        <v>4713</v>
      </c>
      <c r="D2428" s="5" t="s">
        <v>5807</v>
      </c>
      <c r="E2428" s="10" t="s">
        <v>349</v>
      </c>
      <c r="F2428" s="5" t="s">
        <v>5770</v>
      </c>
      <c r="I2428" s="11">
        <v>2</v>
      </c>
      <c r="J2428" s="5" t="s">
        <v>4328</v>
      </c>
      <c r="K2428" s="12"/>
      <c r="O2428" s="12"/>
      <c r="P2428" s="13">
        <v>9142</v>
      </c>
      <c r="Q2428" s="13">
        <v>9530</v>
      </c>
      <c r="S2428" s="13">
        <v>9843</v>
      </c>
      <c r="AC2428" s="16" t="str">
        <f t="shared" si="111"/>
        <v>ALT</v>
      </c>
      <c r="AD2428" s="17">
        <f t="shared" si="112"/>
        <v>9843</v>
      </c>
      <c r="AE2428" s="17">
        <f t="shared" si="113"/>
        <v>0</v>
      </c>
      <c r="AF2428" s="10" t="s">
        <v>5808</v>
      </c>
      <c r="AG2428" s="5" t="s">
        <v>1093</v>
      </c>
      <c r="AH2428" s="5" t="s">
        <v>4717</v>
      </c>
      <c r="AI2428" s="5" t="s">
        <v>5772</v>
      </c>
      <c r="AJ2428" s="5" t="s">
        <v>5496</v>
      </c>
    </row>
    <row r="2429" spans="1:36" ht="10" customHeight="1" x14ac:dyDescent="0.2">
      <c r="A2429" s="5" t="s">
        <v>5448</v>
      </c>
      <c r="B2429" s="5" t="s">
        <v>4713</v>
      </c>
      <c r="D2429" s="5" t="s">
        <v>5809</v>
      </c>
      <c r="E2429" s="10" t="s">
        <v>349</v>
      </c>
      <c r="F2429" s="5" t="s">
        <v>5770</v>
      </c>
      <c r="I2429" s="11">
        <v>2</v>
      </c>
      <c r="J2429" s="5" t="s">
        <v>4328</v>
      </c>
      <c r="K2429" s="12"/>
      <c r="O2429" s="12"/>
      <c r="P2429" s="13">
        <v>394970</v>
      </c>
      <c r="Q2429" s="13">
        <v>422738</v>
      </c>
      <c r="S2429" s="13">
        <v>247284</v>
      </c>
      <c r="AC2429" s="16" t="str">
        <f t="shared" si="111"/>
        <v>ALT</v>
      </c>
      <c r="AD2429" s="17">
        <f t="shared" si="112"/>
        <v>247284</v>
      </c>
      <c r="AE2429" s="17">
        <f t="shared" si="113"/>
        <v>0</v>
      </c>
      <c r="AF2429" s="10" t="s">
        <v>5810</v>
      </c>
      <c r="AG2429" s="5" t="s">
        <v>1093</v>
      </c>
      <c r="AH2429" s="5" t="s">
        <v>4717</v>
      </c>
      <c r="AI2429" s="5" t="s">
        <v>5772</v>
      </c>
      <c r="AJ2429" s="5" t="s">
        <v>5496</v>
      </c>
    </row>
    <row r="2430" spans="1:36" ht="10" customHeight="1" x14ac:dyDescent="0.2">
      <c r="A2430" s="5" t="s">
        <v>5448</v>
      </c>
      <c r="B2430" s="5" t="s">
        <v>4713</v>
      </c>
      <c r="D2430" s="5" t="s">
        <v>5811</v>
      </c>
      <c r="E2430" s="10" t="s">
        <v>349</v>
      </c>
      <c r="F2430" s="5" t="s">
        <v>5770</v>
      </c>
      <c r="I2430" s="11">
        <v>2</v>
      </c>
      <c r="J2430" s="5" t="s">
        <v>4328</v>
      </c>
      <c r="K2430" s="12"/>
      <c r="O2430" s="12"/>
      <c r="P2430" s="13">
        <v>18215</v>
      </c>
      <c r="Q2430" s="13">
        <v>84538</v>
      </c>
      <c r="S2430" s="13">
        <v>103652</v>
      </c>
      <c r="AC2430" s="16" t="str">
        <f t="shared" si="111"/>
        <v>ALT</v>
      </c>
      <c r="AD2430" s="17">
        <f t="shared" si="112"/>
        <v>103652</v>
      </c>
      <c r="AE2430" s="17">
        <f t="shared" si="113"/>
        <v>0</v>
      </c>
      <c r="AF2430" s="10" t="s">
        <v>5812</v>
      </c>
      <c r="AG2430" s="5" t="s">
        <v>1093</v>
      </c>
      <c r="AH2430" s="5" t="s">
        <v>4717</v>
      </c>
      <c r="AI2430" s="5" t="s">
        <v>5772</v>
      </c>
      <c r="AJ2430" s="5" t="s">
        <v>5496</v>
      </c>
    </row>
    <row r="2431" spans="1:36" ht="10" customHeight="1" x14ac:dyDescent="0.2">
      <c r="A2431" s="5" t="s">
        <v>5448</v>
      </c>
      <c r="B2431" s="5" t="s">
        <v>4713</v>
      </c>
      <c r="D2431" s="5" t="s">
        <v>5813</v>
      </c>
      <c r="E2431" s="10" t="s">
        <v>349</v>
      </c>
      <c r="F2431" s="5" t="s">
        <v>5770</v>
      </c>
      <c r="I2431" s="11">
        <v>2</v>
      </c>
      <c r="J2431" s="5" t="s">
        <v>4328</v>
      </c>
      <c r="K2431" s="12"/>
      <c r="O2431" s="12"/>
      <c r="P2431" s="13">
        <v>41731</v>
      </c>
      <c r="Q2431" s="13">
        <v>44690</v>
      </c>
      <c r="S2431" s="13">
        <v>104399</v>
      </c>
      <c r="AC2431" s="16" t="str">
        <f t="shared" si="111"/>
        <v>ALT</v>
      </c>
      <c r="AD2431" s="17">
        <f t="shared" si="112"/>
        <v>104399</v>
      </c>
      <c r="AE2431" s="17">
        <f t="shared" si="113"/>
        <v>0</v>
      </c>
      <c r="AF2431" s="10" t="s">
        <v>5814</v>
      </c>
      <c r="AG2431" s="5" t="s">
        <v>1093</v>
      </c>
      <c r="AH2431" s="5" t="s">
        <v>4717</v>
      </c>
      <c r="AI2431" s="5" t="s">
        <v>5772</v>
      </c>
      <c r="AJ2431" s="5" t="s">
        <v>5496</v>
      </c>
    </row>
    <row r="2432" spans="1:36" ht="10" customHeight="1" x14ac:dyDescent="0.2">
      <c r="A2432" s="5" t="s">
        <v>5448</v>
      </c>
      <c r="B2432" s="5" t="s">
        <v>4713</v>
      </c>
      <c r="D2432" s="5" t="s">
        <v>5815</v>
      </c>
      <c r="E2432" s="10" t="s">
        <v>349</v>
      </c>
      <c r="F2432" s="5" t="s">
        <v>5770</v>
      </c>
      <c r="I2432" s="11">
        <v>2</v>
      </c>
      <c r="J2432" s="5" t="s">
        <v>4328</v>
      </c>
      <c r="K2432" s="12"/>
      <c r="O2432" s="12"/>
      <c r="P2432" s="13">
        <v>472168</v>
      </c>
      <c r="Q2432" s="13">
        <v>431109</v>
      </c>
      <c r="S2432" s="13">
        <v>409527</v>
      </c>
      <c r="AC2432" s="16" t="str">
        <f t="shared" si="111"/>
        <v>ALT</v>
      </c>
      <c r="AD2432" s="17">
        <f t="shared" si="112"/>
        <v>409527</v>
      </c>
      <c r="AE2432" s="17">
        <f t="shared" si="113"/>
        <v>0</v>
      </c>
      <c r="AF2432" s="10" t="s">
        <v>5816</v>
      </c>
      <c r="AG2432" s="5" t="s">
        <v>1093</v>
      </c>
      <c r="AH2432" s="5" t="s">
        <v>4717</v>
      </c>
      <c r="AI2432" s="5" t="s">
        <v>5772</v>
      </c>
      <c r="AJ2432" s="5" t="s">
        <v>5496</v>
      </c>
    </row>
    <row r="2433" spans="1:36" ht="10" customHeight="1" x14ac:dyDescent="0.2">
      <c r="A2433" s="5" t="s">
        <v>5448</v>
      </c>
      <c r="B2433" s="5" t="s">
        <v>4713</v>
      </c>
      <c r="D2433" s="5" t="s">
        <v>5817</v>
      </c>
      <c r="E2433" s="10" t="s">
        <v>349</v>
      </c>
      <c r="F2433" s="5" t="s">
        <v>5770</v>
      </c>
      <c r="I2433" s="11">
        <v>2</v>
      </c>
      <c r="J2433" s="5" t="s">
        <v>4328</v>
      </c>
      <c r="K2433" s="12"/>
      <c r="O2433" s="12"/>
      <c r="P2433" s="13">
        <v>10170</v>
      </c>
      <c r="Q2433" s="13">
        <v>10600</v>
      </c>
      <c r="S2433" s="13">
        <v>10950</v>
      </c>
      <c r="AC2433" s="16" t="str">
        <f t="shared" si="111"/>
        <v>ALT</v>
      </c>
      <c r="AD2433" s="17">
        <f t="shared" si="112"/>
        <v>10950</v>
      </c>
      <c r="AE2433" s="17">
        <f t="shared" si="113"/>
        <v>0</v>
      </c>
      <c r="AF2433" s="10" t="s">
        <v>5818</v>
      </c>
      <c r="AG2433" s="5" t="s">
        <v>1093</v>
      </c>
      <c r="AH2433" s="5" t="s">
        <v>4717</v>
      </c>
      <c r="AI2433" s="5" t="s">
        <v>5772</v>
      </c>
      <c r="AJ2433" s="5" t="s">
        <v>5496</v>
      </c>
    </row>
    <row r="2434" spans="1:36" ht="10" customHeight="1" x14ac:dyDescent="0.2">
      <c r="A2434" s="5" t="s">
        <v>5448</v>
      </c>
      <c r="B2434" s="5" t="s">
        <v>4713</v>
      </c>
      <c r="D2434" s="5" t="s">
        <v>5819</v>
      </c>
      <c r="E2434" s="10" t="s">
        <v>349</v>
      </c>
      <c r="F2434" s="5" t="s">
        <v>5770</v>
      </c>
      <c r="I2434" s="11">
        <v>2</v>
      </c>
      <c r="J2434" s="5" t="s">
        <v>4328</v>
      </c>
      <c r="K2434" s="12"/>
      <c r="O2434" s="12"/>
      <c r="P2434" s="13">
        <v>135059</v>
      </c>
      <c r="Q2434" s="13">
        <v>127819</v>
      </c>
      <c r="S2434" s="13">
        <v>148398</v>
      </c>
      <c r="AC2434" s="16" t="str">
        <f t="shared" si="111"/>
        <v>ALT</v>
      </c>
      <c r="AD2434" s="17">
        <f t="shared" si="112"/>
        <v>148398</v>
      </c>
      <c r="AE2434" s="17">
        <f t="shared" si="113"/>
        <v>0</v>
      </c>
      <c r="AF2434" s="10" t="s">
        <v>5820</v>
      </c>
      <c r="AG2434" s="5" t="s">
        <v>1093</v>
      </c>
      <c r="AH2434" s="5" t="s">
        <v>4717</v>
      </c>
      <c r="AI2434" s="5" t="s">
        <v>5772</v>
      </c>
      <c r="AJ2434" s="5" t="s">
        <v>5496</v>
      </c>
    </row>
    <row r="2435" spans="1:36" ht="10" customHeight="1" x14ac:dyDescent="0.2">
      <c r="A2435" s="5" t="s">
        <v>5448</v>
      </c>
      <c r="B2435" s="5" t="s">
        <v>4713</v>
      </c>
      <c r="D2435" s="5" t="s">
        <v>5821</v>
      </c>
      <c r="E2435" s="10" t="s">
        <v>349</v>
      </c>
      <c r="F2435" s="5" t="s">
        <v>5770</v>
      </c>
      <c r="I2435" s="11">
        <v>2</v>
      </c>
      <c r="J2435" s="5" t="s">
        <v>4328</v>
      </c>
      <c r="K2435" s="12"/>
      <c r="O2435" s="12"/>
      <c r="P2435" s="13">
        <v>4047</v>
      </c>
      <c r="Q2435" s="13">
        <v>3568</v>
      </c>
      <c r="S2435" s="13">
        <v>3657</v>
      </c>
      <c r="AC2435" s="16" t="str">
        <f t="shared" si="111"/>
        <v>ALT</v>
      </c>
      <c r="AD2435" s="17">
        <f t="shared" si="112"/>
        <v>3657</v>
      </c>
      <c r="AE2435" s="17">
        <f t="shared" si="113"/>
        <v>0</v>
      </c>
      <c r="AF2435" s="10" t="s">
        <v>5822</v>
      </c>
      <c r="AG2435" s="5" t="s">
        <v>1093</v>
      </c>
      <c r="AH2435" s="5" t="s">
        <v>4717</v>
      </c>
      <c r="AI2435" s="5" t="s">
        <v>5772</v>
      </c>
      <c r="AJ2435" s="5" t="s">
        <v>5496</v>
      </c>
    </row>
    <row r="2436" spans="1:36" ht="10" customHeight="1" x14ac:dyDescent="0.2">
      <c r="A2436" s="5" t="s">
        <v>5448</v>
      </c>
      <c r="B2436" s="5" t="s">
        <v>4713</v>
      </c>
      <c r="D2436" s="5" t="s">
        <v>5823</v>
      </c>
      <c r="E2436" s="10" t="s">
        <v>349</v>
      </c>
      <c r="F2436" s="5" t="s">
        <v>5770</v>
      </c>
      <c r="I2436" s="11">
        <v>2</v>
      </c>
      <c r="J2436" s="5" t="s">
        <v>4328</v>
      </c>
      <c r="K2436" s="12"/>
      <c r="O2436" s="12"/>
      <c r="P2436" s="13">
        <v>1547464</v>
      </c>
      <c r="Q2436" s="13">
        <v>1704012</v>
      </c>
      <c r="S2436" s="13">
        <v>1640762</v>
      </c>
      <c r="AC2436" s="16" t="str">
        <f t="shared" si="111"/>
        <v>ALT</v>
      </c>
      <c r="AD2436" s="17">
        <f t="shared" si="112"/>
        <v>1640762</v>
      </c>
      <c r="AE2436" s="17">
        <f t="shared" si="113"/>
        <v>0</v>
      </c>
      <c r="AF2436" s="10" t="s">
        <v>5824</v>
      </c>
      <c r="AG2436" s="5" t="s">
        <v>1093</v>
      </c>
      <c r="AH2436" s="5" t="s">
        <v>4717</v>
      </c>
      <c r="AI2436" s="5" t="s">
        <v>5772</v>
      </c>
      <c r="AJ2436" s="5" t="s">
        <v>5496</v>
      </c>
    </row>
    <row r="2437" spans="1:36" ht="10" customHeight="1" x14ac:dyDescent="0.2">
      <c r="A2437" s="5" t="s">
        <v>5448</v>
      </c>
      <c r="B2437" s="5" t="s">
        <v>4713</v>
      </c>
      <c r="D2437" s="5" t="s">
        <v>5825</v>
      </c>
      <c r="E2437" s="10" t="s">
        <v>57</v>
      </c>
      <c r="F2437" s="5" t="s">
        <v>5826</v>
      </c>
      <c r="I2437" s="11">
        <v>7</v>
      </c>
      <c r="J2437" s="5" t="s">
        <v>5517</v>
      </c>
      <c r="K2437" s="12"/>
      <c r="O2437" s="12"/>
      <c r="P2437" s="13">
        <v>5835</v>
      </c>
      <c r="Q2437" s="13">
        <v>5958</v>
      </c>
      <c r="S2437" s="13">
        <v>6083</v>
      </c>
      <c r="AC2437" s="16" t="str">
        <f t="shared" si="111"/>
        <v/>
      </c>
      <c r="AD2437" s="17">
        <f t="shared" si="112"/>
        <v>6083</v>
      </c>
      <c r="AE2437" s="17">
        <f t="shared" si="113"/>
        <v>0</v>
      </c>
      <c r="AF2437" s="10" t="s">
        <v>5827</v>
      </c>
      <c r="AG2437" s="5" t="s">
        <v>1120</v>
      </c>
      <c r="AH2437" s="5" t="s">
        <v>4717</v>
      </c>
      <c r="AI2437" s="5" t="s">
        <v>5772</v>
      </c>
      <c r="AJ2437" s="5" t="s">
        <v>5520</v>
      </c>
    </row>
    <row r="2438" spans="1:36" ht="10" customHeight="1" x14ac:dyDescent="0.2">
      <c r="A2438" s="5" t="s">
        <v>5448</v>
      </c>
      <c r="B2438" s="5" t="s">
        <v>4713</v>
      </c>
      <c r="D2438" s="5" t="s">
        <v>5828</v>
      </c>
      <c r="E2438" s="10" t="s">
        <v>57</v>
      </c>
      <c r="F2438" s="5" t="s">
        <v>5826</v>
      </c>
      <c r="I2438" s="11">
        <v>7</v>
      </c>
      <c r="J2438" s="5" t="s">
        <v>5517</v>
      </c>
      <c r="K2438" s="12"/>
      <c r="O2438" s="12"/>
      <c r="P2438" s="13">
        <v>10719</v>
      </c>
      <c r="Q2438" s="13">
        <v>60000</v>
      </c>
      <c r="S2438" s="13">
        <v>0</v>
      </c>
      <c r="AC2438" s="16" t="str">
        <f t="shared" ref="AC2438:AC2501" si="114">IF(OR(E2438="",E2438="[PARENT]"),"ADD",IF(E2438="[ALT_VIEW]","ALT",""))</f>
        <v/>
      </c>
      <c r="AD2438" s="17">
        <f t="shared" ref="AD2438:AD2501" si="115">IF(Y2438&lt;&gt;"",Y2438,IF(U2438&lt;&gt;"",U2438,S2438))</f>
        <v>0</v>
      </c>
      <c r="AE2438" s="17">
        <f t="shared" ref="AE2438:AE2501" si="116">IF(AB2438&lt;&gt;"",AB2438,Z2438)</f>
        <v>0</v>
      </c>
      <c r="AF2438" s="10" t="s">
        <v>5829</v>
      </c>
      <c r="AG2438" s="5" t="s">
        <v>1120</v>
      </c>
      <c r="AH2438" s="5" t="s">
        <v>4717</v>
      </c>
      <c r="AI2438" s="5" t="s">
        <v>5772</v>
      </c>
      <c r="AJ2438" s="5" t="s">
        <v>5520</v>
      </c>
    </row>
    <row r="2439" spans="1:36" ht="10" customHeight="1" x14ac:dyDescent="0.2">
      <c r="A2439" s="5" t="s">
        <v>5448</v>
      </c>
      <c r="B2439" s="5" t="s">
        <v>4713</v>
      </c>
      <c r="D2439" s="5" t="s">
        <v>5830</v>
      </c>
      <c r="E2439" s="10" t="s">
        <v>57</v>
      </c>
      <c r="F2439" s="5" t="s">
        <v>5826</v>
      </c>
      <c r="I2439" s="11">
        <v>7</v>
      </c>
      <c r="J2439" s="5" t="s">
        <v>5517</v>
      </c>
      <c r="K2439" s="12"/>
      <c r="O2439" s="12"/>
      <c r="P2439" s="13">
        <v>20564</v>
      </c>
      <c r="Q2439" s="13">
        <v>82578</v>
      </c>
      <c r="S2439" s="13">
        <v>21644</v>
      </c>
      <c r="AC2439" s="16" t="str">
        <f t="shared" si="114"/>
        <v/>
      </c>
      <c r="AD2439" s="17">
        <f t="shared" si="115"/>
        <v>21644</v>
      </c>
      <c r="AE2439" s="17">
        <f t="shared" si="116"/>
        <v>0</v>
      </c>
      <c r="AF2439" s="10" t="s">
        <v>5831</v>
      </c>
      <c r="AG2439" s="5" t="s">
        <v>1120</v>
      </c>
      <c r="AH2439" s="5" t="s">
        <v>4717</v>
      </c>
      <c r="AI2439" s="5" t="s">
        <v>5772</v>
      </c>
      <c r="AJ2439" s="5" t="s">
        <v>5520</v>
      </c>
    </row>
    <row r="2440" spans="1:36" ht="10" customHeight="1" x14ac:dyDescent="0.2">
      <c r="A2440" s="5" t="s">
        <v>5448</v>
      </c>
      <c r="B2440" s="5" t="s">
        <v>4713</v>
      </c>
      <c r="D2440" s="5" t="s">
        <v>5832</v>
      </c>
      <c r="E2440" s="10" t="s">
        <v>57</v>
      </c>
      <c r="F2440" s="5" t="s">
        <v>5826</v>
      </c>
      <c r="I2440" s="11">
        <v>7</v>
      </c>
      <c r="J2440" s="5" t="s">
        <v>5517</v>
      </c>
      <c r="K2440" s="12"/>
      <c r="O2440" s="12"/>
      <c r="P2440" s="13">
        <v>0</v>
      </c>
      <c r="Q2440" s="13">
        <v>0</v>
      </c>
      <c r="S2440" s="13">
        <v>0</v>
      </c>
      <c r="AC2440" s="16" t="str">
        <f t="shared" si="114"/>
        <v/>
      </c>
      <c r="AD2440" s="17">
        <f t="shared" si="115"/>
        <v>0</v>
      </c>
      <c r="AE2440" s="17">
        <f t="shared" si="116"/>
        <v>0</v>
      </c>
      <c r="AF2440" s="10" t="s">
        <v>5833</v>
      </c>
      <c r="AG2440" s="5" t="s">
        <v>1120</v>
      </c>
      <c r="AH2440" s="5" t="s">
        <v>4717</v>
      </c>
      <c r="AI2440" s="5" t="s">
        <v>5772</v>
      </c>
      <c r="AJ2440" s="5" t="s">
        <v>5520</v>
      </c>
    </row>
    <row r="2441" spans="1:36" ht="10" customHeight="1" x14ac:dyDescent="0.2">
      <c r="A2441" s="5" t="s">
        <v>5448</v>
      </c>
      <c r="B2441" s="5" t="s">
        <v>4713</v>
      </c>
      <c r="D2441" s="5" t="s">
        <v>5834</v>
      </c>
      <c r="E2441" s="10" t="s">
        <v>57</v>
      </c>
      <c r="F2441" s="5" t="s">
        <v>5826</v>
      </c>
      <c r="I2441" s="11">
        <v>7</v>
      </c>
      <c r="J2441" s="5" t="s">
        <v>5517</v>
      </c>
      <c r="K2441" s="12"/>
      <c r="O2441" s="12"/>
      <c r="P2441" s="13">
        <v>644808</v>
      </c>
      <c r="Q2441" s="13">
        <v>400578</v>
      </c>
      <c r="S2441" s="13">
        <v>448562</v>
      </c>
      <c r="AC2441" s="16" t="str">
        <f t="shared" si="114"/>
        <v/>
      </c>
      <c r="AD2441" s="17">
        <f t="shared" si="115"/>
        <v>448562</v>
      </c>
      <c r="AE2441" s="17">
        <f t="shared" si="116"/>
        <v>0</v>
      </c>
      <c r="AF2441" s="10" t="s">
        <v>5835</v>
      </c>
      <c r="AG2441" s="5" t="s">
        <v>1120</v>
      </c>
      <c r="AH2441" s="5" t="s">
        <v>4717</v>
      </c>
      <c r="AI2441" s="5" t="s">
        <v>5772</v>
      </c>
      <c r="AJ2441" s="5" t="s">
        <v>5520</v>
      </c>
    </row>
    <row r="2442" spans="1:36" ht="10" customHeight="1" x14ac:dyDescent="0.2">
      <c r="A2442" s="5" t="s">
        <v>5448</v>
      </c>
      <c r="B2442" s="5" t="s">
        <v>4713</v>
      </c>
      <c r="D2442" s="5" t="s">
        <v>5836</v>
      </c>
      <c r="E2442" s="10" t="s">
        <v>48</v>
      </c>
      <c r="I2442" s="11">
        <v>7</v>
      </c>
      <c r="J2442" s="5" t="s">
        <v>5517</v>
      </c>
      <c r="K2442" s="12"/>
      <c r="O2442" s="12"/>
      <c r="P2442" s="13">
        <v>681926</v>
      </c>
      <c r="Q2442" s="13">
        <v>549114</v>
      </c>
      <c r="S2442" s="13">
        <v>476289</v>
      </c>
      <c r="AC2442" s="16" t="str">
        <f t="shared" si="114"/>
        <v>ADD</v>
      </c>
      <c r="AD2442" s="17">
        <f t="shared" si="115"/>
        <v>476289</v>
      </c>
      <c r="AE2442" s="17">
        <f t="shared" si="116"/>
        <v>0</v>
      </c>
      <c r="AF2442" s="10" t="s">
        <v>5837</v>
      </c>
      <c r="AG2442" s="5" t="s">
        <v>1120</v>
      </c>
      <c r="AH2442" s="5" t="s">
        <v>4717</v>
      </c>
      <c r="AI2442" s="5" t="s">
        <v>5772</v>
      </c>
      <c r="AJ2442" s="5" t="s">
        <v>5520</v>
      </c>
    </row>
    <row r="2443" spans="1:36" ht="10" customHeight="1" x14ac:dyDescent="0.2">
      <c r="A2443" s="5" t="s">
        <v>5448</v>
      </c>
      <c r="B2443" s="5" t="s">
        <v>4713</v>
      </c>
      <c r="D2443" s="5" t="s">
        <v>5838</v>
      </c>
      <c r="E2443" s="10" t="s">
        <v>57</v>
      </c>
      <c r="F2443" s="5" t="s">
        <v>5826</v>
      </c>
      <c r="I2443" s="11">
        <v>7</v>
      </c>
      <c r="J2443" s="5" t="s">
        <v>5517</v>
      </c>
      <c r="K2443" s="12"/>
      <c r="O2443" s="12"/>
      <c r="P2443" s="13">
        <v>1066</v>
      </c>
      <c r="AC2443" s="16" t="str">
        <f t="shared" si="114"/>
        <v/>
      </c>
      <c r="AD2443" s="17">
        <f t="shared" si="115"/>
        <v>0</v>
      </c>
      <c r="AE2443" s="17">
        <f t="shared" si="116"/>
        <v>0</v>
      </c>
      <c r="AF2443" s="10" t="s">
        <v>5839</v>
      </c>
      <c r="AG2443" s="5" t="s">
        <v>1120</v>
      </c>
      <c r="AH2443" s="5" t="s">
        <v>4717</v>
      </c>
      <c r="AI2443" s="5" t="s">
        <v>5772</v>
      </c>
      <c r="AJ2443" s="5" t="s">
        <v>5533</v>
      </c>
    </row>
    <row r="2444" spans="1:36" ht="10" customHeight="1" x14ac:dyDescent="0.2">
      <c r="A2444" s="5" t="s">
        <v>5448</v>
      </c>
      <c r="B2444" s="5" t="s">
        <v>4713</v>
      </c>
      <c r="D2444" s="5" t="s">
        <v>5840</v>
      </c>
      <c r="E2444" s="10" t="s">
        <v>57</v>
      </c>
      <c r="F2444" s="5" t="s">
        <v>5826</v>
      </c>
      <c r="I2444" s="11">
        <v>7</v>
      </c>
      <c r="J2444" s="5" t="s">
        <v>5517</v>
      </c>
      <c r="K2444" s="12"/>
      <c r="O2444" s="12"/>
      <c r="P2444" s="13">
        <v>940</v>
      </c>
      <c r="AC2444" s="16" t="str">
        <f t="shared" si="114"/>
        <v/>
      </c>
      <c r="AD2444" s="17">
        <f t="shared" si="115"/>
        <v>0</v>
      </c>
      <c r="AE2444" s="17">
        <f t="shared" si="116"/>
        <v>0</v>
      </c>
      <c r="AF2444" s="10" t="s">
        <v>5841</v>
      </c>
      <c r="AG2444" s="5" t="s">
        <v>1120</v>
      </c>
      <c r="AH2444" s="5" t="s">
        <v>4717</v>
      </c>
      <c r="AI2444" s="5" t="s">
        <v>5772</v>
      </c>
      <c r="AJ2444" s="5" t="s">
        <v>5533</v>
      </c>
    </row>
    <row r="2445" spans="1:36" ht="10" customHeight="1" x14ac:dyDescent="0.2">
      <c r="A2445" s="5" t="s">
        <v>5448</v>
      </c>
      <c r="B2445" s="5" t="s">
        <v>4713</v>
      </c>
      <c r="D2445" s="5" t="s">
        <v>5842</v>
      </c>
      <c r="E2445" s="10" t="s">
        <v>57</v>
      </c>
      <c r="F2445" s="5" t="s">
        <v>5826</v>
      </c>
      <c r="I2445" s="11">
        <v>7</v>
      </c>
      <c r="J2445" s="5" t="s">
        <v>5517</v>
      </c>
      <c r="K2445" s="12"/>
      <c r="O2445" s="12"/>
      <c r="P2445" s="13">
        <v>200</v>
      </c>
      <c r="AC2445" s="16" t="str">
        <f t="shared" si="114"/>
        <v/>
      </c>
      <c r="AD2445" s="17">
        <f t="shared" si="115"/>
        <v>0</v>
      </c>
      <c r="AE2445" s="17">
        <f t="shared" si="116"/>
        <v>0</v>
      </c>
      <c r="AF2445" s="10" t="s">
        <v>5843</v>
      </c>
      <c r="AG2445" s="5" t="s">
        <v>1120</v>
      </c>
      <c r="AH2445" s="5" t="s">
        <v>4717</v>
      </c>
      <c r="AI2445" s="5" t="s">
        <v>5772</v>
      </c>
      <c r="AJ2445" s="5" t="s">
        <v>5533</v>
      </c>
    </row>
    <row r="2446" spans="1:36" ht="10" customHeight="1" x14ac:dyDescent="0.2">
      <c r="A2446" s="5" t="s">
        <v>5448</v>
      </c>
      <c r="B2446" s="5" t="s">
        <v>4713</v>
      </c>
      <c r="D2446" s="5" t="s">
        <v>5844</v>
      </c>
      <c r="E2446" s="10" t="s">
        <v>57</v>
      </c>
      <c r="F2446" s="5" t="s">
        <v>5826</v>
      </c>
      <c r="I2446" s="11">
        <v>7</v>
      </c>
      <c r="J2446" s="5" t="s">
        <v>5517</v>
      </c>
      <c r="K2446" s="12"/>
      <c r="O2446" s="12"/>
      <c r="P2446" s="13">
        <v>976</v>
      </c>
      <c r="AC2446" s="16" t="str">
        <f t="shared" si="114"/>
        <v/>
      </c>
      <c r="AD2446" s="17">
        <f t="shared" si="115"/>
        <v>0</v>
      </c>
      <c r="AE2446" s="17">
        <f t="shared" si="116"/>
        <v>0</v>
      </c>
      <c r="AF2446" s="10" t="s">
        <v>5845</v>
      </c>
      <c r="AG2446" s="5" t="s">
        <v>1120</v>
      </c>
      <c r="AH2446" s="5" t="s">
        <v>4717</v>
      </c>
      <c r="AI2446" s="5" t="s">
        <v>5772</v>
      </c>
      <c r="AJ2446" s="5" t="s">
        <v>5533</v>
      </c>
    </row>
    <row r="2447" spans="1:36" ht="10" customHeight="1" x14ac:dyDescent="0.2">
      <c r="A2447" s="5" t="s">
        <v>5448</v>
      </c>
      <c r="B2447" s="5" t="s">
        <v>4713</v>
      </c>
      <c r="D2447" s="5" t="s">
        <v>5846</v>
      </c>
      <c r="E2447" s="10" t="s">
        <v>57</v>
      </c>
      <c r="F2447" s="5" t="s">
        <v>5826</v>
      </c>
      <c r="I2447" s="11">
        <v>7</v>
      </c>
      <c r="J2447" s="5" t="s">
        <v>5517</v>
      </c>
      <c r="K2447" s="12"/>
      <c r="O2447" s="12"/>
      <c r="P2447" s="13">
        <v>1985</v>
      </c>
      <c r="AC2447" s="16" t="str">
        <f t="shared" si="114"/>
        <v/>
      </c>
      <c r="AD2447" s="17">
        <f t="shared" si="115"/>
        <v>0</v>
      </c>
      <c r="AE2447" s="17">
        <f t="shared" si="116"/>
        <v>0</v>
      </c>
      <c r="AF2447" s="10" t="s">
        <v>5847</v>
      </c>
      <c r="AG2447" s="5" t="s">
        <v>1120</v>
      </c>
      <c r="AH2447" s="5" t="s">
        <v>4717</v>
      </c>
      <c r="AI2447" s="5" t="s">
        <v>5772</v>
      </c>
      <c r="AJ2447" s="5" t="s">
        <v>5533</v>
      </c>
    </row>
    <row r="2448" spans="1:36" ht="10" customHeight="1" x14ac:dyDescent="0.2">
      <c r="A2448" s="5" t="s">
        <v>5448</v>
      </c>
      <c r="B2448" s="5" t="s">
        <v>4713</v>
      </c>
      <c r="D2448" s="5" t="s">
        <v>5848</v>
      </c>
      <c r="E2448" s="10" t="s">
        <v>57</v>
      </c>
      <c r="F2448" s="5" t="s">
        <v>5826</v>
      </c>
      <c r="I2448" s="11">
        <v>7</v>
      </c>
      <c r="J2448" s="5" t="s">
        <v>5517</v>
      </c>
      <c r="K2448" s="12"/>
      <c r="O2448" s="12"/>
      <c r="P2448" s="13">
        <v>4441</v>
      </c>
      <c r="AC2448" s="16" t="str">
        <f t="shared" si="114"/>
        <v/>
      </c>
      <c r="AD2448" s="17">
        <f t="shared" si="115"/>
        <v>0</v>
      </c>
      <c r="AE2448" s="17">
        <f t="shared" si="116"/>
        <v>0</v>
      </c>
      <c r="AF2448" s="10" t="s">
        <v>5849</v>
      </c>
      <c r="AG2448" s="5" t="s">
        <v>1120</v>
      </c>
      <c r="AH2448" s="5" t="s">
        <v>4717</v>
      </c>
      <c r="AI2448" s="5" t="s">
        <v>5772</v>
      </c>
      <c r="AJ2448" s="5" t="s">
        <v>5533</v>
      </c>
    </row>
    <row r="2449" spans="1:36" ht="10" customHeight="1" x14ac:dyDescent="0.2">
      <c r="A2449" s="5" t="s">
        <v>5448</v>
      </c>
      <c r="B2449" s="5" t="s">
        <v>4713</v>
      </c>
      <c r="D2449" s="5" t="s">
        <v>5850</v>
      </c>
      <c r="E2449" s="10" t="s">
        <v>57</v>
      </c>
      <c r="F2449" s="5" t="s">
        <v>5826</v>
      </c>
      <c r="I2449" s="11">
        <v>7</v>
      </c>
      <c r="J2449" s="5" t="s">
        <v>5517</v>
      </c>
      <c r="K2449" s="12"/>
      <c r="O2449" s="12"/>
      <c r="P2449" s="13">
        <v>1111</v>
      </c>
      <c r="AC2449" s="16" t="str">
        <f t="shared" si="114"/>
        <v/>
      </c>
      <c r="AD2449" s="17">
        <f t="shared" si="115"/>
        <v>0</v>
      </c>
      <c r="AE2449" s="17">
        <f t="shared" si="116"/>
        <v>0</v>
      </c>
      <c r="AF2449" s="10" t="s">
        <v>5851</v>
      </c>
      <c r="AG2449" s="5" t="s">
        <v>1120</v>
      </c>
      <c r="AH2449" s="5" t="s">
        <v>4717</v>
      </c>
      <c r="AI2449" s="5" t="s">
        <v>5772</v>
      </c>
      <c r="AJ2449" s="5" t="s">
        <v>5533</v>
      </c>
    </row>
    <row r="2450" spans="1:36" ht="10" customHeight="1" x14ac:dyDescent="0.2">
      <c r="A2450" s="5" t="s">
        <v>5448</v>
      </c>
      <c r="B2450" s="5" t="s">
        <v>4713</v>
      </c>
      <c r="D2450" s="5" t="s">
        <v>5852</v>
      </c>
      <c r="E2450" s="10" t="s">
        <v>57</v>
      </c>
      <c r="F2450" s="5" t="s">
        <v>5826</v>
      </c>
      <c r="I2450" s="11">
        <v>7</v>
      </c>
      <c r="J2450" s="5" t="s">
        <v>5517</v>
      </c>
      <c r="K2450" s="12"/>
      <c r="O2450" s="12"/>
      <c r="Q2450" s="13">
        <v>32930</v>
      </c>
      <c r="AC2450" s="16" t="str">
        <f t="shared" si="114"/>
        <v/>
      </c>
      <c r="AD2450" s="17">
        <f t="shared" si="115"/>
        <v>0</v>
      </c>
      <c r="AE2450" s="17">
        <f t="shared" si="116"/>
        <v>0</v>
      </c>
      <c r="AF2450" s="10" t="s">
        <v>5853</v>
      </c>
      <c r="AG2450" s="5" t="s">
        <v>1120</v>
      </c>
      <c r="AH2450" s="5" t="s">
        <v>4717</v>
      </c>
      <c r="AI2450" s="5" t="s">
        <v>5772</v>
      </c>
      <c r="AJ2450" s="5" t="s">
        <v>5533</v>
      </c>
    </row>
    <row r="2451" spans="1:36" ht="10" customHeight="1" x14ac:dyDescent="0.2">
      <c r="A2451" s="5" t="s">
        <v>5448</v>
      </c>
      <c r="B2451" s="5" t="s">
        <v>4713</v>
      </c>
      <c r="D2451" s="5" t="s">
        <v>5854</v>
      </c>
      <c r="E2451" s="10" t="s">
        <v>57</v>
      </c>
      <c r="F2451" s="5" t="s">
        <v>5826</v>
      </c>
      <c r="I2451" s="11">
        <v>7</v>
      </c>
      <c r="J2451" s="5" t="s">
        <v>5517</v>
      </c>
      <c r="K2451" s="12"/>
      <c r="O2451" s="12"/>
      <c r="Q2451" s="13">
        <v>2757</v>
      </c>
      <c r="AC2451" s="16" t="str">
        <f t="shared" si="114"/>
        <v/>
      </c>
      <c r="AD2451" s="17">
        <f t="shared" si="115"/>
        <v>0</v>
      </c>
      <c r="AE2451" s="17">
        <f t="shared" si="116"/>
        <v>0</v>
      </c>
      <c r="AF2451" s="10" t="s">
        <v>5855</v>
      </c>
      <c r="AG2451" s="5" t="s">
        <v>1120</v>
      </c>
      <c r="AH2451" s="5" t="s">
        <v>4717</v>
      </c>
      <c r="AI2451" s="5" t="s">
        <v>5772</v>
      </c>
      <c r="AJ2451" s="5" t="s">
        <v>5533</v>
      </c>
    </row>
    <row r="2452" spans="1:36" ht="10" customHeight="1" x14ac:dyDescent="0.2">
      <c r="A2452" s="5" t="s">
        <v>5448</v>
      </c>
      <c r="B2452" s="5" t="s">
        <v>4713</v>
      </c>
      <c r="D2452" s="5" t="s">
        <v>5856</v>
      </c>
      <c r="E2452" s="10" t="s">
        <v>57</v>
      </c>
      <c r="F2452" s="5" t="s">
        <v>5826</v>
      </c>
      <c r="I2452" s="11">
        <v>7</v>
      </c>
      <c r="J2452" s="5" t="s">
        <v>5517</v>
      </c>
      <c r="K2452" s="12"/>
      <c r="O2452" s="12"/>
      <c r="Q2452" s="13">
        <v>23253</v>
      </c>
      <c r="AC2452" s="16" t="str">
        <f t="shared" si="114"/>
        <v/>
      </c>
      <c r="AD2452" s="17">
        <f t="shared" si="115"/>
        <v>0</v>
      </c>
      <c r="AE2452" s="17">
        <f t="shared" si="116"/>
        <v>0</v>
      </c>
      <c r="AF2452" s="10" t="s">
        <v>5857</v>
      </c>
      <c r="AG2452" s="5" t="s">
        <v>1120</v>
      </c>
      <c r="AH2452" s="5" t="s">
        <v>4717</v>
      </c>
      <c r="AI2452" s="5" t="s">
        <v>5772</v>
      </c>
      <c r="AJ2452" s="5" t="s">
        <v>5533</v>
      </c>
    </row>
    <row r="2453" spans="1:36" ht="10" customHeight="1" x14ac:dyDescent="0.2">
      <c r="A2453" s="5" t="s">
        <v>5448</v>
      </c>
      <c r="B2453" s="5" t="s">
        <v>4713</v>
      </c>
      <c r="D2453" s="5" t="s">
        <v>5858</v>
      </c>
      <c r="E2453" s="10" t="s">
        <v>57</v>
      </c>
      <c r="F2453" s="5" t="s">
        <v>5826</v>
      </c>
      <c r="I2453" s="11">
        <v>7</v>
      </c>
      <c r="J2453" s="5" t="s">
        <v>5517</v>
      </c>
      <c r="K2453" s="12"/>
      <c r="O2453" s="12"/>
      <c r="Q2453" s="13">
        <v>1060</v>
      </c>
      <c r="AC2453" s="16" t="str">
        <f t="shared" si="114"/>
        <v/>
      </c>
      <c r="AD2453" s="17">
        <f t="shared" si="115"/>
        <v>0</v>
      </c>
      <c r="AE2453" s="17">
        <f t="shared" si="116"/>
        <v>0</v>
      </c>
      <c r="AF2453" s="10" t="s">
        <v>5859</v>
      </c>
      <c r="AG2453" s="5" t="s">
        <v>1120</v>
      </c>
      <c r="AH2453" s="5" t="s">
        <v>4717</v>
      </c>
      <c r="AI2453" s="5" t="s">
        <v>5772</v>
      </c>
      <c r="AJ2453" s="5" t="s">
        <v>5533</v>
      </c>
    </row>
    <row r="2454" spans="1:36" ht="10" customHeight="1" x14ac:dyDescent="0.2">
      <c r="A2454" s="5" t="s">
        <v>5448</v>
      </c>
      <c r="B2454" s="5" t="s">
        <v>4713</v>
      </c>
      <c r="D2454" s="5" t="s">
        <v>5860</v>
      </c>
      <c r="E2454" s="10" t="s">
        <v>57</v>
      </c>
      <c r="F2454" s="5" t="s">
        <v>5826</v>
      </c>
      <c r="I2454" s="11">
        <v>7</v>
      </c>
      <c r="J2454" s="5" t="s">
        <v>5517</v>
      </c>
      <c r="K2454" s="12"/>
      <c r="O2454" s="12"/>
      <c r="P2454" s="13">
        <v>644808</v>
      </c>
      <c r="AC2454" s="16" t="str">
        <f t="shared" si="114"/>
        <v/>
      </c>
      <c r="AD2454" s="17">
        <f t="shared" si="115"/>
        <v>0</v>
      </c>
      <c r="AE2454" s="17">
        <f t="shared" si="116"/>
        <v>0</v>
      </c>
      <c r="AF2454" s="10" t="s">
        <v>5861</v>
      </c>
      <c r="AG2454" s="5" t="s">
        <v>1133</v>
      </c>
      <c r="AH2454" s="5" t="s">
        <v>4717</v>
      </c>
      <c r="AI2454" s="5" t="s">
        <v>5772</v>
      </c>
      <c r="AJ2454" s="5" t="s">
        <v>5548</v>
      </c>
    </row>
    <row r="2455" spans="1:36" ht="10" customHeight="1" x14ac:dyDescent="0.2">
      <c r="A2455" s="5" t="s">
        <v>5448</v>
      </c>
      <c r="B2455" s="5" t="s">
        <v>4713</v>
      </c>
      <c r="D2455" s="5" t="s">
        <v>5862</v>
      </c>
      <c r="E2455" s="10" t="s">
        <v>57</v>
      </c>
      <c r="F2455" s="5" t="s">
        <v>5826</v>
      </c>
      <c r="I2455" s="11">
        <v>7</v>
      </c>
      <c r="J2455" s="5" t="s">
        <v>5517</v>
      </c>
      <c r="K2455" s="12"/>
      <c r="O2455" s="12"/>
      <c r="Q2455" s="13">
        <v>400578</v>
      </c>
      <c r="AC2455" s="16" t="str">
        <f t="shared" si="114"/>
        <v/>
      </c>
      <c r="AD2455" s="17">
        <f t="shared" si="115"/>
        <v>0</v>
      </c>
      <c r="AE2455" s="17">
        <f t="shared" si="116"/>
        <v>0</v>
      </c>
      <c r="AF2455" s="10" t="s">
        <v>5863</v>
      </c>
      <c r="AG2455" s="5" t="s">
        <v>1133</v>
      </c>
      <c r="AH2455" s="5" t="s">
        <v>4717</v>
      </c>
      <c r="AI2455" s="5" t="s">
        <v>5772</v>
      </c>
      <c r="AJ2455" s="5" t="s">
        <v>5548</v>
      </c>
    </row>
    <row r="2456" spans="1:36" ht="10" customHeight="1" x14ac:dyDescent="0.2">
      <c r="A2456" s="5" t="s">
        <v>5448</v>
      </c>
      <c r="B2456" s="5" t="s">
        <v>4713</v>
      </c>
      <c r="D2456" s="5" t="s">
        <v>5864</v>
      </c>
      <c r="E2456" s="10" t="s">
        <v>57</v>
      </c>
      <c r="F2456" s="5" t="s">
        <v>5826</v>
      </c>
      <c r="I2456" s="11">
        <v>7</v>
      </c>
      <c r="J2456" s="5" t="s">
        <v>5517</v>
      </c>
      <c r="K2456" s="12"/>
      <c r="O2456" s="12"/>
      <c r="S2456" s="13">
        <v>220793</v>
      </c>
      <c r="AC2456" s="16" t="str">
        <f t="shared" si="114"/>
        <v/>
      </c>
      <c r="AD2456" s="17">
        <f t="shared" si="115"/>
        <v>220793</v>
      </c>
      <c r="AE2456" s="17">
        <f t="shared" si="116"/>
        <v>0</v>
      </c>
      <c r="AF2456" s="10" t="s">
        <v>5865</v>
      </c>
      <c r="AG2456" s="5" t="s">
        <v>1133</v>
      </c>
      <c r="AH2456" s="5" t="s">
        <v>4717</v>
      </c>
      <c r="AI2456" s="5" t="s">
        <v>5772</v>
      </c>
      <c r="AJ2456" s="5" t="s">
        <v>5548</v>
      </c>
    </row>
    <row r="2457" spans="1:36" ht="10" customHeight="1" x14ac:dyDescent="0.2">
      <c r="A2457" s="5" t="s">
        <v>5448</v>
      </c>
      <c r="B2457" s="5" t="s">
        <v>4713</v>
      </c>
      <c r="D2457" s="5" t="s">
        <v>5866</v>
      </c>
      <c r="E2457" s="10" t="s">
        <v>57</v>
      </c>
      <c r="F2457" s="5" t="s">
        <v>5826</v>
      </c>
      <c r="I2457" s="11">
        <v>7</v>
      </c>
      <c r="J2457" s="5" t="s">
        <v>5517</v>
      </c>
      <c r="K2457" s="12"/>
      <c r="O2457" s="12"/>
      <c r="S2457" s="13">
        <v>227769</v>
      </c>
      <c r="AC2457" s="16" t="str">
        <f t="shared" si="114"/>
        <v/>
      </c>
      <c r="AD2457" s="17">
        <f t="shared" si="115"/>
        <v>227769</v>
      </c>
      <c r="AE2457" s="17">
        <f t="shared" si="116"/>
        <v>0</v>
      </c>
      <c r="AF2457" s="10" t="s">
        <v>5867</v>
      </c>
      <c r="AG2457" s="5" t="s">
        <v>1133</v>
      </c>
      <c r="AH2457" s="5" t="s">
        <v>4717</v>
      </c>
      <c r="AI2457" s="5" t="s">
        <v>5772</v>
      </c>
      <c r="AJ2457" s="5" t="s">
        <v>5548</v>
      </c>
    </row>
    <row r="2458" spans="1:36" ht="10" customHeight="1" x14ac:dyDescent="0.2">
      <c r="A2458" s="5" t="s">
        <v>5448</v>
      </c>
      <c r="B2458" s="5" t="s">
        <v>4713</v>
      </c>
      <c r="D2458" s="5" t="s">
        <v>5868</v>
      </c>
      <c r="E2458" s="10" t="s">
        <v>188</v>
      </c>
      <c r="I2458" s="11">
        <v>5</v>
      </c>
      <c r="J2458" s="5" t="s">
        <v>5554</v>
      </c>
      <c r="K2458" s="10" t="s">
        <v>50</v>
      </c>
      <c r="L2458" s="5" t="s">
        <v>51</v>
      </c>
      <c r="M2458" s="5" t="s">
        <v>52</v>
      </c>
      <c r="N2458" s="5" t="s">
        <v>88</v>
      </c>
      <c r="O2458" s="12"/>
      <c r="AC2458" s="16" t="str">
        <f t="shared" si="114"/>
        <v/>
      </c>
      <c r="AD2458" s="17">
        <f t="shared" si="115"/>
        <v>0</v>
      </c>
      <c r="AE2458" s="17">
        <f t="shared" si="116"/>
        <v>0</v>
      </c>
      <c r="AF2458" s="10" t="s">
        <v>5869</v>
      </c>
      <c r="AG2458" s="5" t="s">
        <v>1148</v>
      </c>
      <c r="AH2458" s="5" t="s">
        <v>4717</v>
      </c>
      <c r="AI2458" s="5" t="s">
        <v>5772</v>
      </c>
      <c r="AJ2458" s="5" t="s">
        <v>5554</v>
      </c>
    </row>
    <row r="2459" spans="1:36" ht="10" customHeight="1" x14ac:dyDescent="0.2">
      <c r="A2459" s="5" t="s">
        <v>5448</v>
      </c>
      <c r="B2459" s="5" t="s">
        <v>4713</v>
      </c>
      <c r="D2459" s="5" t="s">
        <v>5870</v>
      </c>
      <c r="E2459" s="10" t="s">
        <v>188</v>
      </c>
      <c r="I2459" s="11">
        <v>5</v>
      </c>
      <c r="J2459" s="5" t="s">
        <v>5554</v>
      </c>
      <c r="K2459" s="10" t="s">
        <v>50</v>
      </c>
      <c r="L2459" s="5" t="s">
        <v>51</v>
      </c>
      <c r="M2459" s="5" t="s">
        <v>52</v>
      </c>
      <c r="N2459" s="5" t="s">
        <v>88</v>
      </c>
      <c r="O2459" s="12"/>
      <c r="AC2459" s="16" t="str">
        <f t="shared" si="114"/>
        <v/>
      </c>
      <c r="AD2459" s="17">
        <f t="shared" si="115"/>
        <v>0</v>
      </c>
      <c r="AE2459" s="17">
        <f t="shared" si="116"/>
        <v>0</v>
      </c>
      <c r="AF2459" s="10" t="s">
        <v>5871</v>
      </c>
      <c r="AG2459" s="5" t="s">
        <v>1148</v>
      </c>
      <c r="AH2459" s="5" t="s">
        <v>4717</v>
      </c>
      <c r="AI2459" s="5" t="s">
        <v>5772</v>
      </c>
      <c r="AJ2459" s="5" t="s">
        <v>5554</v>
      </c>
    </row>
    <row r="2460" spans="1:36" ht="10" customHeight="1" x14ac:dyDescent="0.2">
      <c r="A2460" s="5" t="s">
        <v>5448</v>
      </c>
      <c r="B2460" s="5" t="s">
        <v>4713</v>
      </c>
      <c r="D2460" s="5" t="s">
        <v>5872</v>
      </c>
      <c r="E2460" s="10" t="s">
        <v>188</v>
      </c>
      <c r="I2460" s="11">
        <v>2</v>
      </c>
      <c r="J2460" s="5" t="s">
        <v>5554</v>
      </c>
      <c r="K2460" s="10" t="s">
        <v>50</v>
      </c>
      <c r="L2460" s="5" t="s">
        <v>51</v>
      </c>
      <c r="M2460" s="5" t="s">
        <v>52</v>
      </c>
      <c r="N2460" s="5" t="s">
        <v>88</v>
      </c>
      <c r="O2460" s="12"/>
      <c r="AC2460" s="16" t="str">
        <f t="shared" si="114"/>
        <v/>
      </c>
      <c r="AD2460" s="17">
        <f t="shared" si="115"/>
        <v>0</v>
      </c>
      <c r="AE2460" s="17">
        <f t="shared" si="116"/>
        <v>0</v>
      </c>
      <c r="AF2460" s="10" t="s">
        <v>5873</v>
      </c>
      <c r="AG2460" s="5" t="s">
        <v>1148</v>
      </c>
      <c r="AH2460" s="5" t="s">
        <v>4717</v>
      </c>
      <c r="AI2460" s="5" t="s">
        <v>5772</v>
      </c>
      <c r="AJ2460" s="5" t="s">
        <v>5554</v>
      </c>
    </row>
    <row r="2461" spans="1:36" ht="10" customHeight="1" x14ac:dyDescent="0.2">
      <c r="A2461" s="5" t="s">
        <v>5448</v>
      </c>
      <c r="B2461" s="5" t="s">
        <v>4713</v>
      </c>
      <c r="D2461" s="5" t="s">
        <v>5874</v>
      </c>
      <c r="E2461" s="10" t="s">
        <v>188</v>
      </c>
      <c r="I2461" s="11">
        <v>2</v>
      </c>
      <c r="J2461" s="5" t="s">
        <v>5554</v>
      </c>
      <c r="K2461" s="10" t="s">
        <v>50</v>
      </c>
      <c r="L2461" s="5" t="s">
        <v>51</v>
      </c>
      <c r="M2461" s="5" t="s">
        <v>52</v>
      </c>
      <c r="N2461" s="5" t="s">
        <v>88</v>
      </c>
      <c r="O2461" s="12"/>
      <c r="AC2461" s="16" t="str">
        <f t="shared" si="114"/>
        <v/>
      </c>
      <c r="AD2461" s="17">
        <f t="shared" si="115"/>
        <v>0</v>
      </c>
      <c r="AE2461" s="17">
        <f t="shared" si="116"/>
        <v>0</v>
      </c>
      <c r="AF2461" s="10" t="s">
        <v>5875</v>
      </c>
      <c r="AG2461" s="5" t="s">
        <v>1148</v>
      </c>
      <c r="AH2461" s="5" t="s">
        <v>4717</v>
      </c>
      <c r="AI2461" s="5" t="s">
        <v>5772</v>
      </c>
      <c r="AJ2461" s="5" t="s">
        <v>5554</v>
      </c>
    </row>
    <row r="2462" spans="1:36" ht="10" customHeight="1" x14ac:dyDescent="0.2">
      <c r="A2462" s="5" t="s">
        <v>5448</v>
      </c>
      <c r="B2462" s="5" t="s">
        <v>4713</v>
      </c>
      <c r="D2462" s="5" t="s">
        <v>5876</v>
      </c>
      <c r="E2462" s="10" t="s">
        <v>188</v>
      </c>
      <c r="I2462" s="11">
        <v>2</v>
      </c>
      <c r="J2462" s="5" t="s">
        <v>5554</v>
      </c>
      <c r="K2462" s="10" t="s">
        <v>50</v>
      </c>
      <c r="L2462" s="5" t="s">
        <v>51</v>
      </c>
      <c r="M2462" s="5" t="s">
        <v>52</v>
      </c>
      <c r="N2462" s="5" t="s">
        <v>88</v>
      </c>
      <c r="O2462" s="12"/>
      <c r="AC2462" s="16" t="str">
        <f t="shared" si="114"/>
        <v/>
      </c>
      <c r="AD2462" s="17">
        <f t="shared" si="115"/>
        <v>0</v>
      </c>
      <c r="AE2462" s="17">
        <f t="shared" si="116"/>
        <v>0</v>
      </c>
      <c r="AF2462" s="10" t="s">
        <v>5877</v>
      </c>
      <c r="AG2462" s="5" t="s">
        <v>1148</v>
      </c>
      <c r="AH2462" s="5" t="s">
        <v>4717</v>
      </c>
      <c r="AI2462" s="5" t="s">
        <v>5772</v>
      </c>
      <c r="AJ2462" s="5" t="s">
        <v>5554</v>
      </c>
    </row>
    <row r="2463" spans="1:36" ht="10" customHeight="1" x14ac:dyDescent="0.2">
      <c r="A2463" s="5" t="s">
        <v>5448</v>
      </c>
      <c r="B2463" s="5" t="s">
        <v>4713</v>
      </c>
      <c r="D2463" s="5" t="s">
        <v>5878</v>
      </c>
      <c r="E2463" s="10" t="s">
        <v>188</v>
      </c>
      <c r="I2463" s="11">
        <v>2</v>
      </c>
      <c r="J2463" s="5" t="s">
        <v>5554</v>
      </c>
      <c r="K2463" s="10" t="s">
        <v>50</v>
      </c>
      <c r="L2463" s="5" t="s">
        <v>51</v>
      </c>
      <c r="M2463" s="5" t="s">
        <v>52</v>
      </c>
      <c r="N2463" s="5" t="s">
        <v>88</v>
      </c>
      <c r="O2463" s="12"/>
      <c r="AC2463" s="16" t="str">
        <f t="shared" si="114"/>
        <v/>
      </c>
      <c r="AD2463" s="17">
        <f t="shared" si="115"/>
        <v>0</v>
      </c>
      <c r="AE2463" s="17">
        <f t="shared" si="116"/>
        <v>0</v>
      </c>
      <c r="AF2463" s="10" t="s">
        <v>5879</v>
      </c>
      <c r="AG2463" s="5" t="s">
        <v>1148</v>
      </c>
      <c r="AH2463" s="5" t="s">
        <v>4717</v>
      </c>
      <c r="AI2463" s="5" t="s">
        <v>5772</v>
      </c>
      <c r="AJ2463" s="5" t="s">
        <v>5554</v>
      </c>
    </row>
    <row r="2464" spans="1:36" ht="10" customHeight="1" x14ac:dyDescent="0.2">
      <c r="A2464" s="5" t="s">
        <v>5448</v>
      </c>
      <c r="B2464" s="5" t="s">
        <v>4713</v>
      </c>
      <c r="D2464" s="5" t="s">
        <v>5880</v>
      </c>
      <c r="E2464" s="10" t="s">
        <v>188</v>
      </c>
      <c r="I2464" s="11">
        <v>2</v>
      </c>
      <c r="J2464" s="5" t="s">
        <v>5554</v>
      </c>
      <c r="K2464" s="10" t="s">
        <v>50</v>
      </c>
      <c r="L2464" s="5" t="s">
        <v>51</v>
      </c>
      <c r="M2464" s="5" t="s">
        <v>52</v>
      </c>
      <c r="N2464" s="5" t="s">
        <v>88</v>
      </c>
      <c r="O2464" s="12"/>
      <c r="AC2464" s="16" t="str">
        <f t="shared" si="114"/>
        <v/>
      </c>
      <c r="AD2464" s="17">
        <f t="shared" si="115"/>
        <v>0</v>
      </c>
      <c r="AE2464" s="17">
        <f t="shared" si="116"/>
        <v>0</v>
      </c>
      <c r="AF2464" s="10" t="s">
        <v>5881</v>
      </c>
      <c r="AG2464" s="5" t="s">
        <v>1148</v>
      </c>
      <c r="AH2464" s="5" t="s">
        <v>4717</v>
      </c>
      <c r="AI2464" s="5" t="s">
        <v>5772</v>
      </c>
      <c r="AJ2464" s="5" t="s">
        <v>5554</v>
      </c>
    </row>
    <row r="2465" spans="1:36" ht="10" customHeight="1" x14ac:dyDescent="0.2">
      <c r="A2465" s="5" t="s">
        <v>5448</v>
      </c>
      <c r="B2465" s="5" t="s">
        <v>4713</v>
      </c>
      <c r="D2465" s="5" t="s">
        <v>5882</v>
      </c>
      <c r="E2465" s="10" t="s">
        <v>188</v>
      </c>
      <c r="I2465" s="11">
        <v>5</v>
      </c>
      <c r="J2465" s="5" t="s">
        <v>5554</v>
      </c>
      <c r="K2465" s="10" t="s">
        <v>50</v>
      </c>
      <c r="L2465" s="5" t="s">
        <v>51</v>
      </c>
      <c r="M2465" s="5" t="s">
        <v>52</v>
      </c>
      <c r="N2465" s="5" t="s">
        <v>88</v>
      </c>
      <c r="O2465" s="12"/>
      <c r="AC2465" s="16" t="str">
        <f t="shared" si="114"/>
        <v/>
      </c>
      <c r="AD2465" s="17">
        <f t="shared" si="115"/>
        <v>0</v>
      </c>
      <c r="AE2465" s="17">
        <f t="shared" si="116"/>
        <v>0</v>
      </c>
      <c r="AF2465" s="10" t="s">
        <v>5883</v>
      </c>
      <c r="AG2465" s="5" t="s">
        <v>1148</v>
      </c>
      <c r="AH2465" s="5" t="s">
        <v>4717</v>
      </c>
      <c r="AI2465" s="5" t="s">
        <v>5772</v>
      </c>
      <c r="AJ2465" s="5" t="s">
        <v>5554</v>
      </c>
    </row>
    <row r="2466" spans="1:36" ht="10" customHeight="1" x14ac:dyDescent="0.2">
      <c r="A2466" s="5" t="s">
        <v>5448</v>
      </c>
      <c r="B2466" s="5" t="s">
        <v>4713</v>
      </c>
      <c r="D2466" s="5" t="s">
        <v>5884</v>
      </c>
      <c r="E2466" s="10" t="s">
        <v>188</v>
      </c>
      <c r="I2466" s="11">
        <v>5</v>
      </c>
      <c r="J2466" s="5" t="s">
        <v>5554</v>
      </c>
      <c r="K2466" s="10" t="s">
        <v>50</v>
      </c>
      <c r="L2466" s="5" t="s">
        <v>51</v>
      </c>
      <c r="M2466" s="5" t="s">
        <v>52</v>
      </c>
      <c r="N2466" s="5" t="s">
        <v>88</v>
      </c>
      <c r="O2466" s="12"/>
      <c r="AC2466" s="16" t="str">
        <f t="shared" si="114"/>
        <v/>
      </c>
      <c r="AD2466" s="17">
        <f t="shared" si="115"/>
        <v>0</v>
      </c>
      <c r="AE2466" s="17">
        <f t="shared" si="116"/>
        <v>0</v>
      </c>
      <c r="AF2466" s="10" t="s">
        <v>5885</v>
      </c>
      <c r="AG2466" s="5" t="s">
        <v>1148</v>
      </c>
      <c r="AH2466" s="5" t="s">
        <v>4717</v>
      </c>
      <c r="AI2466" s="5" t="s">
        <v>5772</v>
      </c>
      <c r="AJ2466" s="5" t="s">
        <v>5554</v>
      </c>
    </row>
    <row r="2467" spans="1:36" ht="10" customHeight="1" x14ac:dyDescent="0.2">
      <c r="A2467" s="5" t="s">
        <v>5448</v>
      </c>
      <c r="B2467" s="5" t="s">
        <v>4713</v>
      </c>
      <c r="D2467" s="5" t="s">
        <v>5886</v>
      </c>
      <c r="E2467" s="10" t="s">
        <v>188</v>
      </c>
      <c r="I2467" s="11">
        <v>2</v>
      </c>
      <c r="J2467" s="5" t="s">
        <v>5554</v>
      </c>
      <c r="K2467" s="10" t="s">
        <v>50</v>
      </c>
      <c r="L2467" s="5" t="s">
        <v>51</v>
      </c>
      <c r="M2467" s="5" t="s">
        <v>52</v>
      </c>
      <c r="N2467" s="5" t="s">
        <v>88</v>
      </c>
      <c r="O2467" s="12"/>
      <c r="AC2467" s="16" t="str">
        <f t="shared" si="114"/>
        <v/>
      </c>
      <c r="AD2467" s="17">
        <f t="shared" si="115"/>
        <v>0</v>
      </c>
      <c r="AE2467" s="17">
        <f t="shared" si="116"/>
        <v>0</v>
      </c>
      <c r="AF2467" s="10" t="s">
        <v>5887</v>
      </c>
      <c r="AG2467" s="5" t="s">
        <v>1148</v>
      </c>
      <c r="AH2467" s="5" t="s">
        <v>4717</v>
      </c>
      <c r="AI2467" s="5" t="s">
        <v>5772</v>
      </c>
      <c r="AJ2467" s="5" t="s">
        <v>5554</v>
      </c>
    </row>
    <row r="2468" spans="1:36" ht="10" customHeight="1" x14ac:dyDescent="0.2">
      <c r="A2468" s="5" t="s">
        <v>5448</v>
      </c>
      <c r="B2468" s="5" t="s">
        <v>4713</v>
      </c>
      <c r="D2468" s="5" t="s">
        <v>5888</v>
      </c>
      <c r="E2468" s="10" t="s">
        <v>188</v>
      </c>
      <c r="I2468" s="11">
        <v>2</v>
      </c>
      <c r="J2468" s="5" t="s">
        <v>5554</v>
      </c>
      <c r="K2468" s="10" t="s">
        <v>50</v>
      </c>
      <c r="L2468" s="5" t="s">
        <v>51</v>
      </c>
      <c r="M2468" s="5" t="s">
        <v>52</v>
      </c>
      <c r="N2468" s="5" t="s">
        <v>88</v>
      </c>
      <c r="O2468" s="12"/>
      <c r="AC2468" s="16" t="str">
        <f t="shared" si="114"/>
        <v/>
      </c>
      <c r="AD2468" s="17">
        <f t="shared" si="115"/>
        <v>0</v>
      </c>
      <c r="AE2468" s="17">
        <f t="shared" si="116"/>
        <v>0</v>
      </c>
      <c r="AF2468" s="10" t="s">
        <v>5889</v>
      </c>
      <c r="AG2468" s="5" t="s">
        <v>1148</v>
      </c>
      <c r="AH2468" s="5" t="s">
        <v>4717</v>
      </c>
      <c r="AI2468" s="5" t="s">
        <v>5772</v>
      </c>
      <c r="AJ2468" s="5" t="s">
        <v>5554</v>
      </c>
    </row>
    <row r="2469" spans="1:36" ht="10" customHeight="1" x14ac:dyDescent="0.2">
      <c r="A2469" s="5" t="s">
        <v>5448</v>
      </c>
      <c r="B2469" s="5" t="s">
        <v>4713</v>
      </c>
      <c r="D2469" s="5" t="s">
        <v>5890</v>
      </c>
      <c r="E2469" s="10" t="s">
        <v>188</v>
      </c>
      <c r="I2469" s="11">
        <v>2</v>
      </c>
      <c r="J2469" s="5" t="s">
        <v>5554</v>
      </c>
      <c r="K2469" s="10" t="s">
        <v>50</v>
      </c>
      <c r="L2469" s="5" t="s">
        <v>51</v>
      </c>
      <c r="M2469" s="5" t="s">
        <v>52</v>
      </c>
      <c r="N2469" s="5" t="s">
        <v>88</v>
      </c>
      <c r="O2469" s="12"/>
      <c r="AC2469" s="16" t="str">
        <f t="shared" si="114"/>
        <v/>
      </c>
      <c r="AD2469" s="17">
        <f t="shared" si="115"/>
        <v>0</v>
      </c>
      <c r="AE2469" s="17">
        <f t="shared" si="116"/>
        <v>0</v>
      </c>
      <c r="AF2469" s="10" t="s">
        <v>5891</v>
      </c>
      <c r="AG2469" s="5" t="s">
        <v>1148</v>
      </c>
      <c r="AH2469" s="5" t="s">
        <v>4717</v>
      </c>
      <c r="AI2469" s="5" t="s">
        <v>5772</v>
      </c>
      <c r="AJ2469" s="5" t="s">
        <v>5554</v>
      </c>
    </row>
    <row r="2470" spans="1:36" ht="10" customHeight="1" x14ac:dyDescent="0.2">
      <c r="A2470" s="5" t="s">
        <v>5448</v>
      </c>
      <c r="B2470" s="5" t="s">
        <v>4713</v>
      </c>
      <c r="D2470" s="5" t="s">
        <v>5892</v>
      </c>
      <c r="E2470" s="10" t="s">
        <v>188</v>
      </c>
      <c r="I2470" s="11">
        <v>2</v>
      </c>
      <c r="J2470" s="5" t="s">
        <v>5554</v>
      </c>
      <c r="K2470" s="10" t="s">
        <v>50</v>
      </c>
      <c r="L2470" s="5" t="s">
        <v>51</v>
      </c>
      <c r="M2470" s="5" t="s">
        <v>52</v>
      </c>
      <c r="N2470" s="5" t="s">
        <v>88</v>
      </c>
      <c r="O2470" s="12"/>
      <c r="AC2470" s="16" t="str">
        <f t="shared" si="114"/>
        <v/>
      </c>
      <c r="AD2470" s="17">
        <f t="shared" si="115"/>
        <v>0</v>
      </c>
      <c r="AE2470" s="17">
        <f t="shared" si="116"/>
        <v>0</v>
      </c>
      <c r="AF2470" s="10" t="s">
        <v>5893</v>
      </c>
      <c r="AG2470" s="5" t="s">
        <v>1148</v>
      </c>
      <c r="AH2470" s="5" t="s">
        <v>4717</v>
      </c>
      <c r="AI2470" s="5" t="s">
        <v>5772</v>
      </c>
      <c r="AJ2470" s="5" t="s">
        <v>5554</v>
      </c>
    </row>
    <row r="2471" spans="1:36" ht="10" customHeight="1" x14ac:dyDescent="0.2">
      <c r="A2471" s="5" t="s">
        <v>5448</v>
      </c>
      <c r="B2471" s="5" t="s">
        <v>4713</v>
      </c>
      <c r="D2471" s="5" t="s">
        <v>5894</v>
      </c>
      <c r="E2471" s="10" t="s">
        <v>188</v>
      </c>
      <c r="I2471" s="11">
        <v>5</v>
      </c>
      <c r="J2471" s="5" t="s">
        <v>5554</v>
      </c>
      <c r="K2471" s="10" t="s">
        <v>50</v>
      </c>
      <c r="L2471" s="5" t="s">
        <v>51</v>
      </c>
      <c r="M2471" s="5" t="s">
        <v>52</v>
      </c>
      <c r="N2471" s="5" t="s">
        <v>88</v>
      </c>
      <c r="O2471" s="12"/>
      <c r="AC2471" s="16" t="str">
        <f t="shared" si="114"/>
        <v/>
      </c>
      <c r="AD2471" s="17">
        <f t="shared" si="115"/>
        <v>0</v>
      </c>
      <c r="AE2471" s="17">
        <f t="shared" si="116"/>
        <v>0</v>
      </c>
      <c r="AF2471" s="10" t="s">
        <v>5895</v>
      </c>
      <c r="AG2471" s="5" t="s">
        <v>1148</v>
      </c>
      <c r="AH2471" s="5" t="s">
        <v>4717</v>
      </c>
      <c r="AI2471" s="5" t="s">
        <v>5772</v>
      </c>
      <c r="AJ2471" s="5" t="s">
        <v>5554</v>
      </c>
    </row>
    <row r="2472" spans="1:36" ht="10" customHeight="1" x14ac:dyDescent="0.2">
      <c r="A2472" s="5" t="s">
        <v>5448</v>
      </c>
      <c r="B2472" s="5" t="s">
        <v>4713</v>
      </c>
      <c r="D2472" s="5" t="s">
        <v>5896</v>
      </c>
      <c r="E2472" s="10" t="s">
        <v>188</v>
      </c>
      <c r="I2472" s="11">
        <v>2</v>
      </c>
      <c r="J2472" s="5" t="s">
        <v>5554</v>
      </c>
      <c r="K2472" s="10" t="s">
        <v>50</v>
      </c>
      <c r="L2472" s="5" t="s">
        <v>51</v>
      </c>
      <c r="M2472" s="5" t="s">
        <v>52</v>
      </c>
      <c r="N2472" s="5" t="s">
        <v>88</v>
      </c>
      <c r="O2472" s="12"/>
      <c r="AC2472" s="16" t="str">
        <f t="shared" si="114"/>
        <v/>
      </c>
      <c r="AD2472" s="17">
        <f t="shared" si="115"/>
        <v>0</v>
      </c>
      <c r="AE2472" s="17">
        <f t="shared" si="116"/>
        <v>0</v>
      </c>
      <c r="AF2472" s="10" t="s">
        <v>5897</v>
      </c>
      <c r="AG2472" s="5" t="s">
        <v>1148</v>
      </c>
      <c r="AH2472" s="5" t="s">
        <v>4717</v>
      </c>
      <c r="AI2472" s="5" t="s">
        <v>5772</v>
      </c>
      <c r="AJ2472" s="5" t="s">
        <v>5554</v>
      </c>
    </row>
    <row r="2473" spans="1:36" ht="10" customHeight="1" x14ac:dyDescent="0.2">
      <c r="A2473" s="5" t="s">
        <v>5448</v>
      </c>
      <c r="B2473" s="5" t="s">
        <v>4713</v>
      </c>
      <c r="D2473" s="5" t="s">
        <v>5898</v>
      </c>
      <c r="E2473" s="10" t="s">
        <v>188</v>
      </c>
      <c r="I2473" s="11">
        <v>2</v>
      </c>
      <c r="J2473" s="5" t="s">
        <v>5554</v>
      </c>
      <c r="K2473" s="10" t="s">
        <v>50</v>
      </c>
      <c r="L2473" s="5" t="s">
        <v>51</v>
      </c>
      <c r="M2473" s="5" t="s">
        <v>52</v>
      </c>
      <c r="N2473" s="5" t="s">
        <v>88</v>
      </c>
      <c r="O2473" s="12"/>
      <c r="AC2473" s="16" t="str">
        <f t="shared" si="114"/>
        <v/>
      </c>
      <c r="AD2473" s="17">
        <f t="shared" si="115"/>
        <v>0</v>
      </c>
      <c r="AE2473" s="17">
        <f t="shared" si="116"/>
        <v>0</v>
      </c>
      <c r="AF2473" s="10" t="s">
        <v>5899</v>
      </c>
      <c r="AG2473" s="5" t="s">
        <v>1148</v>
      </c>
      <c r="AH2473" s="5" t="s">
        <v>4717</v>
      </c>
      <c r="AI2473" s="5" t="s">
        <v>5772</v>
      </c>
      <c r="AJ2473" s="5" t="s">
        <v>5554</v>
      </c>
    </row>
    <row r="2474" spans="1:36" ht="10" customHeight="1" x14ac:dyDescent="0.2">
      <c r="A2474" s="5" t="s">
        <v>5448</v>
      </c>
      <c r="B2474" s="5" t="s">
        <v>4713</v>
      </c>
      <c r="D2474" s="5" t="s">
        <v>5900</v>
      </c>
      <c r="E2474" s="10" t="s">
        <v>188</v>
      </c>
      <c r="I2474" s="11">
        <v>2</v>
      </c>
      <c r="J2474" s="5" t="s">
        <v>5554</v>
      </c>
      <c r="K2474" s="10" t="s">
        <v>50</v>
      </c>
      <c r="L2474" s="5" t="s">
        <v>51</v>
      </c>
      <c r="M2474" s="5" t="s">
        <v>52</v>
      </c>
      <c r="N2474" s="5" t="s">
        <v>88</v>
      </c>
      <c r="O2474" s="12"/>
      <c r="AC2474" s="16" t="str">
        <f t="shared" si="114"/>
        <v/>
      </c>
      <c r="AD2474" s="17">
        <f t="shared" si="115"/>
        <v>0</v>
      </c>
      <c r="AE2474" s="17">
        <f t="shared" si="116"/>
        <v>0</v>
      </c>
      <c r="AF2474" s="10" t="s">
        <v>5901</v>
      </c>
      <c r="AG2474" s="5" t="s">
        <v>1148</v>
      </c>
      <c r="AH2474" s="5" t="s">
        <v>4717</v>
      </c>
      <c r="AI2474" s="5" t="s">
        <v>5772</v>
      </c>
      <c r="AJ2474" s="5" t="s">
        <v>5554</v>
      </c>
    </row>
    <row r="2475" spans="1:36" ht="10" customHeight="1" x14ac:dyDescent="0.2">
      <c r="A2475" s="5" t="s">
        <v>5448</v>
      </c>
      <c r="B2475" s="5" t="s">
        <v>4713</v>
      </c>
      <c r="D2475" s="5" t="s">
        <v>5902</v>
      </c>
      <c r="E2475" s="10" t="s">
        <v>57</v>
      </c>
      <c r="F2475" s="5" t="s">
        <v>5903</v>
      </c>
      <c r="I2475" s="11">
        <v>2</v>
      </c>
      <c r="J2475" s="5" t="s">
        <v>4328</v>
      </c>
      <c r="K2475" s="12"/>
      <c r="O2475" s="12"/>
      <c r="P2475" s="13">
        <v>1978623</v>
      </c>
      <c r="Q2475" s="13">
        <v>2090577</v>
      </c>
      <c r="S2475" s="13">
        <v>2044669</v>
      </c>
      <c r="AC2475" s="16" t="str">
        <f t="shared" si="114"/>
        <v/>
      </c>
      <c r="AD2475" s="17">
        <f t="shared" si="115"/>
        <v>2044669</v>
      </c>
      <c r="AE2475" s="17">
        <f t="shared" si="116"/>
        <v>0</v>
      </c>
      <c r="AF2475" s="10" t="s">
        <v>5904</v>
      </c>
      <c r="AG2475" s="5" t="s">
        <v>1157</v>
      </c>
      <c r="AH2475" s="5" t="s">
        <v>4717</v>
      </c>
      <c r="AI2475" s="5" t="s">
        <v>5905</v>
      </c>
      <c r="AJ2475" s="5" t="s">
        <v>5460</v>
      </c>
    </row>
    <row r="2476" spans="1:36" ht="10" customHeight="1" x14ac:dyDescent="0.2">
      <c r="A2476" s="5" t="s">
        <v>5448</v>
      </c>
      <c r="B2476" s="5" t="s">
        <v>4713</v>
      </c>
      <c r="D2476" s="5" t="s">
        <v>5906</v>
      </c>
      <c r="E2476" s="10" t="s">
        <v>57</v>
      </c>
      <c r="F2476" s="5" t="s">
        <v>5903</v>
      </c>
      <c r="I2476" s="11">
        <v>2</v>
      </c>
      <c r="J2476" s="5" t="s">
        <v>4328</v>
      </c>
      <c r="K2476" s="12"/>
      <c r="O2476" s="12"/>
      <c r="P2476" s="13">
        <v>1758846</v>
      </c>
      <c r="Q2476" s="13">
        <v>1847552</v>
      </c>
      <c r="S2476" s="13">
        <v>1835038</v>
      </c>
      <c r="AC2476" s="16" t="str">
        <f t="shared" si="114"/>
        <v/>
      </c>
      <c r="AD2476" s="17">
        <f t="shared" si="115"/>
        <v>1835038</v>
      </c>
      <c r="AE2476" s="17">
        <f t="shared" si="116"/>
        <v>0</v>
      </c>
      <c r="AF2476" s="10" t="s">
        <v>5907</v>
      </c>
      <c r="AG2476" s="5" t="s">
        <v>1157</v>
      </c>
      <c r="AH2476" s="5" t="s">
        <v>4717</v>
      </c>
      <c r="AI2476" s="5" t="s">
        <v>5905</v>
      </c>
      <c r="AJ2476" s="5" t="s">
        <v>5460</v>
      </c>
    </row>
    <row r="2477" spans="1:36" ht="10" customHeight="1" x14ac:dyDescent="0.2">
      <c r="A2477" s="5" t="s">
        <v>5448</v>
      </c>
      <c r="B2477" s="5" t="s">
        <v>4713</v>
      </c>
      <c r="D2477" s="5" t="s">
        <v>5908</v>
      </c>
      <c r="E2477" s="10" t="s">
        <v>57</v>
      </c>
      <c r="F2477" s="5" t="s">
        <v>5903</v>
      </c>
      <c r="I2477" s="11">
        <v>2</v>
      </c>
      <c r="J2477" s="5" t="s">
        <v>4328</v>
      </c>
      <c r="K2477" s="12"/>
      <c r="O2477" s="12"/>
      <c r="P2477" s="13">
        <v>1558318</v>
      </c>
      <c r="Q2477" s="13">
        <v>1767890</v>
      </c>
      <c r="S2477" s="13">
        <v>1587466</v>
      </c>
      <c r="AC2477" s="16" t="str">
        <f t="shared" si="114"/>
        <v/>
      </c>
      <c r="AD2477" s="17">
        <f t="shared" si="115"/>
        <v>1587466</v>
      </c>
      <c r="AE2477" s="17">
        <f t="shared" si="116"/>
        <v>0</v>
      </c>
      <c r="AF2477" s="10" t="s">
        <v>5909</v>
      </c>
      <c r="AG2477" s="5" t="s">
        <v>1157</v>
      </c>
      <c r="AH2477" s="5" t="s">
        <v>4717</v>
      </c>
      <c r="AI2477" s="5" t="s">
        <v>5905</v>
      </c>
      <c r="AJ2477" s="5" t="s">
        <v>5460</v>
      </c>
    </row>
    <row r="2478" spans="1:36" ht="10" customHeight="1" x14ac:dyDescent="0.2">
      <c r="A2478" s="5" t="s">
        <v>5448</v>
      </c>
      <c r="B2478" s="5" t="s">
        <v>4713</v>
      </c>
      <c r="D2478" s="5" t="s">
        <v>5910</v>
      </c>
      <c r="E2478" s="10" t="s">
        <v>57</v>
      </c>
      <c r="F2478" s="5" t="s">
        <v>5903</v>
      </c>
      <c r="I2478" s="11">
        <v>2</v>
      </c>
      <c r="J2478" s="5" t="s">
        <v>4328</v>
      </c>
      <c r="K2478" s="12"/>
      <c r="O2478" s="12"/>
      <c r="P2478" s="13">
        <v>148982</v>
      </c>
      <c r="Q2478" s="13">
        <v>26569</v>
      </c>
      <c r="S2478" s="13">
        <v>192640</v>
      </c>
      <c r="AC2478" s="16" t="str">
        <f t="shared" si="114"/>
        <v/>
      </c>
      <c r="AD2478" s="17">
        <f t="shared" si="115"/>
        <v>192640</v>
      </c>
      <c r="AE2478" s="17">
        <f t="shared" si="116"/>
        <v>0</v>
      </c>
      <c r="AF2478" s="10" t="s">
        <v>5911</v>
      </c>
      <c r="AG2478" s="5" t="s">
        <v>1157</v>
      </c>
      <c r="AH2478" s="5" t="s">
        <v>4717</v>
      </c>
      <c r="AI2478" s="5" t="s">
        <v>5905</v>
      </c>
      <c r="AJ2478" s="5" t="s">
        <v>5460</v>
      </c>
    </row>
    <row r="2479" spans="1:36" ht="10" customHeight="1" x14ac:dyDescent="0.2">
      <c r="A2479" s="5" t="s">
        <v>5448</v>
      </c>
      <c r="B2479" s="5" t="s">
        <v>4713</v>
      </c>
      <c r="D2479" s="5" t="s">
        <v>5912</v>
      </c>
      <c r="E2479" s="10" t="s">
        <v>57</v>
      </c>
      <c r="F2479" s="5" t="s">
        <v>5903</v>
      </c>
      <c r="I2479" s="11">
        <v>2</v>
      </c>
      <c r="J2479" s="5" t="s">
        <v>4328</v>
      </c>
      <c r="K2479" s="12"/>
      <c r="O2479" s="12"/>
      <c r="P2479" s="13">
        <v>51546</v>
      </c>
      <c r="Q2479" s="13">
        <v>53093</v>
      </c>
      <c r="S2479" s="13">
        <v>54932</v>
      </c>
      <c r="AC2479" s="16" t="str">
        <f t="shared" si="114"/>
        <v/>
      </c>
      <c r="AD2479" s="17">
        <f t="shared" si="115"/>
        <v>54932</v>
      </c>
      <c r="AE2479" s="17">
        <f t="shared" si="116"/>
        <v>0</v>
      </c>
      <c r="AF2479" s="10" t="s">
        <v>5913</v>
      </c>
      <c r="AG2479" s="5" t="s">
        <v>1157</v>
      </c>
      <c r="AH2479" s="5" t="s">
        <v>4717</v>
      </c>
      <c r="AI2479" s="5" t="s">
        <v>5905</v>
      </c>
      <c r="AJ2479" s="5" t="s">
        <v>5460</v>
      </c>
    </row>
    <row r="2480" spans="1:36" ht="10" customHeight="1" x14ac:dyDescent="0.2">
      <c r="A2480" s="5" t="s">
        <v>5448</v>
      </c>
      <c r="B2480" s="5" t="s">
        <v>4713</v>
      </c>
      <c r="D2480" s="5" t="s">
        <v>5914</v>
      </c>
      <c r="E2480" s="10" t="s">
        <v>57</v>
      </c>
      <c r="F2480" s="5" t="s">
        <v>5903</v>
      </c>
      <c r="I2480" s="11">
        <v>2</v>
      </c>
      <c r="J2480" s="5" t="s">
        <v>4328</v>
      </c>
      <c r="K2480" s="12"/>
      <c r="O2480" s="12"/>
      <c r="P2480" s="13">
        <v>219777</v>
      </c>
      <c r="Q2480" s="13">
        <v>243025</v>
      </c>
      <c r="S2480" s="13">
        <v>209631</v>
      </c>
      <c r="AC2480" s="16" t="str">
        <f t="shared" si="114"/>
        <v/>
      </c>
      <c r="AD2480" s="17">
        <f t="shared" si="115"/>
        <v>209631</v>
      </c>
      <c r="AE2480" s="17">
        <f t="shared" si="116"/>
        <v>0</v>
      </c>
      <c r="AF2480" s="10" t="s">
        <v>5915</v>
      </c>
      <c r="AG2480" s="5" t="s">
        <v>1157</v>
      </c>
      <c r="AH2480" s="5" t="s">
        <v>4717</v>
      </c>
      <c r="AI2480" s="5" t="s">
        <v>5905</v>
      </c>
      <c r="AJ2480" s="5" t="s">
        <v>5460</v>
      </c>
    </row>
    <row r="2481" spans="1:36" ht="10" customHeight="1" x14ac:dyDescent="0.2">
      <c r="A2481" s="5" t="s">
        <v>5448</v>
      </c>
      <c r="B2481" s="5" t="s">
        <v>4713</v>
      </c>
      <c r="D2481" s="5" t="s">
        <v>5916</v>
      </c>
      <c r="E2481" s="10" t="s">
        <v>57</v>
      </c>
      <c r="F2481" s="5" t="s">
        <v>5903</v>
      </c>
      <c r="I2481" s="11">
        <v>2</v>
      </c>
      <c r="J2481" s="5" t="s">
        <v>4328</v>
      </c>
      <c r="K2481" s="12"/>
      <c r="O2481" s="12"/>
      <c r="P2481" s="13">
        <v>120379</v>
      </c>
      <c r="Q2481" s="13">
        <v>133113</v>
      </c>
      <c r="S2481" s="13">
        <v>114822</v>
      </c>
      <c r="AC2481" s="16" t="str">
        <f t="shared" si="114"/>
        <v/>
      </c>
      <c r="AD2481" s="17">
        <f t="shared" si="115"/>
        <v>114822</v>
      </c>
      <c r="AE2481" s="17">
        <f t="shared" si="116"/>
        <v>0</v>
      </c>
      <c r="AF2481" s="10" t="s">
        <v>5917</v>
      </c>
      <c r="AG2481" s="5" t="s">
        <v>1157</v>
      </c>
      <c r="AH2481" s="5" t="s">
        <v>4717</v>
      </c>
      <c r="AI2481" s="5" t="s">
        <v>5905</v>
      </c>
      <c r="AJ2481" s="5" t="s">
        <v>5460</v>
      </c>
    </row>
    <row r="2482" spans="1:36" ht="10" customHeight="1" x14ac:dyDescent="0.2">
      <c r="A2482" s="5" t="s">
        <v>5448</v>
      </c>
      <c r="B2482" s="5" t="s">
        <v>4713</v>
      </c>
      <c r="D2482" s="5" t="s">
        <v>5918</v>
      </c>
      <c r="E2482" s="10" t="s">
        <v>57</v>
      </c>
      <c r="F2482" s="5" t="s">
        <v>5903</v>
      </c>
      <c r="I2482" s="11">
        <v>2</v>
      </c>
      <c r="J2482" s="5" t="s">
        <v>4328</v>
      </c>
      <c r="K2482" s="12"/>
      <c r="O2482" s="12"/>
      <c r="P2482" s="13">
        <v>53472</v>
      </c>
      <c r="Q2482" s="13">
        <v>59128</v>
      </c>
      <c r="S2482" s="13">
        <v>51003</v>
      </c>
      <c r="AC2482" s="16" t="str">
        <f t="shared" si="114"/>
        <v/>
      </c>
      <c r="AD2482" s="17">
        <f t="shared" si="115"/>
        <v>51003</v>
      </c>
      <c r="AE2482" s="17">
        <f t="shared" si="116"/>
        <v>0</v>
      </c>
      <c r="AF2482" s="10" t="s">
        <v>5919</v>
      </c>
      <c r="AG2482" s="5" t="s">
        <v>1157</v>
      </c>
      <c r="AH2482" s="5" t="s">
        <v>4717</v>
      </c>
      <c r="AI2482" s="5" t="s">
        <v>5905</v>
      </c>
      <c r="AJ2482" s="5" t="s">
        <v>5460</v>
      </c>
    </row>
    <row r="2483" spans="1:36" ht="10" customHeight="1" x14ac:dyDescent="0.2">
      <c r="A2483" s="5" t="s">
        <v>5448</v>
      </c>
      <c r="B2483" s="5" t="s">
        <v>4713</v>
      </c>
      <c r="D2483" s="5" t="s">
        <v>5920</v>
      </c>
      <c r="E2483" s="10" t="s">
        <v>57</v>
      </c>
      <c r="F2483" s="5" t="s">
        <v>5903</v>
      </c>
      <c r="I2483" s="11">
        <v>2</v>
      </c>
      <c r="J2483" s="5" t="s">
        <v>4328</v>
      </c>
      <c r="K2483" s="12"/>
      <c r="O2483" s="12"/>
      <c r="P2483" s="13">
        <v>31578</v>
      </c>
      <c r="Q2483" s="13">
        <v>34918</v>
      </c>
      <c r="S2483" s="13">
        <v>30120</v>
      </c>
      <c r="AC2483" s="16" t="str">
        <f t="shared" si="114"/>
        <v/>
      </c>
      <c r="AD2483" s="17">
        <f t="shared" si="115"/>
        <v>30120</v>
      </c>
      <c r="AE2483" s="17">
        <f t="shared" si="116"/>
        <v>0</v>
      </c>
      <c r="AF2483" s="10" t="s">
        <v>5921</v>
      </c>
      <c r="AG2483" s="5" t="s">
        <v>1157</v>
      </c>
      <c r="AH2483" s="5" t="s">
        <v>4717</v>
      </c>
      <c r="AI2483" s="5" t="s">
        <v>5905</v>
      </c>
      <c r="AJ2483" s="5" t="s">
        <v>5460</v>
      </c>
    </row>
    <row r="2484" spans="1:36" ht="10" customHeight="1" x14ac:dyDescent="0.2">
      <c r="A2484" s="5" t="s">
        <v>5448</v>
      </c>
      <c r="B2484" s="5" t="s">
        <v>4713</v>
      </c>
      <c r="D2484" s="5" t="s">
        <v>5922</v>
      </c>
      <c r="E2484" s="10" t="s">
        <v>57</v>
      </c>
      <c r="F2484" s="5" t="s">
        <v>5903</v>
      </c>
      <c r="I2484" s="11">
        <v>2</v>
      </c>
      <c r="J2484" s="5" t="s">
        <v>4328</v>
      </c>
      <c r="K2484" s="12"/>
      <c r="O2484" s="12"/>
      <c r="P2484" s="13">
        <v>0</v>
      </c>
      <c r="Q2484" s="13">
        <v>0</v>
      </c>
      <c r="S2484" s="13">
        <v>0</v>
      </c>
      <c r="AC2484" s="16" t="str">
        <f t="shared" si="114"/>
        <v/>
      </c>
      <c r="AD2484" s="17">
        <f t="shared" si="115"/>
        <v>0</v>
      </c>
      <c r="AE2484" s="17">
        <f t="shared" si="116"/>
        <v>0</v>
      </c>
      <c r="AF2484" s="10" t="s">
        <v>5923</v>
      </c>
      <c r="AG2484" s="5" t="s">
        <v>1157</v>
      </c>
      <c r="AH2484" s="5" t="s">
        <v>4717</v>
      </c>
      <c r="AI2484" s="5" t="s">
        <v>5905</v>
      </c>
      <c r="AJ2484" s="5" t="s">
        <v>5460</v>
      </c>
    </row>
    <row r="2485" spans="1:36" ht="10" customHeight="1" x14ac:dyDescent="0.2">
      <c r="A2485" s="5" t="s">
        <v>5448</v>
      </c>
      <c r="B2485" s="5" t="s">
        <v>4713</v>
      </c>
      <c r="D2485" s="5" t="s">
        <v>5924</v>
      </c>
      <c r="E2485" s="10" t="s">
        <v>57</v>
      </c>
      <c r="F2485" s="5" t="s">
        <v>5903</v>
      </c>
      <c r="I2485" s="11">
        <v>2</v>
      </c>
      <c r="J2485" s="5" t="s">
        <v>4328</v>
      </c>
      <c r="K2485" s="12"/>
      <c r="O2485" s="12"/>
      <c r="P2485" s="13">
        <v>14348</v>
      </c>
      <c r="Q2485" s="13">
        <v>15866</v>
      </c>
      <c r="S2485" s="13">
        <v>13686</v>
      </c>
      <c r="AC2485" s="16" t="str">
        <f t="shared" si="114"/>
        <v/>
      </c>
      <c r="AD2485" s="17">
        <f t="shared" si="115"/>
        <v>13686</v>
      </c>
      <c r="AE2485" s="17">
        <f t="shared" si="116"/>
        <v>0</v>
      </c>
      <c r="AF2485" s="10" t="s">
        <v>5925</v>
      </c>
      <c r="AG2485" s="5" t="s">
        <v>1157</v>
      </c>
      <c r="AH2485" s="5" t="s">
        <v>4717</v>
      </c>
      <c r="AI2485" s="5" t="s">
        <v>5905</v>
      </c>
      <c r="AJ2485" s="5" t="s">
        <v>5460</v>
      </c>
    </row>
    <row r="2486" spans="1:36" ht="10" customHeight="1" x14ac:dyDescent="0.2">
      <c r="A2486" s="5" t="s">
        <v>5448</v>
      </c>
      <c r="B2486" s="5" t="s">
        <v>4713</v>
      </c>
      <c r="D2486" s="5" t="s">
        <v>5926</v>
      </c>
      <c r="E2486" s="10" t="s">
        <v>57</v>
      </c>
      <c r="F2486" s="5" t="s">
        <v>5903</v>
      </c>
      <c r="I2486" s="11">
        <v>2</v>
      </c>
      <c r="J2486" s="5" t="s">
        <v>4328</v>
      </c>
      <c r="K2486" s="12"/>
      <c r="O2486" s="12"/>
      <c r="P2486" s="13">
        <v>4325</v>
      </c>
      <c r="Q2486" s="13">
        <v>4783</v>
      </c>
      <c r="S2486" s="13">
        <v>4125</v>
      </c>
      <c r="AC2486" s="16" t="str">
        <f t="shared" si="114"/>
        <v/>
      </c>
      <c r="AD2486" s="17">
        <f t="shared" si="115"/>
        <v>4125</v>
      </c>
      <c r="AE2486" s="17">
        <f t="shared" si="116"/>
        <v>0</v>
      </c>
      <c r="AF2486" s="10" t="s">
        <v>5927</v>
      </c>
      <c r="AG2486" s="5" t="s">
        <v>1157</v>
      </c>
      <c r="AH2486" s="5" t="s">
        <v>4717</v>
      </c>
      <c r="AI2486" s="5" t="s">
        <v>5905</v>
      </c>
      <c r="AJ2486" s="5" t="s">
        <v>5460</v>
      </c>
    </row>
    <row r="2487" spans="1:36" ht="10" customHeight="1" x14ac:dyDescent="0.2">
      <c r="A2487" s="5" t="s">
        <v>5448</v>
      </c>
      <c r="B2487" s="5" t="s">
        <v>4713</v>
      </c>
      <c r="D2487" s="5" t="s">
        <v>5928</v>
      </c>
      <c r="E2487" s="10" t="s">
        <v>57</v>
      </c>
      <c r="F2487" s="5" t="s">
        <v>5903</v>
      </c>
      <c r="I2487" s="11">
        <v>2</v>
      </c>
      <c r="J2487" s="5" t="s">
        <v>4328</v>
      </c>
      <c r="K2487" s="12"/>
      <c r="O2487" s="12"/>
      <c r="P2487" s="13">
        <v>55983</v>
      </c>
      <c r="Q2487" s="13">
        <v>61905</v>
      </c>
      <c r="S2487" s="13">
        <v>53399</v>
      </c>
      <c r="AC2487" s="16" t="str">
        <f t="shared" si="114"/>
        <v/>
      </c>
      <c r="AD2487" s="17">
        <f t="shared" si="115"/>
        <v>53399</v>
      </c>
      <c r="AE2487" s="17">
        <f t="shared" si="116"/>
        <v>0</v>
      </c>
      <c r="AF2487" s="10" t="s">
        <v>5929</v>
      </c>
      <c r="AG2487" s="5" t="s">
        <v>1157</v>
      </c>
      <c r="AH2487" s="5" t="s">
        <v>4717</v>
      </c>
      <c r="AI2487" s="5" t="s">
        <v>5905</v>
      </c>
      <c r="AJ2487" s="5" t="s">
        <v>5460</v>
      </c>
    </row>
    <row r="2488" spans="1:36" ht="10" customHeight="1" x14ac:dyDescent="0.2">
      <c r="A2488" s="5" t="s">
        <v>5448</v>
      </c>
      <c r="B2488" s="5" t="s">
        <v>4713</v>
      </c>
      <c r="D2488" s="5" t="s">
        <v>5930</v>
      </c>
      <c r="E2488" s="10" t="s">
        <v>57</v>
      </c>
      <c r="F2488" s="5" t="s">
        <v>5903</v>
      </c>
      <c r="I2488" s="11">
        <v>2</v>
      </c>
      <c r="J2488" s="5" t="s">
        <v>4328</v>
      </c>
      <c r="K2488" s="12"/>
      <c r="O2488" s="12"/>
      <c r="P2488" s="13">
        <v>55919</v>
      </c>
      <c r="Q2488" s="13">
        <v>61834</v>
      </c>
      <c r="S2488" s="13">
        <v>53338</v>
      </c>
      <c r="AC2488" s="16" t="str">
        <f t="shared" si="114"/>
        <v/>
      </c>
      <c r="AD2488" s="17">
        <f t="shared" si="115"/>
        <v>53338</v>
      </c>
      <c r="AE2488" s="17">
        <f t="shared" si="116"/>
        <v>0</v>
      </c>
      <c r="AF2488" s="10" t="s">
        <v>5931</v>
      </c>
      <c r="AG2488" s="5" t="s">
        <v>1157</v>
      </c>
      <c r="AH2488" s="5" t="s">
        <v>4717</v>
      </c>
      <c r="AI2488" s="5" t="s">
        <v>5905</v>
      </c>
      <c r="AJ2488" s="5" t="s">
        <v>5460</v>
      </c>
    </row>
    <row r="2489" spans="1:36" ht="10" customHeight="1" x14ac:dyDescent="0.2">
      <c r="A2489" s="5" t="s">
        <v>5448</v>
      </c>
      <c r="B2489" s="5" t="s">
        <v>4713</v>
      </c>
      <c r="D2489" s="5" t="s">
        <v>5932</v>
      </c>
      <c r="E2489" s="10" t="s">
        <v>57</v>
      </c>
      <c r="F2489" s="5" t="s">
        <v>5903</v>
      </c>
      <c r="I2489" s="11">
        <v>2</v>
      </c>
      <c r="J2489" s="5" t="s">
        <v>4328</v>
      </c>
      <c r="K2489" s="12"/>
      <c r="O2489" s="12"/>
      <c r="P2489" s="13">
        <v>31</v>
      </c>
      <c r="Q2489" s="13">
        <v>34</v>
      </c>
      <c r="S2489" s="13">
        <v>30</v>
      </c>
      <c r="AC2489" s="16" t="str">
        <f t="shared" si="114"/>
        <v/>
      </c>
      <c r="AD2489" s="17">
        <f t="shared" si="115"/>
        <v>30</v>
      </c>
      <c r="AE2489" s="17">
        <f t="shared" si="116"/>
        <v>0</v>
      </c>
      <c r="AF2489" s="10" t="s">
        <v>5933</v>
      </c>
      <c r="AG2489" s="5" t="s">
        <v>1157</v>
      </c>
      <c r="AH2489" s="5" t="s">
        <v>4717</v>
      </c>
      <c r="AI2489" s="5" t="s">
        <v>5905</v>
      </c>
      <c r="AJ2489" s="5" t="s">
        <v>5460</v>
      </c>
    </row>
    <row r="2490" spans="1:36" ht="10" customHeight="1" x14ac:dyDescent="0.2">
      <c r="A2490" s="5" t="s">
        <v>5448</v>
      </c>
      <c r="B2490" s="5" t="s">
        <v>4713</v>
      </c>
      <c r="D2490" s="5" t="s">
        <v>5934</v>
      </c>
      <c r="E2490" s="10" t="s">
        <v>57</v>
      </c>
      <c r="F2490" s="5" t="s">
        <v>5903</v>
      </c>
      <c r="I2490" s="11">
        <v>2</v>
      </c>
      <c r="J2490" s="5" t="s">
        <v>4328</v>
      </c>
      <c r="K2490" s="12"/>
      <c r="O2490" s="12"/>
      <c r="P2490" s="13">
        <v>33</v>
      </c>
      <c r="Q2490" s="13">
        <v>36</v>
      </c>
      <c r="S2490" s="13">
        <v>31</v>
      </c>
      <c r="AC2490" s="16" t="str">
        <f t="shared" si="114"/>
        <v/>
      </c>
      <c r="AD2490" s="17">
        <f t="shared" si="115"/>
        <v>31</v>
      </c>
      <c r="AE2490" s="17">
        <f t="shared" si="116"/>
        <v>0</v>
      </c>
      <c r="AF2490" s="10" t="s">
        <v>5935</v>
      </c>
      <c r="AG2490" s="5" t="s">
        <v>1157</v>
      </c>
      <c r="AH2490" s="5" t="s">
        <v>4717</v>
      </c>
      <c r="AI2490" s="5" t="s">
        <v>5905</v>
      </c>
      <c r="AJ2490" s="5" t="s">
        <v>5460</v>
      </c>
    </row>
    <row r="2491" spans="1:36" ht="10" customHeight="1" x14ac:dyDescent="0.2">
      <c r="A2491" s="5" t="s">
        <v>5448</v>
      </c>
      <c r="B2491" s="5" t="s">
        <v>4713</v>
      </c>
      <c r="D2491" s="5" t="s">
        <v>5936</v>
      </c>
      <c r="E2491" s="10" t="s">
        <v>48</v>
      </c>
      <c r="I2491" s="11">
        <v>2</v>
      </c>
      <c r="J2491" s="5" t="s">
        <v>4328</v>
      </c>
      <c r="K2491" s="12"/>
      <c r="O2491" s="12"/>
      <c r="P2491" s="13">
        <v>2038931</v>
      </c>
      <c r="Q2491" s="13">
        <v>2157265</v>
      </c>
      <c r="S2491" s="13">
        <v>2102193</v>
      </c>
      <c r="AC2491" s="16" t="str">
        <f t="shared" si="114"/>
        <v>ADD</v>
      </c>
      <c r="AD2491" s="17">
        <f t="shared" si="115"/>
        <v>2102193</v>
      </c>
      <c r="AE2491" s="17">
        <f t="shared" si="116"/>
        <v>0</v>
      </c>
      <c r="AF2491" s="10" t="s">
        <v>5937</v>
      </c>
      <c r="AG2491" s="5" t="s">
        <v>1157</v>
      </c>
      <c r="AH2491" s="5" t="s">
        <v>4717</v>
      </c>
      <c r="AI2491" s="5" t="s">
        <v>5905</v>
      </c>
      <c r="AJ2491" s="5" t="s">
        <v>5460</v>
      </c>
    </row>
    <row r="2492" spans="1:36" ht="10" customHeight="1" x14ac:dyDescent="0.2">
      <c r="A2492" s="5" t="s">
        <v>5448</v>
      </c>
      <c r="B2492" s="5" t="s">
        <v>4713</v>
      </c>
      <c r="D2492" s="5" t="s">
        <v>5938</v>
      </c>
      <c r="E2492" s="10" t="s">
        <v>349</v>
      </c>
      <c r="F2492" s="5" t="s">
        <v>5903</v>
      </c>
      <c r="I2492" s="11">
        <v>2</v>
      </c>
      <c r="J2492" s="5" t="s">
        <v>4328</v>
      </c>
      <c r="K2492" s="12"/>
      <c r="O2492" s="12"/>
      <c r="P2492" s="13">
        <v>718374</v>
      </c>
      <c r="Q2492" s="13">
        <v>825790</v>
      </c>
      <c r="S2492" s="13">
        <v>831814</v>
      </c>
      <c r="AC2492" s="16" t="str">
        <f t="shared" si="114"/>
        <v>ALT</v>
      </c>
      <c r="AD2492" s="17">
        <f t="shared" si="115"/>
        <v>831814</v>
      </c>
      <c r="AE2492" s="17">
        <f t="shared" si="116"/>
        <v>0</v>
      </c>
      <c r="AF2492" s="10" t="s">
        <v>5939</v>
      </c>
      <c r="AG2492" s="5" t="s">
        <v>1170</v>
      </c>
      <c r="AH2492" s="5" t="s">
        <v>4717</v>
      </c>
      <c r="AI2492" s="5" t="s">
        <v>5905</v>
      </c>
      <c r="AJ2492" s="5" t="s">
        <v>5496</v>
      </c>
    </row>
    <row r="2493" spans="1:36" ht="10" customHeight="1" x14ac:dyDescent="0.2">
      <c r="A2493" s="5" t="s">
        <v>5448</v>
      </c>
      <c r="B2493" s="5" t="s">
        <v>4713</v>
      </c>
      <c r="D2493" s="5" t="s">
        <v>5940</v>
      </c>
      <c r="E2493" s="10" t="s">
        <v>349</v>
      </c>
      <c r="F2493" s="5" t="s">
        <v>5903</v>
      </c>
      <c r="I2493" s="11">
        <v>2</v>
      </c>
      <c r="J2493" s="5" t="s">
        <v>4328</v>
      </c>
      <c r="K2493" s="12"/>
      <c r="O2493" s="12"/>
      <c r="P2493" s="13">
        <v>14782</v>
      </c>
      <c r="Q2493" s="13">
        <v>15226</v>
      </c>
      <c r="S2493" s="13">
        <v>15753</v>
      </c>
      <c r="AC2493" s="16" t="str">
        <f t="shared" si="114"/>
        <v>ALT</v>
      </c>
      <c r="AD2493" s="17">
        <f t="shared" si="115"/>
        <v>15753</v>
      </c>
      <c r="AE2493" s="17">
        <f t="shared" si="116"/>
        <v>0</v>
      </c>
      <c r="AF2493" s="10" t="s">
        <v>5941</v>
      </c>
      <c r="AG2493" s="5" t="s">
        <v>1170</v>
      </c>
      <c r="AH2493" s="5" t="s">
        <v>4717</v>
      </c>
      <c r="AI2493" s="5" t="s">
        <v>5905</v>
      </c>
      <c r="AJ2493" s="5" t="s">
        <v>5496</v>
      </c>
    </row>
    <row r="2494" spans="1:36" ht="10" customHeight="1" x14ac:dyDescent="0.2">
      <c r="A2494" s="5" t="s">
        <v>5448</v>
      </c>
      <c r="B2494" s="5" t="s">
        <v>4713</v>
      </c>
      <c r="D2494" s="5" t="s">
        <v>5942</v>
      </c>
      <c r="E2494" s="10" t="s">
        <v>349</v>
      </c>
      <c r="F2494" s="5" t="s">
        <v>5903</v>
      </c>
      <c r="I2494" s="11">
        <v>2</v>
      </c>
      <c r="J2494" s="5" t="s">
        <v>4328</v>
      </c>
      <c r="K2494" s="12"/>
      <c r="O2494" s="12"/>
      <c r="P2494" s="13">
        <v>274015</v>
      </c>
      <c r="Q2494" s="13">
        <v>255236</v>
      </c>
      <c r="S2494" s="13">
        <v>170139</v>
      </c>
      <c r="AC2494" s="16" t="str">
        <f t="shared" si="114"/>
        <v>ALT</v>
      </c>
      <c r="AD2494" s="17">
        <f t="shared" si="115"/>
        <v>170139</v>
      </c>
      <c r="AE2494" s="17">
        <f t="shared" si="116"/>
        <v>0</v>
      </c>
      <c r="AF2494" s="10" t="s">
        <v>5943</v>
      </c>
      <c r="AG2494" s="5" t="s">
        <v>1170</v>
      </c>
      <c r="AH2494" s="5" t="s">
        <v>4717</v>
      </c>
      <c r="AI2494" s="5" t="s">
        <v>5905</v>
      </c>
      <c r="AJ2494" s="5" t="s">
        <v>5496</v>
      </c>
    </row>
    <row r="2495" spans="1:36" ht="10" customHeight="1" x14ac:dyDescent="0.2">
      <c r="A2495" s="5" t="s">
        <v>5448</v>
      </c>
      <c r="B2495" s="5" t="s">
        <v>4713</v>
      </c>
      <c r="D2495" s="5" t="s">
        <v>5944</v>
      </c>
      <c r="E2495" s="10" t="s">
        <v>349</v>
      </c>
      <c r="F2495" s="5" t="s">
        <v>5903</v>
      </c>
      <c r="I2495" s="11">
        <v>2</v>
      </c>
      <c r="J2495" s="5" t="s">
        <v>4328</v>
      </c>
      <c r="K2495" s="12"/>
      <c r="O2495" s="12"/>
      <c r="P2495" s="13">
        <v>71531</v>
      </c>
      <c r="Q2495" s="13">
        <v>89606</v>
      </c>
      <c r="S2495" s="13">
        <v>73761</v>
      </c>
      <c r="AC2495" s="16" t="str">
        <f t="shared" si="114"/>
        <v>ALT</v>
      </c>
      <c r="AD2495" s="17">
        <f t="shared" si="115"/>
        <v>73761</v>
      </c>
      <c r="AE2495" s="17">
        <f t="shared" si="116"/>
        <v>0</v>
      </c>
      <c r="AF2495" s="10" t="s">
        <v>5945</v>
      </c>
      <c r="AG2495" s="5" t="s">
        <v>1170</v>
      </c>
      <c r="AH2495" s="5" t="s">
        <v>4717</v>
      </c>
      <c r="AI2495" s="5" t="s">
        <v>5905</v>
      </c>
      <c r="AJ2495" s="5" t="s">
        <v>5496</v>
      </c>
    </row>
    <row r="2496" spans="1:36" ht="10" customHeight="1" x14ac:dyDescent="0.2">
      <c r="A2496" s="5" t="s">
        <v>5448</v>
      </c>
      <c r="B2496" s="5" t="s">
        <v>4713</v>
      </c>
      <c r="D2496" s="5" t="s">
        <v>5946</v>
      </c>
      <c r="E2496" s="10" t="s">
        <v>349</v>
      </c>
      <c r="F2496" s="5" t="s">
        <v>5903</v>
      </c>
      <c r="I2496" s="11">
        <v>2</v>
      </c>
      <c r="J2496" s="5" t="s">
        <v>4328</v>
      </c>
      <c r="K2496" s="12"/>
      <c r="O2496" s="12"/>
      <c r="P2496" s="13">
        <v>25527</v>
      </c>
      <c r="Q2496" s="13">
        <v>41797</v>
      </c>
      <c r="S2496" s="13">
        <v>31891</v>
      </c>
      <c r="AC2496" s="16" t="str">
        <f t="shared" si="114"/>
        <v>ALT</v>
      </c>
      <c r="AD2496" s="17">
        <f t="shared" si="115"/>
        <v>31891</v>
      </c>
      <c r="AE2496" s="17">
        <f t="shared" si="116"/>
        <v>0</v>
      </c>
      <c r="AF2496" s="10" t="s">
        <v>5947</v>
      </c>
      <c r="AG2496" s="5" t="s">
        <v>1170</v>
      </c>
      <c r="AH2496" s="5" t="s">
        <v>4717</v>
      </c>
      <c r="AI2496" s="5" t="s">
        <v>5905</v>
      </c>
      <c r="AJ2496" s="5" t="s">
        <v>5496</v>
      </c>
    </row>
    <row r="2497" spans="1:36" ht="10" customHeight="1" x14ac:dyDescent="0.2">
      <c r="A2497" s="5" t="s">
        <v>5448</v>
      </c>
      <c r="B2497" s="5" t="s">
        <v>4713</v>
      </c>
      <c r="D2497" s="5" t="s">
        <v>5948</v>
      </c>
      <c r="E2497" s="10" t="s">
        <v>349</v>
      </c>
      <c r="F2497" s="5" t="s">
        <v>5903</v>
      </c>
      <c r="I2497" s="11">
        <v>2</v>
      </c>
      <c r="J2497" s="5" t="s">
        <v>4328</v>
      </c>
      <c r="K2497" s="12"/>
      <c r="O2497" s="12"/>
      <c r="P2497" s="13">
        <v>635666</v>
      </c>
      <c r="Q2497" s="13">
        <v>643370</v>
      </c>
      <c r="S2497" s="13">
        <v>689712</v>
      </c>
      <c r="AC2497" s="16" t="str">
        <f t="shared" si="114"/>
        <v>ALT</v>
      </c>
      <c r="AD2497" s="17">
        <f t="shared" si="115"/>
        <v>689712</v>
      </c>
      <c r="AE2497" s="17">
        <f t="shared" si="116"/>
        <v>0</v>
      </c>
      <c r="AF2497" s="10" t="s">
        <v>5949</v>
      </c>
      <c r="AG2497" s="5" t="s">
        <v>1170</v>
      </c>
      <c r="AH2497" s="5" t="s">
        <v>4717</v>
      </c>
      <c r="AI2497" s="5" t="s">
        <v>5905</v>
      </c>
      <c r="AJ2497" s="5" t="s">
        <v>5496</v>
      </c>
    </row>
    <row r="2498" spans="1:36" ht="10" customHeight="1" x14ac:dyDescent="0.2">
      <c r="A2498" s="5" t="s">
        <v>5448</v>
      </c>
      <c r="B2498" s="5" t="s">
        <v>4713</v>
      </c>
      <c r="D2498" s="5" t="s">
        <v>5950</v>
      </c>
      <c r="E2498" s="10" t="s">
        <v>349</v>
      </c>
      <c r="F2498" s="5" t="s">
        <v>5903</v>
      </c>
      <c r="I2498" s="11">
        <v>2</v>
      </c>
      <c r="J2498" s="5" t="s">
        <v>4328</v>
      </c>
      <c r="K2498" s="12"/>
      <c r="O2498" s="12"/>
      <c r="P2498" s="13">
        <v>36764</v>
      </c>
      <c r="Q2498" s="13">
        <v>37867</v>
      </c>
      <c r="S2498" s="13">
        <v>39179</v>
      </c>
      <c r="AC2498" s="16" t="str">
        <f t="shared" si="114"/>
        <v>ALT</v>
      </c>
      <c r="AD2498" s="17">
        <f t="shared" si="115"/>
        <v>39179</v>
      </c>
      <c r="AE2498" s="17">
        <f t="shared" si="116"/>
        <v>0</v>
      </c>
      <c r="AF2498" s="10" t="s">
        <v>5951</v>
      </c>
      <c r="AG2498" s="5" t="s">
        <v>1170</v>
      </c>
      <c r="AH2498" s="5" t="s">
        <v>4717</v>
      </c>
      <c r="AI2498" s="5" t="s">
        <v>5905</v>
      </c>
      <c r="AJ2498" s="5" t="s">
        <v>5496</v>
      </c>
    </row>
    <row r="2499" spans="1:36" ht="10" customHeight="1" x14ac:dyDescent="0.2">
      <c r="A2499" s="5" t="s">
        <v>5448</v>
      </c>
      <c r="B2499" s="5" t="s">
        <v>4713</v>
      </c>
      <c r="D2499" s="5" t="s">
        <v>5952</v>
      </c>
      <c r="E2499" s="10" t="s">
        <v>349</v>
      </c>
      <c r="F2499" s="5" t="s">
        <v>5903</v>
      </c>
      <c r="I2499" s="11">
        <v>2</v>
      </c>
      <c r="J2499" s="5" t="s">
        <v>4328</v>
      </c>
      <c r="K2499" s="12"/>
      <c r="O2499" s="12"/>
      <c r="P2499" s="13">
        <v>251251</v>
      </c>
      <c r="Q2499" s="13">
        <v>239927</v>
      </c>
      <c r="S2499" s="13">
        <v>241288</v>
      </c>
      <c r="AC2499" s="16" t="str">
        <f t="shared" si="114"/>
        <v>ALT</v>
      </c>
      <c r="AD2499" s="17">
        <f t="shared" si="115"/>
        <v>241288</v>
      </c>
      <c r="AE2499" s="17">
        <f t="shared" si="116"/>
        <v>0</v>
      </c>
      <c r="AF2499" s="10" t="s">
        <v>5953</v>
      </c>
      <c r="AG2499" s="5" t="s">
        <v>1170</v>
      </c>
      <c r="AH2499" s="5" t="s">
        <v>4717</v>
      </c>
      <c r="AI2499" s="5" t="s">
        <v>5905</v>
      </c>
      <c r="AJ2499" s="5" t="s">
        <v>5496</v>
      </c>
    </row>
    <row r="2500" spans="1:36" ht="10" customHeight="1" x14ac:dyDescent="0.2">
      <c r="A2500" s="5" t="s">
        <v>5448</v>
      </c>
      <c r="B2500" s="5" t="s">
        <v>4713</v>
      </c>
      <c r="D2500" s="5" t="s">
        <v>5954</v>
      </c>
      <c r="E2500" s="10" t="s">
        <v>349</v>
      </c>
      <c r="F2500" s="5" t="s">
        <v>5903</v>
      </c>
      <c r="I2500" s="11">
        <v>2</v>
      </c>
      <c r="J2500" s="5" t="s">
        <v>4328</v>
      </c>
      <c r="K2500" s="12"/>
      <c r="O2500" s="12"/>
      <c r="P2500" s="13">
        <v>11021</v>
      </c>
      <c r="Q2500" s="13">
        <v>8446</v>
      </c>
      <c r="S2500" s="13">
        <v>8656</v>
      </c>
      <c r="AC2500" s="16" t="str">
        <f t="shared" si="114"/>
        <v>ALT</v>
      </c>
      <c r="AD2500" s="17">
        <f t="shared" si="115"/>
        <v>8656</v>
      </c>
      <c r="AE2500" s="17">
        <f t="shared" si="116"/>
        <v>0</v>
      </c>
      <c r="AF2500" s="10" t="s">
        <v>5955</v>
      </c>
      <c r="AG2500" s="5" t="s">
        <v>1170</v>
      </c>
      <c r="AH2500" s="5" t="s">
        <v>4717</v>
      </c>
      <c r="AI2500" s="5" t="s">
        <v>5905</v>
      </c>
      <c r="AJ2500" s="5" t="s">
        <v>5496</v>
      </c>
    </row>
    <row r="2501" spans="1:36" ht="10" customHeight="1" x14ac:dyDescent="0.2">
      <c r="A2501" s="5" t="s">
        <v>5448</v>
      </c>
      <c r="B2501" s="5" t="s">
        <v>4713</v>
      </c>
      <c r="D2501" s="5" t="s">
        <v>5956</v>
      </c>
      <c r="E2501" s="10" t="s">
        <v>349</v>
      </c>
      <c r="F2501" s="5" t="s">
        <v>5903</v>
      </c>
      <c r="I2501" s="11">
        <v>2</v>
      </c>
      <c r="J2501" s="5" t="s">
        <v>4328</v>
      </c>
      <c r="K2501" s="12"/>
      <c r="O2501" s="12"/>
      <c r="P2501" s="13">
        <v>2038931</v>
      </c>
      <c r="Q2501" s="13">
        <v>2157265</v>
      </c>
      <c r="S2501" s="13">
        <v>2102193</v>
      </c>
      <c r="AC2501" s="16" t="str">
        <f t="shared" si="114"/>
        <v>ALT</v>
      </c>
      <c r="AD2501" s="17">
        <f t="shared" si="115"/>
        <v>2102193</v>
      </c>
      <c r="AE2501" s="17">
        <f t="shared" si="116"/>
        <v>0</v>
      </c>
      <c r="AF2501" s="10" t="s">
        <v>5957</v>
      </c>
      <c r="AG2501" s="5" t="s">
        <v>1170</v>
      </c>
      <c r="AH2501" s="5" t="s">
        <v>4717</v>
      </c>
      <c r="AI2501" s="5" t="s">
        <v>5905</v>
      </c>
      <c r="AJ2501" s="5" t="s">
        <v>5496</v>
      </c>
    </row>
    <row r="2502" spans="1:36" ht="10" customHeight="1" x14ac:dyDescent="0.2">
      <c r="A2502" s="5" t="s">
        <v>5448</v>
      </c>
      <c r="B2502" s="5" t="s">
        <v>4713</v>
      </c>
      <c r="D2502" s="5" t="s">
        <v>5958</v>
      </c>
      <c r="E2502" s="10" t="s">
        <v>57</v>
      </c>
      <c r="F2502" s="5" t="s">
        <v>5959</v>
      </c>
      <c r="I2502" s="11">
        <v>7</v>
      </c>
      <c r="J2502" s="5" t="s">
        <v>5517</v>
      </c>
      <c r="K2502" s="12"/>
      <c r="O2502" s="12"/>
      <c r="P2502" s="13">
        <v>15344</v>
      </c>
      <c r="Q2502" s="13">
        <v>15666</v>
      </c>
      <c r="S2502" s="13">
        <v>15995</v>
      </c>
      <c r="AC2502" s="16" t="str">
        <f t="shared" ref="AC2502:AC2565" si="117">IF(OR(E2502="",E2502="[PARENT]"),"ADD",IF(E2502="[ALT_VIEW]","ALT",""))</f>
        <v/>
      </c>
      <c r="AD2502" s="17">
        <f t="shared" ref="AD2502:AD2565" si="118">IF(Y2502&lt;&gt;"",Y2502,IF(U2502&lt;&gt;"",U2502,S2502))</f>
        <v>15995</v>
      </c>
      <c r="AE2502" s="17">
        <f t="shared" ref="AE2502:AE2565" si="119">IF(AB2502&lt;&gt;"",AB2502,Z2502)</f>
        <v>0</v>
      </c>
      <c r="AF2502" s="10" t="s">
        <v>5960</v>
      </c>
      <c r="AG2502" s="5" t="s">
        <v>1207</v>
      </c>
      <c r="AH2502" s="5" t="s">
        <v>4717</v>
      </c>
      <c r="AI2502" s="5" t="s">
        <v>5905</v>
      </c>
      <c r="AJ2502" s="5" t="s">
        <v>5520</v>
      </c>
    </row>
    <row r="2503" spans="1:36" ht="10" customHeight="1" x14ac:dyDescent="0.2">
      <c r="A2503" s="5" t="s">
        <v>5448</v>
      </c>
      <c r="B2503" s="5" t="s">
        <v>4713</v>
      </c>
      <c r="D2503" s="5" t="s">
        <v>5961</v>
      </c>
      <c r="E2503" s="10" t="s">
        <v>57</v>
      </c>
      <c r="F2503" s="5" t="s">
        <v>5959</v>
      </c>
      <c r="I2503" s="11">
        <v>7</v>
      </c>
      <c r="J2503" s="5" t="s">
        <v>5517</v>
      </c>
      <c r="K2503" s="12"/>
      <c r="O2503" s="12"/>
      <c r="P2503" s="13">
        <v>9750</v>
      </c>
      <c r="Q2503" s="13">
        <v>54852</v>
      </c>
      <c r="S2503" s="13">
        <v>0</v>
      </c>
      <c r="AC2503" s="16" t="str">
        <f t="shared" si="117"/>
        <v/>
      </c>
      <c r="AD2503" s="17">
        <f t="shared" si="118"/>
        <v>0</v>
      </c>
      <c r="AE2503" s="17">
        <f t="shared" si="119"/>
        <v>0</v>
      </c>
      <c r="AF2503" s="10" t="s">
        <v>5962</v>
      </c>
      <c r="AG2503" s="5" t="s">
        <v>1207</v>
      </c>
      <c r="AH2503" s="5" t="s">
        <v>4717</v>
      </c>
      <c r="AI2503" s="5" t="s">
        <v>5905</v>
      </c>
      <c r="AJ2503" s="5" t="s">
        <v>5520</v>
      </c>
    </row>
    <row r="2504" spans="1:36" ht="10" customHeight="1" x14ac:dyDescent="0.2">
      <c r="A2504" s="5" t="s">
        <v>5448</v>
      </c>
      <c r="B2504" s="5" t="s">
        <v>4713</v>
      </c>
      <c r="D2504" s="5" t="s">
        <v>5963</v>
      </c>
      <c r="E2504" s="10" t="s">
        <v>57</v>
      </c>
      <c r="F2504" s="5" t="s">
        <v>5959</v>
      </c>
      <c r="I2504" s="11">
        <v>7</v>
      </c>
      <c r="J2504" s="5" t="s">
        <v>5517</v>
      </c>
      <c r="K2504" s="12"/>
      <c r="O2504" s="12"/>
      <c r="P2504" s="13">
        <v>54098</v>
      </c>
      <c r="Q2504" s="13">
        <v>203185</v>
      </c>
      <c r="S2504" s="13">
        <v>45998</v>
      </c>
      <c r="AC2504" s="16" t="str">
        <f t="shared" si="117"/>
        <v/>
      </c>
      <c r="AD2504" s="17">
        <f t="shared" si="118"/>
        <v>45998</v>
      </c>
      <c r="AE2504" s="17">
        <f t="shared" si="119"/>
        <v>0</v>
      </c>
      <c r="AF2504" s="10" t="s">
        <v>5964</v>
      </c>
      <c r="AG2504" s="5" t="s">
        <v>1207</v>
      </c>
      <c r="AH2504" s="5" t="s">
        <v>4717</v>
      </c>
      <c r="AI2504" s="5" t="s">
        <v>5905</v>
      </c>
      <c r="AJ2504" s="5" t="s">
        <v>5520</v>
      </c>
    </row>
    <row r="2505" spans="1:36" ht="10" customHeight="1" x14ac:dyDescent="0.2">
      <c r="A2505" s="5" t="s">
        <v>5448</v>
      </c>
      <c r="B2505" s="5" t="s">
        <v>4713</v>
      </c>
      <c r="D2505" s="5" t="s">
        <v>5965</v>
      </c>
      <c r="E2505" s="10" t="s">
        <v>57</v>
      </c>
      <c r="F2505" s="5" t="s">
        <v>5959</v>
      </c>
      <c r="I2505" s="11">
        <v>7</v>
      </c>
      <c r="J2505" s="5" t="s">
        <v>5517</v>
      </c>
      <c r="K2505" s="12"/>
      <c r="O2505" s="12"/>
      <c r="P2505" s="13">
        <v>0</v>
      </c>
      <c r="Q2505" s="13">
        <v>0</v>
      </c>
      <c r="S2505" s="13">
        <v>0</v>
      </c>
      <c r="AC2505" s="16" t="str">
        <f t="shared" si="117"/>
        <v/>
      </c>
      <c r="AD2505" s="17">
        <f t="shared" si="118"/>
        <v>0</v>
      </c>
      <c r="AE2505" s="17">
        <f t="shared" si="119"/>
        <v>0</v>
      </c>
      <c r="AF2505" s="10" t="s">
        <v>5966</v>
      </c>
      <c r="AG2505" s="5" t="s">
        <v>1207</v>
      </c>
      <c r="AH2505" s="5" t="s">
        <v>4717</v>
      </c>
      <c r="AI2505" s="5" t="s">
        <v>5905</v>
      </c>
      <c r="AJ2505" s="5" t="s">
        <v>5520</v>
      </c>
    </row>
    <row r="2506" spans="1:36" ht="10" customHeight="1" x14ac:dyDescent="0.2">
      <c r="A2506" s="5" t="s">
        <v>5448</v>
      </c>
      <c r="B2506" s="5" t="s">
        <v>4713</v>
      </c>
      <c r="D2506" s="5" t="s">
        <v>5967</v>
      </c>
      <c r="E2506" s="10" t="s">
        <v>57</v>
      </c>
      <c r="F2506" s="5" t="s">
        <v>5959</v>
      </c>
      <c r="I2506" s="11">
        <v>7</v>
      </c>
      <c r="J2506" s="5" t="s">
        <v>5517</v>
      </c>
      <c r="K2506" s="12"/>
      <c r="O2506" s="12"/>
      <c r="P2506" s="13">
        <v>81082</v>
      </c>
      <c r="Q2506" s="13">
        <v>54366</v>
      </c>
      <c r="S2506" s="13">
        <v>281883</v>
      </c>
      <c r="AC2506" s="16" t="str">
        <f t="shared" si="117"/>
        <v/>
      </c>
      <c r="AD2506" s="17">
        <f t="shared" si="118"/>
        <v>281883</v>
      </c>
      <c r="AE2506" s="17">
        <f t="shared" si="119"/>
        <v>0</v>
      </c>
      <c r="AF2506" s="10" t="s">
        <v>5968</v>
      </c>
      <c r="AG2506" s="5" t="s">
        <v>1207</v>
      </c>
      <c r="AH2506" s="5" t="s">
        <v>4717</v>
      </c>
      <c r="AI2506" s="5" t="s">
        <v>5905</v>
      </c>
      <c r="AJ2506" s="5" t="s">
        <v>5520</v>
      </c>
    </row>
    <row r="2507" spans="1:36" ht="10" customHeight="1" x14ac:dyDescent="0.2">
      <c r="A2507" s="5" t="s">
        <v>5448</v>
      </c>
      <c r="B2507" s="5" t="s">
        <v>4713</v>
      </c>
      <c r="D2507" s="5" t="s">
        <v>5969</v>
      </c>
      <c r="E2507" s="10" t="s">
        <v>48</v>
      </c>
      <c r="I2507" s="11">
        <v>7</v>
      </c>
      <c r="J2507" s="5" t="s">
        <v>5517</v>
      </c>
      <c r="K2507" s="12"/>
      <c r="O2507" s="12"/>
      <c r="P2507" s="13">
        <v>160274</v>
      </c>
      <c r="Q2507" s="13">
        <v>328069</v>
      </c>
      <c r="S2507" s="13">
        <v>343876</v>
      </c>
      <c r="AC2507" s="16" t="str">
        <f t="shared" si="117"/>
        <v>ADD</v>
      </c>
      <c r="AD2507" s="17">
        <f t="shared" si="118"/>
        <v>343876</v>
      </c>
      <c r="AE2507" s="17">
        <f t="shared" si="119"/>
        <v>0</v>
      </c>
      <c r="AF2507" s="10" t="s">
        <v>5970</v>
      </c>
      <c r="AG2507" s="5" t="s">
        <v>1207</v>
      </c>
      <c r="AH2507" s="5" t="s">
        <v>4717</v>
      </c>
      <c r="AI2507" s="5" t="s">
        <v>5905</v>
      </c>
      <c r="AJ2507" s="5" t="s">
        <v>5520</v>
      </c>
    </row>
    <row r="2508" spans="1:36" ht="10" customHeight="1" x14ac:dyDescent="0.2">
      <c r="A2508" s="5" t="s">
        <v>5448</v>
      </c>
      <c r="B2508" s="5" t="s">
        <v>4713</v>
      </c>
      <c r="D2508" s="5" t="s">
        <v>5971</v>
      </c>
      <c r="E2508" s="10" t="s">
        <v>57</v>
      </c>
      <c r="F2508" s="5" t="s">
        <v>5959</v>
      </c>
      <c r="I2508" s="11">
        <v>7</v>
      </c>
      <c r="J2508" s="5" t="s">
        <v>5517</v>
      </c>
      <c r="K2508" s="12"/>
      <c r="O2508" s="12"/>
      <c r="P2508" s="13">
        <v>1349</v>
      </c>
      <c r="AC2508" s="16" t="str">
        <f t="shared" si="117"/>
        <v/>
      </c>
      <c r="AD2508" s="17">
        <f t="shared" si="118"/>
        <v>0</v>
      </c>
      <c r="AE2508" s="17">
        <f t="shared" si="119"/>
        <v>0</v>
      </c>
      <c r="AF2508" s="10" t="s">
        <v>5972</v>
      </c>
      <c r="AG2508" s="5" t="s">
        <v>1207</v>
      </c>
      <c r="AH2508" s="5" t="s">
        <v>4717</v>
      </c>
      <c r="AI2508" s="5" t="s">
        <v>5905</v>
      </c>
      <c r="AJ2508" s="5" t="s">
        <v>5533</v>
      </c>
    </row>
    <row r="2509" spans="1:36" ht="10" customHeight="1" x14ac:dyDescent="0.2">
      <c r="A2509" s="5" t="s">
        <v>5448</v>
      </c>
      <c r="B2509" s="5" t="s">
        <v>4713</v>
      </c>
      <c r="D2509" s="5" t="s">
        <v>5973</v>
      </c>
      <c r="E2509" s="10" t="s">
        <v>57</v>
      </c>
      <c r="F2509" s="5" t="s">
        <v>5959</v>
      </c>
      <c r="I2509" s="11">
        <v>7</v>
      </c>
      <c r="J2509" s="5" t="s">
        <v>5517</v>
      </c>
      <c r="K2509" s="12"/>
      <c r="O2509" s="12"/>
      <c r="P2509" s="13">
        <v>26</v>
      </c>
      <c r="AC2509" s="16" t="str">
        <f t="shared" si="117"/>
        <v/>
      </c>
      <c r="AD2509" s="17">
        <f t="shared" si="118"/>
        <v>0</v>
      </c>
      <c r="AE2509" s="17">
        <f t="shared" si="119"/>
        <v>0</v>
      </c>
      <c r="AF2509" s="10" t="s">
        <v>5974</v>
      </c>
      <c r="AG2509" s="5" t="s">
        <v>1207</v>
      </c>
      <c r="AH2509" s="5" t="s">
        <v>4717</v>
      </c>
      <c r="AI2509" s="5" t="s">
        <v>5905</v>
      </c>
      <c r="AJ2509" s="5" t="s">
        <v>5533</v>
      </c>
    </row>
    <row r="2510" spans="1:36" ht="10" customHeight="1" x14ac:dyDescent="0.2">
      <c r="A2510" s="5" t="s">
        <v>5448</v>
      </c>
      <c r="B2510" s="5" t="s">
        <v>4713</v>
      </c>
      <c r="D2510" s="5" t="s">
        <v>5975</v>
      </c>
      <c r="E2510" s="10" t="s">
        <v>57</v>
      </c>
      <c r="F2510" s="5" t="s">
        <v>5959</v>
      </c>
      <c r="I2510" s="11">
        <v>7</v>
      </c>
      <c r="J2510" s="5" t="s">
        <v>5517</v>
      </c>
      <c r="K2510" s="12"/>
      <c r="O2510" s="12"/>
      <c r="P2510" s="13">
        <v>1123</v>
      </c>
      <c r="AC2510" s="16" t="str">
        <f t="shared" si="117"/>
        <v/>
      </c>
      <c r="AD2510" s="17">
        <f t="shared" si="118"/>
        <v>0</v>
      </c>
      <c r="AE2510" s="17">
        <f t="shared" si="119"/>
        <v>0</v>
      </c>
      <c r="AF2510" s="10" t="s">
        <v>5976</v>
      </c>
      <c r="AG2510" s="5" t="s">
        <v>1207</v>
      </c>
      <c r="AH2510" s="5" t="s">
        <v>4717</v>
      </c>
      <c r="AI2510" s="5" t="s">
        <v>5905</v>
      </c>
      <c r="AJ2510" s="5" t="s">
        <v>5533</v>
      </c>
    </row>
    <row r="2511" spans="1:36" ht="10" customHeight="1" x14ac:dyDescent="0.2">
      <c r="A2511" s="5" t="s">
        <v>5448</v>
      </c>
      <c r="B2511" s="5" t="s">
        <v>4713</v>
      </c>
      <c r="D2511" s="5" t="s">
        <v>5977</v>
      </c>
      <c r="E2511" s="10" t="s">
        <v>57</v>
      </c>
      <c r="F2511" s="5" t="s">
        <v>5959</v>
      </c>
      <c r="I2511" s="11">
        <v>7</v>
      </c>
      <c r="J2511" s="5" t="s">
        <v>5517</v>
      </c>
      <c r="K2511" s="12"/>
      <c r="O2511" s="12"/>
      <c r="P2511" s="13">
        <v>3158</v>
      </c>
      <c r="AC2511" s="16" t="str">
        <f t="shared" si="117"/>
        <v/>
      </c>
      <c r="AD2511" s="17">
        <f t="shared" si="118"/>
        <v>0</v>
      </c>
      <c r="AE2511" s="17">
        <f t="shared" si="119"/>
        <v>0</v>
      </c>
      <c r="AF2511" s="10" t="s">
        <v>5978</v>
      </c>
      <c r="AG2511" s="5" t="s">
        <v>1207</v>
      </c>
      <c r="AH2511" s="5" t="s">
        <v>4717</v>
      </c>
      <c r="AI2511" s="5" t="s">
        <v>5905</v>
      </c>
      <c r="AJ2511" s="5" t="s">
        <v>5533</v>
      </c>
    </row>
    <row r="2512" spans="1:36" ht="10" customHeight="1" x14ac:dyDescent="0.2">
      <c r="A2512" s="5" t="s">
        <v>5448</v>
      </c>
      <c r="B2512" s="5" t="s">
        <v>4713</v>
      </c>
      <c r="D2512" s="5" t="s">
        <v>5979</v>
      </c>
      <c r="E2512" s="10" t="s">
        <v>57</v>
      </c>
      <c r="F2512" s="5" t="s">
        <v>5959</v>
      </c>
      <c r="I2512" s="11">
        <v>7</v>
      </c>
      <c r="J2512" s="5" t="s">
        <v>5517</v>
      </c>
      <c r="K2512" s="12"/>
      <c r="O2512" s="12"/>
      <c r="P2512" s="13">
        <v>1936</v>
      </c>
      <c r="AC2512" s="16" t="str">
        <f t="shared" si="117"/>
        <v/>
      </c>
      <c r="AD2512" s="17">
        <f t="shared" si="118"/>
        <v>0</v>
      </c>
      <c r="AE2512" s="17">
        <f t="shared" si="119"/>
        <v>0</v>
      </c>
      <c r="AF2512" s="10" t="s">
        <v>5980</v>
      </c>
      <c r="AG2512" s="5" t="s">
        <v>1207</v>
      </c>
      <c r="AH2512" s="5" t="s">
        <v>4717</v>
      </c>
      <c r="AI2512" s="5" t="s">
        <v>5905</v>
      </c>
      <c r="AJ2512" s="5" t="s">
        <v>5533</v>
      </c>
    </row>
    <row r="2513" spans="1:36" ht="10" customHeight="1" x14ac:dyDescent="0.2">
      <c r="A2513" s="5" t="s">
        <v>5448</v>
      </c>
      <c r="B2513" s="5" t="s">
        <v>4713</v>
      </c>
      <c r="D2513" s="5" t="s">
        <v>5981</v>
      </c>
      <c r="E2513" s="10" t="s">
        <v>57</v>
      </c>
      <c r="F2513" s="5" t="s">
        <v>5959</v>
      </c>
      <c r="I2513" s="11">
        <v>7</v>
      </c>
      <c r="J2513" s="5" t="s">
        <v>5517</v>
      </c>
      <c r="K2513" s="12"/>
      <c r="O2513" s="12"/>
      <c r="P2513" s="13">
        <v>2158</v>
      </c>
      <c r="AC2513" s="16" t="str">
        <f t="shared" si="117"/>
        <v/>
      </c>
      <c r="AD2513" s="17">
        <f t="shared" si="118"/>
        <v>0</v>
      </c>
      <c r="AE2513" s="17">
        <f t="shared" si="119"/>
        <v>0</v>
      </c>
      <c r="AF2513" s="10" t="s">
        <v>5982</v>
      </c>
      <c r="AG2513" s="5" t="s">
        <v>1207</v>
      </c>
      <c r="AH2513" s="5" t="s">
        <v>4717</v>
      </c>
      <c r="AI2513" s="5" t="s">
        <v>5905</v>
      </c>
      <c r="AJ2513" s="5" t="s">
        <v>5533</v>
      </c>
    </row>
    <row r="2514" spans="1:36" ht="10" customHeight="1" x14ac:dyDescent="0.2">
      <c r="A2514" s="5" t="s">
        <v>5448</v>
      </c>
      <c r="B2514" s="5" t="s">
        <v>4713</v>
      </c>
      <c r="D2514" s="5" t="s">
        <v>5983</v>
      </c>
      <c r="E2514" s="10" t="s">
        <v>57</v>
      </c>
      <c r="F2514" s="5" t="s">
        <v>5959</v>
      </c>
      <c r="I2514" s="11">
        <v>7</v>
      </c>
      <c r="J2514" s="5" t="s">
        <v>5517</v>
      </c>
      <c r="K2514" s="12"/>
      <c r="O2514" s="12"/>
      <c r="Q2514" s="13">
        <v>49287</v>
      </c>
      <c r="AC2514" s="16" t="str">
        <f t="shared" si="117"/>
        <v/>
      </c>
      <c r="AD2514" s="17">
        <f t="shared" si="118"/>
        <v>0</v>
      </c>
      <c r="AE2514" s="17">
        <f t="shared" si="119"/>
        <v>0</v>
      </c>
      <c r="AF2514" s="10" t="s">
        <v>5984</v>
      </c>
      <c r="AG2514" s="5" t="s">
        <v>1207</v>
      </c>
      <c r="AH2514" s="5" t="s">
        <v>4717</v>
      </c>
      <c r="AI2514" s="5" t="s">
        <v>5905</v>
      </c>
      <c r="AJ2514" s="5" t="s">
        <v>5533</v>
      </c>
    </row>
    <row r="2515" spans="1:36" ht="10" customHeight="1" x14ac:dyDescent="0.2">
      <c r="A2515" s="5" t="s">
        <v>5448</v>
      </c>
      <c r="B2515" s="5" t="s">
        <v>4713</v>
      </c>
      <c r="D2515" s="5" t="s">
        <v>5985</v>
      </c>
      <c r="E2515" s="10" t="s">
        <v>57</v>
      </c>
      <c r="F2515" s="5" t="s">
        <v>5959</v>
      </c>
      <c r="I2515" s="11">
        <v>7</v>
      </c>
      <c r="J2515" s="5" t="s">
        <v>5517</v>
      </c>
      <c r="K2515" s="12"/>
      <c r="O2515" s="12"/>
      <c r="Q2515" s="13">
        <v>490</v>
      </c>
      <c r="AC2515" s="16" t="str">
        <f t="shared" si="117"/>
        <v/>
      </c>
      <c r="AD2515" s="17">
        <f t="shared" si="118"/>
        <v>0</v>
      </c>
      <c r="AE2515" s="17">
        <f t="shared" si="119"/>
        <v>0</v>
      </c>
      <c r="AF2515" s="10" t="s">
        <v>5986</v>
      </c>
      <c r="AG2515" s="5" t="s">
        <v>1207</v>
      </c>
      <c r="AH2515" s="5" t="s">
        <v>4717</v>
      </c>
      <c r="AI2515" s="5" t="s">
        <v>5905</v>
      </c>
      <c r="AJ2515" s="5" t="s">
        <v>5533</v>
      </c>
    </row>
    <row r="2516" spans="1:36" ht="10" customHeight="1" x14ac:dyDescent="0.2">
      <c r="A2516" s="5" t="s">
        <v>5448</v>
      </c>
      <c r="B2516" s="5" t="s">
        <v>4713</v>
      </c>
      <c r="D2516" s="5" t="s">
        <v>5981</v>
      </c>
      <c r="E2516" s="10" t="s">
        <v>57</v>
      </c>
      <c r="F2516" s="5" t="s">
        <v>5959</v>
      </c>
      <c r="I2516" s="11">
        <v>7</v>
      </c>
      <c r="J2516" s="5" t="s">
        <v>5517</v>
      </c>
      <c r="K2516" s="12"/>
      <c r="O2516" s="12"/>
      <c r="Q2516" s="13">
        <v>2199</v>
      </c>
      <c r="AC2516" s="16" t="str">
        <f t="shared" si="117"/>
        <v/>
      </c>
      <c r="AD2516" s="17">
        <f t="shared" si="118"/>
        <v>0</v>
      </c>
      <c r="AE2516" s="17">
        <f t="shared" si="119"/>
        <v>0</v>
      </c>
      <c r="AF2516" s="10" t="s">
        <v>5982</v>
      </c>
      <c r="AG2516" s="5" t="s">
        <v>1207</v>
      </c>
      <c r="AH2516" s="5" t="s">
        <v>4717</v>
      </c>
      <c r="AI2516" s="5" t="s">
        <v>5905</v>
      </c>
      <c r="AJ2516" s="5" t="s">
        <v>5533</v>
      </c>
    </row>
    <row r="2517" spans="1:36" ht="10" customHeight="1" x14ac:dyDescent="0.2">
      <c r="A2517" s="5" t="s">
        <v>5448</v>
      </c>
      <c r="B2517" s="5" t="s">
        <v>4713</v>
      </c>
      <c r="D2517" s="5" t="s">
        <v>5987</v>
      </c>
      <c r="E2517" s="10" t="s">
        <v>57</v>
      </c>
      <c r="F2517" s="5" t="s">
        <v>5959</v>
      </c>
      <c r="I2517" s="11">
        <v>7</v>
      </c>
      <c r="J2517" s="5" t="s">
        <v>5517</v>
      </c>
      <c r="K2517" s="12"/>
      <c r="O2517" s="12"/>
      <c r="Q2517" s="13">
        <v>2876</v>
      </c>
      <c r="AC2517" s="16" t="str">
        <f t="shared" si="117"/>
        <v/>
      </c>
      <c r="AD2517" s="17">
        <f t="shared" si="118"/>
        <v>0</v>
      </c>
      <c r="AE2517" s="17">
        <f t="shared" si="119"/>
        <v>0</v>
      </c>
      <c r="AF2517" s="10" t="s">
        <v>5988</v>
      </c>
      <c r="AG2517" s="5" t="s">
        <v>1207</v>
      </c>
      <c r="AH2517" s="5" t="s">
        <v>4717</v>
      </c>
      <c r="AI2517" s="5" t="s">
        <v>5905</v>
      </c>
      <c r="AJ2517" s="5" t="s">
        <v>5533</v>
      </c>
    </row>
    <row r="2518" spans="1:36" ht="10" customHeight="1" x14ac:dyDescent="0.2">
      <c r="A2518" s="5" t="s">
        <v>5448</v>
      </c>
      <c r="B2518" s="5" t="s">
        <v>4713</v>
      </c>
      <c r="D2518" s="5" t="s">
        <v>5989</v>
      </c>
      <c r="E2518" s="10" t="s">
        <v>57</v>
      </c>
      <c r="F2518" s="5" t="s">
        <v>5959</v>
      </c>
      <c r="I2518" s="11">
        <v>7</v>
      </c>
      <c r="J2518" s="5" t="s">
        <v>5517</v>
      </c>
      <c r="K2518" s="12"/>
      <c r="O2518" s="12"/>
      <c r="S2518" s="13">
        <v>139280</v>
      </c>
      <c r="AC2518" s="16" t="str">
        <f t="shared" si="117"/>
        <v/>
      </c>
      <c r="AD2518" s="17">
        <f t="shared" si="118"/>
        <v>139280</v>
      </c>
      <c r="AE2518" s="17">
        <f t="shared" si="119"/>
        <v>0</v>
      </c>
      <c r="AF2518" s="10" t="s">
        <v>5990</v>
      </c>
      <c r="AG2518" s="5" t="s">
        <v>1207</v>
      </c>
      <c r="AH2518" s="5" t="s">
        <v>4717</v>
      </c>
      <c r="AI2518" s="5" t="s">
        <v>5905</v>
      </c>
      <c r="AJ2518" s="5" t="s">
        <v>5533</v>
      </c>
    </row>
    <row r="2519" spans="1:36" ht="10" customHeight="1" x14ac:dyDescent="0.2">
      <c r="A2519" s="5" t="s">
        <v>5448</v>
      </c>
      <c r="B2519" s="5" t="s">
        <v>4713</v>
      </c>
      <c r="D2519" s="5" t="s">
        <v>5991</v>
      </c>
      <c r="E2519" s="10" t="s">
        <v>57</v>
      </c>
      <c r="F2519" s="5" t="s">
        <v>5959</v>
      </c>
      <c r="I2519" s="11">
        <v>7</v>
      </c>
      <c r="J2519" s="5" t="s">
        <v>5517</v>
      </c>
      <c r="K2519" s="12"/>
      <c r="O2519" s="12"/>
      <c r="P2519" s="13">
        <v>81082</v>
      </c>
      <c r="AC2519" s="16" t="str">
        <f t="shared" si="117"/>
        <v/>
      </c>
      <c r="AD2519" s="17">
        <f t="shared" si="118"/>
        <v>0</v>
      </c>
      <c r="AE2519" s="17">
        <f t="shared" si="119"/>
        <v>0</v>
      </c>
      <c r="AF2519" s="10" t="s">
        <v>5992</v>
      </c>
      <c r="AG2519" s="5" t="s">
        <v>1218</v>
      </c>
      <c r="AH2519" s="5" t="s">
        <v>4717</v>
      </c>
      <c r="AI2519" s="5" t="s">
        <v>5905</v>
      </c>
      <c r="AJ2519" s="5" t="s">
        <v>5548</v>
      </c>
    </row>
    <row r="2520" spans="1:36" ht="10" customHeight="1" x14ac:dyDescent="0.2">
      <c r="A2520" s="5" t="s">
        <v>5448</v>
      </c>
      <c r="B2520" s="5" t="s">
        <v>4713</v>
      </c>
      <c r="D2520" s="5" t="s">
        <v>5993</v>
      </c>
      <c r="E2520" s="10" t="s">
        <v>57</v>
      </c>
      <c r="F2520" s="5" t="s">
        <v>5959</v>
      </c>
      <c r="I2520" s="11">
        <v>7</v>
      </c>
      <c r="J2520" s="5" t="s">
        <v>5517</v>
      </c>
      <c r="K2520" s="12"/>
      <c r="O2520" s="12"/>
      <c r="Q2520" s="13">
        <v>54366</v>
      </c>
      <c r="AC2520" s="16" t="str">
        <f t="shared" si="117"/>
        <v/>
      </c>
      <c r="AD2520" s="17">
        <f t="shared" si="118"/>
        <v>0</v>
      </c>
      <c r="AE2520" s="17">
        <f t="shared" si="119"/>
        <v>0</v>
      </c>
      <c r="AF2520" s="10" t="s">
        <v>5994</v>
      </c>
      <c r="AG2520" s="5" t="s">
        <v>1218</v>
      </c>
      <c r="AH2520" s="5" t="s">
        <v>4717</v>
      </c>
      <c r="AI2520" s="5" t="s">
        <v>5905</v>
      </c>
      <c r="AJ2520" s="5" t="s">
        <v>5548</v>
      </c>
    </row>
    <row r="2521" spans="1:36" ht="10" customHeight="1" x14ac:dyDescent="0.2">
      <c r="A2521" s="5" t="s">
        <v>5448</v>
      </c>
      <c r="B2521" s="5" t="s">
        <v>4713</v>
      </c>
      <c r="D2521" s="5" t="s">
        <v>5995</v>
      </c>
      <c r="E2521" s="10" t="s">
        <v>57</v>
      </c>
      <c r="F2521" s="5" t="s">
        <v>5959</v>
      </c>
      <c r="I2521" s="11">
        <v>7</v>
      </c>
      <c r="J2521" s="5" t="s">
        <v>5517</v>
      </c>
      <c r="K2521" s="12"/>
      <c r="O2521" s="12"/>
      <c r="S2521" s="13">
        <v>188576</v>
      </c>
      <c r="AC2521" s="16" t="str">
        <f t="shared" si="117"/>
        <v/>
      </c>
      <c r="AD2521" s="17">
        <f t="shared" si="118"/>
        <v>188576</v>
      </c>
      <c r="AE2521" s="17">
        <f t="shared" si="119"/>
        <v>0</v>
      </c>
      <c r="AF2521" s="10" t="s">
        <v>5996</v>
      </c>
      <c r="AG2521" s="5" t="s">
        <v>1218</v>
      </c>
      <c r="AH2521" s="5" t="s">
        <v>4717</v>
      </c>
      <c r="AI2521" s="5" t="s">
        <v>5905</v>
      </c>
      <c r="AJ2521" s="5" t="s">
        <v>5548</v>
      </c>
    </row>
    <row r="2522" spans="1:36" ht="10" customHeight="1" x14ac:dyDescent="0.2">
      <c r="A2522" s="5" t="s">
        <v>5448</v>
      </c>
      <c r="B2522" s="5" t="s">
        <v>4713</v>
      </c>
      <c r="D2522" s="5" t="s">
        <v>5997</v>
      </c>
      <c r="E2522" s="10" t="s">
        <v>57</v>
      </c>
      <c r="F2522" s="5" t="s">
        <v>5959</v>
      </c>
      <c r="I2522" s="11">
        <v>7</v>
      </c>
      <c r="J2522" s="5" t="s">
        <v>5517</v>
      </c>
      <c r="K2522" s="12"/>
      <c r="O2522" s="12"/>
      <c r="S2522" s="13">
        <v>93307</v>
      </c>
      <c r="AC2522" s="16" t="str">
        <f t="shared" si="117"/>
        <v/>
      </c>
      <c r="AD2522" s="17">
        <f t="shared" si="118"/>
        <v>93307</v>
      </c>
      <c r="AE2522" s="17">
        <f t="shared" si="119"/>
        <v>0</v>
      </c>
      <c r="AF2522" s="10" t="s">
        <v>5998</v>
      </c>
      <c r="AG2522" s="5" t="s">
        <v>1218</v>
      </c>
      <c r="AH2522" s="5" t="s">
        <v>4717</v>
      </c>
      <c r="AI2522" s="5" t="s">
        <v>5905</v>
      </c>
      <c r="AJ2522" s="5" t="s">
        <v>5548</v>
      </c>
    </row>
    <row r="2523" spans="1:36" ht="10" customHeight="1" x14ac:dyDescent="0.2">
      <c r="A2523" s="5" t="s">
        <v>5448</v>
      </c>
      <c r="B2523" s="5" t="s">
        <v>4713</v>
      </c>
      <c r="D2523" s="5" t="s">
        <v>5999</v>
      </c>
      <c r="E2523" s="10" t="s">
        <v>188</v>
      </c>
      <c r="I2523" s="11">
        <v>2</v>
      </c>
      <c r="J2523" s="5" t="s">
        <v>5554</v>
      </c>
      <c r="K2523" s="10" t="s">
        <v>50</v>
      </c>
      <c r="L2523" s="5" t="s">
        <v>51</v>
      </c>
      <c r="M2523" s="5" t="s">
        <v>52</v>
      </c>
      <c r="N2523" s="5" t="s">
        <v>88</v>
      </c>
      <c r="O2523" s="12"/>
      <c r="AC2523" s="16" t="str">
        <f t="shared" si="117"/>
        <v/>
      </c>
      <c r="AD2523" s="17">
        <f t="shared" si="118"/>
        <v>0</v>
      </c>
      <c r="AE2523" s="17">
        <f t="shared" si="119"/>
        <v>0</v>
      </c>
      <c r="AF2523" s="10" t="s">
        <v>6000</v>
      </c>
      <c r="AG2523" s="5" t="s">
        <v>1229</v>
      </c>
      <c r="AH2523" s="5" t="s">
        <v>4717</v>
      </c>
      <c r="AI2523" s="5" t="s">
        <v>5905</v>
      </c>
      <c r="AJ2523" s="5" t="s">
        <v>5554</v>
      </c>
    </row>
    <row r="2524" spans="1:36" ht="10" customHeight="1" x14ac:dyDescent="0.2">
      <c r="A2524" s="5" t="s">
        <v>5448</v>
      </c>
      <c r="B2524" s="5" t="s">
        <v>4713</v>
      </c>
      <c r="D2524" s="5" t="s">
        <v>6001</v>
      </c>
      <c r="E2524" s="10" t="s">
        <v>188</v>
      </c>
      <c r="I2524" s="11">
        <v>2</v>
      </c>
      <c r="J2524" s="5" t="s">
        <v>5554</v>
      </c>
      <c r="K2524" s="10" t="s">
        <v>50</v>
      </c>
      <c r="L2524" s="5" t="s">
        <v>51</v>
      </c>
      <c r="M2524" s="5" t="s">
        <v>4966</v>
      </c>
      <c r="N2524" s="5" t="s">
        <v>4967</v>
      </c>
      <c r="O2524" s="12"/>
      <c r="AC2524" s="16" t="str">
        <f t="shared" si="117"/>
        <v/>
      </c>
      <c r="AD2524" s="17">
        <f t="shared" si="118"/>
        <v>0</v>
      </c>
      <c r="AE2524" s="17">
        <f t="shared" si="119"/>
        <v>0</v>
      </c>
      <c r="AF2524" s="10" t="s">
        <v>6002</v>
      </c>
      <c r="AG2524" s="5" t="s">
        <v>1229</v>
      </c>
      <c r="AH2524" s="5" t="s">
        <v>4717</v>
      </c>
      <c r="AI2524" s="5" t="s">
        <v>5905</v>
      </c>
      <c r="AJ2524" s="5" t="s">
        <v>5554</v>
      </c>
    </row>
    <row r="2525" spans="1:36" ht="10" customHeight="1" x14ac:dyDescent="0.2">
      <c r="A2525" s="5" t="s">
        <v>5448</v>
      </c>
      <c r="B2525" s="5" t="s">
        <v>4713</v>
      </c>
      <c r="D2525" s="5" t="s">
        <v>6003</v>
      </c>
      <c r="E2525" s="10" t="s">
        <v>188</v>
      </c>
      <c r="I2525" s="11">
        <v>2</v>
      </c>
      <c r="J2525" s="5" t="s">
        <v>5554</v>
      </c>
      <c r="K2525" s="10" t="s">
        <v>50</v>
      </c>
      <c r="L2525" s="5" t="s">
        <v>51</v>
      </c>
      <c r="M2525" s="5" t="s">
        <v>52</v>
      </c>
      <c r="N2525" s="5" t="s">
        <v>88</v>
      </c>
      <c r="O2525" s="12"/>
      <c r="AC2525" s="16" t="str">
        <f t="shared" si="117"/>
        <v/>
      </c>
      <c r="AD2525" s="17">
        <f t="shared" si="118"/>
        <v>0</v>
      </c>
      <c r="AE2525" s="17">
        <f t="shared" si="119"/>
        <v>0</v>
      </c>
      <c r="AF2525" s="10" t="s">
        <v>6004</v>
      </c>
      <c r="AG2525" s="5" t="s">
        <v>1229</v>
      </c>
      <c r="AH2525" s="5" t="s">
        <v>4717</v>
      </c>
      <c r="AI2525" s="5" t="s">
        <v>5905</v>
      </c>
      <c r="AJ2525" s="5" t="s">
        <v>5554</v>
      </c>
    </row>
    <row r="2526" spans="1:36" ht="10" customHeight="1" x14ac:dyDescent="0.2">
      <c r="A2526" s="5" t="s">
        <v>5448</v>
      </c>
      <c r="B2526" s="5" t="s">
        <v>4713</v>
      </c>
      <c r="D2526" s="5" t="s">
        <v>6005</v>
      </c>
      <c r="E2526" s="10" t="s">
        <v>188</v>
      </c>
      <c r="I2526" s="11">
        <v>5</v>
      </c>
      <c r="J2526" s="5" t="s">
        <v>5554</v>
      </c>
      <c r="K2526" s="10" t="s">
        <v>50</v>
      </c>
      <c r="L2526" s="5" t="s">
        <v>51</v>
      </c>
      <c r="M2526" s="5" t="s">
        <v>52</v>
      </c>
      <c r="N2526" s="5" t="s">
        <v>88</v>
      </c>
      <c r="O2526" s="12"/>
      <c r="AC2526" s="16" t="str">
        <f t="shared" si="117"/>
        <v/>
      </c>
      <c r="AD2526" s="17">
        <f t="shared" si="118"/>
        <v>0</v>
      </c>
      <c r="AE2526" s="17">
        <f t="shared" si="119"/>
        <v>0</v>
      </c>
      <c r="AF2526" s="10" t="s">
        <v>6006</v>
      </c>
      <c r="AG2526" s="5" t="s">
        <v>1229</v>
      </c>
      <c r="AH2526" s="5" t="s">
        <v>4717</v>
      </c>
      <c r="AI2526" s="5" t="s">
        <v>5905</v>
      </c>
      <c r="AJ2526" s="5" t="s">
        <v>5554</v>
      </c>
    </row>
    <row r="2527" spans="1:36" ht="10" customHeight="1" x14ac:dyDescent="0.2">
      <c r="A2527" s="5" t="s">
        <v>5448</v>
      </c>
      <c r="B2527" s="5" t="s">
        <v>4713</v>
      </c>
      <c r="D2527" s="5" t="s">
        <v>6007</v>
      </c>
      <c r="E2527" s="10" t="s">
        <v>188</v>
      </c>
      <c r="I2527" s="11">
        <v>2</v>
      </c>
      <c r="J2527" s="5" t="s">
        <v>5554</v>
      </c>
      <c r="K2527" s="10" t="s">
        <v>50</v>
      </c>
      <c r="L2527" s="5" t="s">
        <v>51</v>
      </c>
      <c r="M2527" s="5" t="s">
        <v>52</v>
      </c>
      <c r="N2527" s="5" t="s">
        <v>88</v>
      </c>
      <c r="O2527" s="12"/>
      <c r="AC2527" s="16" t="str">
        <f t="shared" si="117"/>
        <v/>
      </c>
      <c r="AD2527" s="17">
        <f t="shared" si="118"/>
        <v>0</v>
      </c>
      <c r="AE2527" s="17">
        <f t="shared" si="119"/>
        <v>0</v>
      </c>
      <c r="AF2527" s="10" t="s">
        <v>6008</v>
      </c>
      <c r="AG2527" s="5" t="s">
        <v>1229</v>
      </c>
      <c r="AH2527" s="5" t="s">
        <v>4717</v>
      </c>
      <c r="AI2527" s="5" t="s">
        <v>5905</v>
      </c>
      <c r="AJ2527" s="5" t="s">
        <v>5554</v>
      </c>
    </row>
    <row r="2528" spans="1:36" ht="10" customHeight="1" x14ac:dyDescent="0.2">
      <c r="A2528" s="5" t="s">
        <v>5448</v>
      </c>
      <c r="B2528" s="5" t="s">
        <v>4713</v>
      </c>
      <c r="D2528" s="5" t="s">
        <v>6009</v>
      </c>
      <c r="E2528" s="10" t="s">
        <v>188</v>
      </c>
      <c r="I2528" s="11">
        <v>2</v>
      </c>
      <c r="J2528" s="5" t="s">
        <v>5554</v>
      </c>
      <c r="K2528" s="10" t="s">
        <v>50</v>
      </c>
      <c r="L2528" s="5" t="s">
        <v>51</v>
      </c>
      <c r="M2528" s="5" t="s">
        <v>52</v>
      </c>
      <c r="N2528" s="5" t="s">
        <v>88</v>
      </c>
      <c r="O2528" s="12"/>
      <c r="AC2528" s="16" t="str">
        <f t="shared" si="117"/>
        <v/>
      </c>
      <c r="AD2528" s="17">
        <f t="shared" si="118"/>
        <v>0</v>
      </c>
      <c r="AE2528" s="17">
        <f t="shared" si="119"/>
        <v>0</v>
      </c>
      <c r="AF2528" s="10" t="s">
        <v>6010</v>
      </c>
      <c r="AG2528" s="5" t="s">
        <v>1229</v>
      </c>
      <c r="AH2528" s="5" t="s">
        <v>4717</v>
      </c>
      <c r="AI2528" s="5" t="s">
        <v>5905</v>
      </c>
      <c r="AJ2528" s="5" t="s">
        <v>5554</v>
      </c>
    </row>
    <row r="2529" spans="1:36" ht="10" customHeight="1" x14ac:dyDescent="0.2">
      <c r="A2529" s="5" t="s">
        <v>5448</v>
      </c>
      <c r="B2529" s="5" t="s">
        <v>4713</v>
      </c>
      <c r="D2529" s="5" t="s">
        <v>6011</v>
      </c>
      <c r="E2529" s="10" t="s">
        <v>188</v>
      </c>
      <c r="I2529" s="11">
        <v>2</v>
      </c>
      <c r="J2529" s="5" t="s">
        <v>5554</v>
      </c>
      <c r="K2529" s="10" t="s">
        <v>50</v>
      </c>
      <c r="L2529" s="5" t="s">
        <v>51</v>
      </c>
      <c r="M2529" s="5" t="s">
        <v>149</v>
      </c>
      <c r="N2529" s="5" t="s">
        <v>4909</v>
      </c>
      <c r="O2529" s="12"/>
      <c r="AC2529" s="16" t="str">
        <f t="shared" si="117"/>
        <v/>
      </c>
      <c r="AD2529" s="17">
        <f t="shared" si="118"/>
        <v>0</v>
      </c>
      <c r="AE2529" s="17">
        <f t="shared" si="119"/>
        <v>0</v>
      </c>
      <c r="AF2529" s="10" t="s">
        <v>6012</v>
      </c>
      <c r="AG2529" s="5" t="s">
        <v>1229</v>
      </c>
      <c r="AH2529" s="5" t="s">
        <v>4717</v>
      </c>
      <c r="AI2529" s="5" t="s">
        <v>5905</v>
      </c>
      <c r="AJ2529" s="5" t="s">
        <v>5554</v>
      </c>
    </row>
    <row r="2530" spans="1:36" ht="10" customHeight="1" x14ac:dyDescent="0.2">
      <c r="A2530" s="5" t="s">
        <v>5448</v>
      </c>
      <c r="B2530" s="5" t="s">
        <v>4713</v>
      </c>
      <c r="D2530" s="5" t="s">
        <v>6013</v>
      </c>
      <c r="E2530" s="10" t="s">
        <v>188</v>
      </c>
      <c r="I2530" s="11">
        <v>2</v>
      </c>
      <c r="J2530" s="5" t="s">
        <v>5554</v>
      </c>
      <c r="K2530" s="10" t="s">
        <v>50</v>
      </c>
      <c r="L2530" s="5" t="s">
        <v>51</v>
      </c>
      <c r="M2530" s="5" t="s">
        <v>69</v>
      </c>
      <c r="N2530" s="5" t="s">
        <v>70</v>
      </c>
      <c r="O2530" s="12"/>
      <c r="AC2530" s="16" t="str">
        <f t="shared" si="117"/>
        <v/>
      </c>
      <c r="AD2530" s="17">
        <f t="shared" si="118"/>
        <v>0</v>
      </c>
      <c r="AE2530" s="17">
        <f t="shared" si="119"/>
        <v>0</v>
      </c>
      <c r="AF2530" s="10" t="s">
        <v>6014</v>
      </c>
      <c r="AG2530" s="5" t="s">
        <v>1229</v>
      </c>
      <c r="AH2530" s="5" t="s">
        <v>4717</v>
      </c>
      <c r="AI2530" s="5" t="s">
        <v>5905</v>
      </c>
      <c r="AJ2530" s="5" t="s">
        <v>5554</v>
      </c>
    </row>
    <row r="2531" spans="1:36" ht="10" customHeight="1" x14ac:dyDescent="0.2">
      <c r="A2531" s="5" t="s">
        <v>5448</v>
      </c>
      <c r="B2531" s="5" t="s">
        <v>4713</v>
      </c>
      <c r="D2531" s="5" t="s">
        <v>6015</v>
      </c>
      <c r="E2531" s="10" t="s">
        <v>188</v>
      </c>
      <c r="I2531" s="11">
        <v>5</v>
      </c>
      <c r="J2531" s="5" t="s">
        <v>5554</v>
      </c>
      <c r="K2531" s="10" t="s">
        <v>50</v>
      </c>
      <c r="L2531" s="5" t="s">
        <v>51</v>
      </c>
      <c r="M2531" s="5" t="s">
        <v>52</v>
      </c>
      <c r="N2531" s="5" t="s">
        <v>4752</v>
      </c>
      <c r="O2531" s="12"/>
      <c r="AC2531" s="16" t="str">
        <f t="shared" si="117"/>
        <v/>
      </c>
      <c r="AD2531" s="17">
        <f t="shared" si="118"/>
        <v>0</v>
      </c>
      <c r="AE2531" s="17">
        <f t="shared" si="119"/>
        <v>0</v>
      </c>
      <c r="AF2531" s="10" t="s">
        <v>6016</v>
      </c>
      <c r="AG2531" s="5" t="s">
        <v>1229</v>
      </c>
      <c r="AH2531" s="5" t="s">
        <v>4717</v>
      </c>
      <c r="AI2531" s="5" t="s">
        <v>5905</v>
      </c>
      <c r="AJ2531" s="5" t="s">
        <v>5554</v>
      </c>
    </row>
    <row r="2532" spans="1:36" ht="10" customHeight="1" x14ac:dyDescent="0.2">
      <c r="A2532" s="5" t="s">
        <v>5448</v>
      </c>
      <c r="B2532" s="5" t="s">
        <v>4713</v>
      </c>
      <c r="D2532" s="5" t="s">
        <v>6017</v>
      </c>
      <c r="E2532" s="10" t="s">
        <v>188</v>
      </c>
      <c r="I2532" s="11">
        <v>2</v>
      </c>
      <c r="J2532" s="5" t="s">
        <v>5554</v>
      </c>
      <c r="K2532" s="10" t="s">
        <v>50</v>
      </c>
      <c r="L2532" s="5" t="s">
        <v>51</v>
      </c>
      <c r="M2532" s="5" t="s">
        <v>69</v>
      </c>
      <c r="N2532" s="5" t="s">
        <v>70</v>
      </c>
      <c r="O2532" s="12"/>
      <c r="AC2532" s="16" t="str">
        <f t="shared" si="117"/>
        <v/>
      </c>
      <c r="AD2532" s="17">
        <f t="shared" si="118"/>
        <v>0</v>
      </c>
      <c r="AE2532" s="17">
        <f t="shared" si="119"/>
        <v>0</v>
      </c>
      <c r="AF2532" s="10" t="s">
        <v>6018</v>
      </c>
      <c r="AG2532" s="5" t="s">
        <v>1229</v>
      </c>
      <c r="AH2532" s="5" t="s">
        <v>4717</v>
      </c>
      <c r="AI2532" s="5" t="s">
        <v>5905</v>
      </c>
      <c r="AJ2532" s="5" t="s">
        <v>5554</v>
      </c>
    </row>
    <row r="2533" spans="1:36" ht="10" customHeight="1" x14ac:dyDescent="0.2">
      <c r="A2533" s="5" t="s">
        <v>5448</v>
      </c>
      <c r="B2533" s="5" t="s">
        <v>4713</v>
      </c>
      <c r="D2533" s="5" t="s">
        <v>6019</v>
      </c>
      <c r="E2533" s="10" t="s">
        <v>188</v>
      </c>
      <c r="I2533" s="11">
        <v>2</v>
      </c>
      <c r="J2533" s="5" t="s">
        <v>5554</v>
      </c>
      <c r="K2533" s="10" t="s">
        <v>50</v>
      </c>
      <c r="L2533" s="5" t="s">
        <v>51</v>
      </c>
      <c r="M2533" s="5" t="s">
        <v>52</v>
      </c>
      <c r="N2533" s="5" t="s">
        <v>4752</v>
      </c>
      <c r="O2533" s="12"/>
      <c r="AC2533" s="16" t="str">
        <f t="shared" si="117"/>
        <v/>
      </c>
      <c r="AD2533" s="17">
        <f t="shared" si="118"/>
        <v>0</v>
      </c>
      <c r="AE2533" s="17">
        <f t="shared" si="119"/>
        <v>0</v>
      </c>
      <c r="AF2533" s="10" t="s">
        <v>6020</v>
      </c>
      <c r="AG2533" s="5" t="s">
        <v>1229</v>
      </c>
      <c r="AH2533" s="5" t="s">
        <v>4717</v>
      </c>
      <c r="AI2533" s="5" t="s">
        <v>5905</v>
      </c>
      <c r="AJ2533" s="5" t="s">
        <v>5554</v>
      </c>
    </row>
    <row r="2534" spans="1:36" ht="10" customHeight="1" x14ac:dyDescent="0.2">
      <c r="A2534" s="5" t="s">
        <v>5448</v>
      </c>
      <c r="B2534" s="5" t="s">
        <v>4713</v>
      </c>
      <c r="D2534" s="5" t="s">
        <v>6021</v>
      </c>
      <c r="E2534" s="10" t="s">
        <v>188</v>
      </c>
      <c r="I2534" s="11">
        <v>2</v>
      </c>
      <c r="J2534" s="5" t="s">
        <v>5554</v>
      </c>
      <c r="K2534" s="10" t="s">
        <v>50</v>
      </c>
      <c r="L2534" s="5" t="s">
        <v>51</v>
      </c>
      <c r="M2534" s="5" t="s">
        <v>69</v>
      </c>
      <c r="N2534" s="5" t="s">
        <v>70</v>
      </c>
      <c r="O2534" s="12"/>
      <c r="AC2534" s="16" t="str">
        <f t="shared" si="117"/>
        <v/>
      </c>
      <c r="AD2534" s="17">
        <f t="shared" si="118"/>
        <v>0</v>
      </c>
      <c r="AE2534" s="17">
        <f t="shared" si="119"/>
        <v>0</v>
      </c>
      <c r="AF2534" s="10" t="s">
        <v>6022</v>
      </c>
      <c r="AG2534" s="5" t="s">
        <v>1229</v>
      </c>
      <c r="AH2534" s="5" t="s">
        <v>4717</v>
      </c>
      <c r="AI2534" s="5" t="s">
        <v>5905</v>
      </c>
      <c r="AJ2534" s="5" t="s">
        <v>5554</v>
      </c>
    </row>
    <row r="2535" spans="1:36" ht="10" customHeight="1" x14ac:dyDescent="0.2">
      <c r="A2535" s="5" t="s">
        <v>5448</v>
      </c>
      <c r="B2535" s="5" t="s">
        <v>4713</v>
      </c>
      <c r="D2535" s="5" t="s">
        <v>6023</v>
      </c>
      <c r="E2535" s="10" t="s">
        <v>188</v>
      </c>
      <c r="I2535" s="11">
        <v>5</v>
      </c>
      <c r="J2535" s="5" t="s">
        <v>5554</v>
      </c>
      <c r="K2535" s="10" t="s">
        <v>50</v>
      </c>
      <c r="L2535" s="5" t="s">
        <v>51</v>
      </c>
      <c r="M2535" s="5" t="s">
        <v>52</v>
      </c>
      <c r="N2535" s="5" t="s">
        <v>88</v>
      </c>
      <c r="O2535" s="12"/>
      <c r="AC2535" s="16" t="str">
        <f t="shared" si="117"/>
        <v/>
      </c>
      <c r="AD2535" s="17">
        <f t="shared" si="118"/>
        <v>0</v>
      </c>
      <c r="AE2535" s="17">
        <f t="shared" si="119"/>
        <v>0</v>
      </c>
      <c r="AF2535" s="10" t="s">
        <v>6024</v>
      </c>
      <c r="AG2535" s="5" t="s">
        <v>1229</v>
      </c>
      <c r="AH2535" s="5" t="s">
        <v>4717</v>
      </c>
      <c r="AI2535" s="5" t="s">
        <v>5905</v>
      </c>
      <c r="AJ2535" s="5" t="s">
        <v>5554</v>
      </c>
    </row>
    <row r="2536" spans="1:36" ht="10" customHeight="1" x14ac:dyDescent="0.2">
      <c r="A2536" s="5" t="s">
        <v>5448</v>
      </c>
      <c r="B2536" s="5" t="s">
        <v>4713</v>
      </c>
      <c r="D2536" s="5" t="s">
        <v>5741</v>
      </c>
      <c r="E2536" s="10" t="s">
        <v>188</v>
      </c>
      <c r="I2536" s="11">
        <v>2</v>
      </c>
      <c r="J2536" s="5" t="s">
        <v>5554</v>
      </c>
      <c r="K2536" s="10" t="s">
        <v>50</v>
      </c>
      <c r="L2536" s="5" t="s">
        <v>51</v>
      </c>
      <c r="M2536" s="5" t="s">
        <v>69</v>
      </c>
      <c r="N2536" s="5" t="s">
        <v>70</v>
      </c>
      <c r="O2536" s="12"/>
      <c r="AC2536" s="16" t="str">
        <f t="shared" si="117"/>
        <v/>
      </c>
      <c r="AD2536" s="17">
        <f t="shared" si="118"/>
        <v>0</v>
      </c>
      <c r="AE2536" s="17">
        <f t="shared" si="119"/>
        <v>0</v>
      </c>
      <c r="AF2536" s="10" t="s">
        <v>6025</v>
      </c>
      <c r="AG2536" s="5" t="s">
        <v>1229</v>
      </c>
      <c r="AH2536" s="5" t="s">
        <v>4717</v>
      </c>
      <c r="AI2536" s="5" t="s">
        <v>5905</v>
      </c>
      <c r="AJ2536" s="5" t="s">
        <v>5554</v>
      </c>
    </row>
    <row r="2537" spans="1:36" ht="10" customHeight="1" x14ac:dyDescent="0.2">
      <c r="A2537" s="5" t="s">
        <v>5448</v>
      </c>
      <c r="B2537" s="5" t="s">
        <v>4713</v>
      </c>
      <c r="D2537" s="5" t="s">
        <v>6026</v>
      </c>
      <c r="E2537" s="10" t="s">
        <v>188</v>
      </c>
      <c r="I2537" s="11">
        <v>2</v>
      </c>
      <c r="J2537" s="5" t="s">
        <v>5554</v>
      </c>
      <c r="K2537" s="10" t="s">
        <v>50</v>
      </c>
      <c r="L2537" s="5" t="s">
        <v>51</v>
      </c>
      <c r="M2537" s="5" t="s">
        <v>69</v>
      </c>
      <c r="N2537" s="5" t="s">
        <v>70</v>
      </c>
      <c r="O2537" s="12"/>
      <c r="AC2537" s="16" t="str">
        <f t="shared" si="117"/>
        <v/>
      </c>
      <c r="AD2537" s="17">
        <f t="shared" si="118"/>
        <v>0</v>
      </c>
      <c r="AE2537" s="17">
        <f t="shared" si="119"/>
        <v>0</v>
      </c>
      <c r="AF2537" s="10" t="s">
        <v>6027</v>
      </c>
      <c r="AG2537" s="5" t="s">
        <v>1229</v>
      </c>
      <c r="AH2537" s="5" t="s">
        <v>4717</v>
      </c>
      <c r="AI2537" s="5" t="s">
        <v>5905</v>
      </c>
      <c r="AJ2537" s="5" t="s">
        <v>5554</v>
      </c>
    </row>
    <row r="2538" spans="1:36" ht="10" customHeight="1" x14ac:dyDescent="0.2">
      <c r="A2538" s="5" t="s">
        <v>5448</v>
      </c>
      <c r="B2538" s="5" t="s">
        <v>4713</v>
      </c>
      <c r="D2538" s="5" t="s">
        <v>6028</v>
      </c>
      <c r="E2538" s="10" t="s">
        <v>188</v>
      </c>
      <c r="I2538" s="11">
        <v>5</v>
      </c>
      <c r="J2538" s="5" t="s">
        <v>5554</v>
      </c>
      <c r="K2538" s="10" t="s">
        <v>50</v>
      </c>
      <c r="L2538" s="5" t="s">
        <v>51</v>
      </c>
      <c r="M2538" s="5" t="s">
        <v>52</v>
      </c>
      <c r="N2538" s="5" t="s">
        <v>4752</v>
      </c>
      <c r="O2538" s="12"/>
      <c r="AC2538" s="16" t="str">
        <f t="shared" si="117"/>
        <v/>
      </c>
      <c r="AD2538" s="17">
        <f t="shared" si="118"/>
        <v>0</v>
      </c>
      <c r="AE2538" s="17">
        <f t="shared" si="119"/>
        <v>0</v>
      </c>
      <c r="AF2538" s="10" t="s">
        <v>6029</v>
      </c>
      <c r="AG2538" s="5" t="s">
        <v>1229</v>
      </c>
      <c r="AH2538" s="5" t="s">
        <v>4717</v>
      </c>
      <c r="AI2538" s="5" t="s">
        <v>5905</v>
      </c>
      <c r="AJ2538" s="5" t="s">
        <v>5554</v>
      </c>
    </row>
    <row r="2539" spans="1:36" ht="10" customHeight="1" x14ac:dyDescent="0.2">
      <c r="A2539" s="5" t="s">
        <v>5448</v>
      </c>
      <c r="B2539" s="5" t="s">
        <v>4713</v>
      </c>
      <c r="D2539" s="5" t="s">
        <v>6030</v>
      </c>
      <c r="E2539" s="10" t="s">
        <v>188</v>
      </c>
      <c r="I2539" s="11">
        <v>2</v>
      </c>
      <c r="J2539" s="5" t="s">
        <v>5554</v>
      </c>
      <c r="K2539" s="10" t="s">
        <v>50</v>
      </c>
      <c r="L2539" s="5" t="s">
        <v>51</v>
      </c>
      <c r="M2539" s="5" t="s">
        <v>52</v>
      </c>
      <c r="N2539" s="5" t="s">
        <v>4752</v>
      </c>
      <c r="O2539" s="12"/>
      <c r="AC2539" s="16" t="str">
        <f t="shared" si="117"/>
        <v/>
      </c>
      <c r="AD2539" s="17">
        <f t="shared" si="118"/>
        <v>0</v>
      </c>
      <c r="AE2539" s="17">
        <f t="shared" si="119"/>
        <v>0</v>
      </c>
      <c r="AF2539" s="10" t="s">
        <v>6031</v>
      </c>
      <c r="AG2539" s="5" t="s">
        <v>1229</v>
      </c>
      <c r="AH2539" s="5" t="s">
        <v>4717</v>
      </c>
      <c r="AI2539" s="5" t="s">
        <v>5905</v>
      </c>
      <c r="AJ2539" s="5" t="s">
        <v>5554</v>
      </c>
    </row>
    <row r="2540" spans="1:36" ht="10" customHeight="1" x14ac:dyDescent="0.2">
      <c r="A2540" s="5" t="s">
        <v>5448</v>
      </c>
      <c r="B2540" s="5" t="s">
        <v>4713</v>
      </c>
      <c r="D2540" s="5" t="s">
        <v>6032</v>
      </c>
      <c r="E2540" s="10" t="s">
        <v>188</v>
      </c>
      <c r="I2540" s="11">
        <v>2</v>
      </c>
      <c r="J2540" s="5" t="s">
        <v>5554</v>
      </c>
      <c r="K2540" s="10" t="s">
        <v>50</v>
      </c>
      <c r="L2540" s="5" t="s">
        <v>51</v>
      </c>
      <c r="M2540" s="5" t="s">
        <v>52</v>
      </c>
      <c r="N2540" s="5" t="s">
        <v>88</v>
      </c>
      <c r="O2540" s="12"/>
      <c r="AC2540" s="16" t="str">
        <f t="shared" si="117"/>
        <v/>
      </c>
      <c r="AD2540" s="17">
        <f t="shared" si="118"/>
        <v>0</v>
      </c>
      <c r="AE2540" s="17">
        <f t="shared" si="119"/>
        <v>0</v>
      </c>
      <c r="AF2540" s="10" t="s">
        <v>6033</v>
      </c>
      <c r="AG2540" s="5" t="s">
        <v>1229</v>
      </c>
      <c r="AH2540" s="5" t="s">
        <v>4717</v>
      </c>
      <c r="AI2540" s="5" t="s">
        <v>5905</v>
      </c>
      <c r="AJ2540" s="5" t="s">
        <v>5554</v>
      </c>
    </row>
    <row r="2541" spans="1:36" ht="10" customHeight="1" x14ac:dyDescent="0.2">
      <c r="A2541" s="5" t="s">
        <v>5448</v>
      </c>
      <c r="B2541" s="5" t="s">
        <v>4713</v>
      </c>
      <c r="D2541" s="5" t="s">
        <v>6032</v>
      </c>
      <c r="E2541" s="10" t="s">
        <v>188</v>
      </c>
      <c r="I2541" s="11">
        <v>2</v>
      </c>
      <c r="J2541" s="5" t="s">
        <v>5554</v>
      </c>
      <c r="K2541" s="10" t="s">
        <v>50</v>
      </c>
      <c r="L2541" s="5" t="s">
        <v>51</v>
      </c>
      <c r="M2541" s="5" t="s">
        <v>52</v>
      </c>
      <c r="N2541" s="5" t="s">
        <v>88</v>
      </c>
      <c r="O2541" s="12"/>
      <c r="AC2541" s="16" t="str">
        <f t="shared" si="117"/>
        <v/>
      </c>
      <c r="AD2541" s="17">
        <f t="shared" si="118"/>
        <v>0</v>
      </c>
      <c r="AE2541" s="17">
        <f t="shared" si="119"/>
        <v>0</v>
      </c>
      <c r="AF2541" s="10" t="s">
        <v>6033</v>
      </c>
      <c r="AG2541" s="5" t="s">
        <v>1229</v>
      </c>
      <c r="AH2541" s="5" t="s">
        <v>4717</v>
      </c>
      <c r="AI2541" s="5" t="s">
        <v>5905</v>
      </c>
      <c r="AJ2541" s="5" t="s">
        <v>5554</v>
      </c>
    </row>
    <row r="2542" spans="1:36" ht="10" customHeight="1" x14ac:dyDescent="0.2">
      <c r="A2542" s="5" t="s">
        <v>5448</v>
      </c>
      <c r="B2542" s="5" t="s">
        <v>4713</v>
      </c>
      <c r="D2542" s="5" t="s">
        <v>6034</v>
      </c>
      <c r="E2542" s="10" t="s">
        <v>188</v>
      </c>
      <c r="I2542" s="11">
        <v>2</v>
      </c>
      <c r="J2542" s="5" t="s">
        <v>5554</v>
      </c>
      <c r="K2542" s="10" t="s">
        <v>50</v>
      </c>
      <c r="L2542" s="5" t="s">
        <v>51</v>
      </c>
      <c r="M2542" s="5" t="s">
        <v>69</v>
      </c>
      <c r="N2542" s="5" t="s">
        <v>70</v>
      </c>
      <c r="O2542" s="12"/>
      <c r="AC2542" s="16" t="str">
        <f t="shared" si="117"/>
        <v/>
      </c>
      <c r="AD2542" s="17">
        <f t="shared" si="118"/>
        <v>0</v>
      </c>
      <c r="AE2542" s="17">
        <f t="shared" si="119"/>
        <v>0</v>
      </c>
      <c r="AF2542" s="10" t="s">
        <v>6035</v>
      </c>
      <c r="AG2542" s="5" t="s">
        <v>1229</v>
      </c>
      <c r="AH2542" s="5" t="s">
        <v>4717</v>
      </c>
      <c r="AI2542" s="5" t="s">
        <v>5905</v>
      </c>
      <c r="AJ2542" s="5" t="s">
        <v>5554</v>
      </c>
    </row>
    <row r="2543" spans="1:36" ht="10" customHeight="1" x14ac:dyDescent="0.2">
      <c r="A2543" s="5" t="s">
        <v>5448</v>
      </c>
      <c r="B2543" s="5" t="s">
        <v>4713</v>
      </c>
      <c r="D2543" s="5" t="s">
        <v>6036</v>
      </c>
      <c r="E2543" s="10" t="s">
        <v>188</v>
      </c>
      <c r="I2543" s="11">
        <v>2</v>
      </c>
      <c r="J2543" s="5" t="s">
        <v>5554</v>
      </c>
      <c r="K2543" s="10" t="s">
        <v>50</v>
      </c>
      <c r="L2543" s="5" t="s">
        <v>51</v>
      </c>
      <c r="M2543" s="5" t="s">
        <v>69</v>
      </c>
      <c r="N2543" s="5" t="s">
        <v>70</v>
      </c>
      <c r="O2543" s="12"/>
      <c r="AC2543" s="16" t="str">
        <f t="shared" si="117"/>
        <v/>
      </c>
      <c r="AD2543" s="17">
        <f t="shared" si="118"/>
        <v>0</v>
      </c>
      <c r="AE2543" s="17">
        <f t="shared" si="119"/>
        <v>0</v>
      </c>
      <c r="AF2543" s="10" t="s">
        <v>6037</v>
      </c>
      <c r="AG2543" s="5" t="s">
        <v>1229</v>
      </c>
      <c r="AH2543" s="5" t="s">
        <v>4717</v>
      </c>
      <c r="AI2543" s="5" t="s">
        <v>5905</v>
      </c>
      <c r="AJ2543" s="5" t="s">
        <v>5554</v>
      </c>
    </row>
    <row r="2544" spans="1:36" ht="10" customHeight="1" x14ac:dyDescent="0.2">
      <c r="A2544" s="5" t="s">
        <v>5448</v>
      </c>
      <c r="B2544" s="5" t="s">
        <v>4713</v>
      </c>
      <c r="D2544" s="5" t="s">
        <v>6038</v>
      </c>
      <c r="E2544" s="12"/>
      <c r="I2544" s="11">
        <v>3</v>
      </c>
      <c r="K2544" s="10" t="s">
        <v>50</v>
      </c>
      <c r="L2544" s="5" t="s">
        <v>51</v>
      </c>
      <c r="M2544" s="5" t="s">
        <v>149</v>
      </c>
      <c r="O2544" s="12"/>
      <c r="P2544" s="13">
        <v>15037</v>
      </c>
      <c r="Q2544" s="13">
        <v>17188</v>
      </c>
      <c r="R2544" s="13">
        <v>17188</v>
      </c>
      <c r="AC2544" s="16" t="str">
        <f t="shared" si="117"/>
        <v>ADD</v>
      </c>
      <c r="AD2544" s="17">
        <f t="shared" si="118"/>
        <v>0</v>
      </c>
      <c r="AE2544" s="17">
        <f t="shared" si="119"/>
        <v>0</v>
      </c>
      <c r="AF2544" s="10" t="s">
        <v>6039</v>
      </c>
      <c r="AG2544" s="5" t="s">
        <v>1376</v>
      </c>
      <c r="AH2544" s="5" t="s">
        <v>4717</v>
      </c>
      <c r="AI2544" s="5" t="s">
        <v>6040</v>
      </c>
      <c r="AJ2544" s="5" t="s">
        <v>6038</v>
      </c>
    </row>
    <row r="2545" spans="1:36" ht="10" customHeight="1" x14ac:dyDescent="0.2">
      <c r="A2545" s="5" t="s">
        <v>5448</v>
      </c>
      <c r="B2545" s="5" t="s">
        <v>4713</v>
      </c>
      <c r="D2545" s="5" t="s">
        <v>4959</v>
      </c>
      <c r="E2545" s="12"/>
      <c r="I2545" s="11">
        <v>3</v>
      </c>
      <c r="K2545" s="10" t="s">
        <v>50</v>
      </c>
      <c r="L2545" s="5" t="s">
        <v>51</v>
      </c>
      <c r="M2545" s="5" t="s">
        <v>119</v>
      </c>
      <c r="N2545" s="5" t="s">
        <v>4959</v>
      </c>
      <c r="O2545" s="12"/>
      <c r="P2545" s="13">
        <v>3066</v>
      </c>
      <c r="Q2545" s="13">
        <v>5200</v>
      </c>
      <c r="R2545" s="13">
        <v>5200</v>
      </c>
      <c r="S2545" s="13">
        <v>5969</v>
      </c>
      <c r="V2545" s="13">
        <v>5969</v>
      </c>
      <c r="AC2545" s="16" t="str">
        <f t="shared" si="117"/>
        <v>ADD</v>
      </c>
      <c r="AD2545" s="17">
        <f t="shared" si="118"/>
        <v>5969</v>
      </c>
      <c r="AE2545" s="17">
        <f t="shared" si="119"/>
        <v>0</v>
      </c>
      <c r="AF2545" s="10" t="s">
        <v>6041</v>
      </c>
      <c r="AG2545" s="5" t="s">
        <v>1376</v>
      </c>
      <c r="AH2545" s="5" t="s">
        <v>4717</v>
      </c>
      <c r="AI2545" s="5" t="s">
        <v>6040</v>
      </c>
      <c r="AJ2545" s="5" t="s">
        <v>4959</v>
      </c>
    </row>
    <row r="2546" spans="1:36" ht="10" customHeight="1" x14ac:dyDescent="0.2">
      <c r="A2546" s="5" t="s">
        <v>5448</v>
      </c>
      <c r="B2546" s="5" t="s">
        <v>4713</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6" t="str">
        <f t="shared" si="117"/>
        <v>ADD</v>
      </c>
      <c r="AD2546" s="17">
        <f t="shared" si="118"/>
        <v>123497</v>
      </c>
      <c r="AE2546" s="17">
        <f t="shared" si="119"/>
        <v>0</v>
      </c>
      <c r="AF2546" s="10" t="s">
        <v>6042</v>
      </c>
      <c r="AG2546" s="5" t="s">
        <v>1376</v>
      </c>
      <c r="AH2546" s="5" t="s">
        <v>4717</v>
      </c>
      <c r="AI2546" s="5" t="s">
        <v>6040</v>
      </c>
      <c r="AJ2546" s="5" t="s">
        <v>120</v>
      </c>
    </row>
    <row r="2547" spans="1:36" ht="10" customHeight="1" x14ac:dyDescent="0.2">
      <c r="A2547" s="5" t="s">
        <v>5448</v>
      </c>
      <c r="B2547" s="5" t="s">
        <v>4713</v>
      </c>
      <c r="D2547" s="5" t="s">
        <v>118</v>
      </c>
      <c r="E2547" s="12"/>
      <c r="I2547" s="11">
        <v>3</v>
      </c>
      <c r="K2547" s="10" t="s">
        <v>50</v>
      </c>
      <c r="L2547" s="5" t="s">
        <v>51</v>
      </c>
      <c r="M2547" s="5" t="s">
        <v>119</v>
      </c>
      <c r="N2547" s="5" t="s">
        <v>120</v>
      </c>
      <c r="O2547" s="12"/>
      <c r="Q2547" s="13">
        <v>3950</v>
      </c>
      <c r="R2547" s="13">
        <v>3950</v>
      </c>
      <c r="S2547" s="13">
        <v>7645</v>
      </c>
      <c r="V2547" s="13">
        <v>7645</v>
      </c>
      <c r="AC2547" s="16" t="str">
        <f t="shared" si="117"/>
        <v>ADD</v>
      </c>
      <c r="AD2547" s="17">
        <f t="shared" si="118"/>
        <v>7645</v>
      </c>
      <c r="AE2547" s="17">
        <f t="shared" si="119"/>
        <v>0</v>
      </c>
      <c r="AF2547" s="10" t="s">
        <v>6043</v>
      </c>
      <c r="AG2547" s="5" t="s">
        <v>1376</v>
      </c>
      <c r="AH2547" s="5" t="s">
        <v>4717</v>
      </c>
      <c r="AI2547" s="5" t="s">
        <v>6040</v>
      </c>
      <c r="AJ2547" s="5" t="s">
        <v>118</v>
      </c>
    </row>
    <row r="2548" spans="1:36" ht="10" customHeight="1" x14ac:dyDescent="0.2">
      <c r="A2548" s="5" t="s">
        <v>5448</v>
      </c>
      <c r="B2548" s="5" t="s">
        <v>4713</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6" t="str">
        <f t="shared" si="117"/>
        <v>ADD</v>
      </c>
      <c r="AD2548" s="17">
        <f t="shared" si="118"/>
        <v>7952</v>
      </c>
      <c r="AE2548" s="17">
        <f t="shared" si="119"/>
        <v>0</v>
      </c>
      <c r="AF2548" s="10" t="s">
        <v>6044</v>
      </c>
      <c r="AG2548" s="5" t="s">
        <v>1376</v>
      </c>
      <c r="AH2548" s="5" t="s">
        <v>4717</v>
      </c>
      <c r="AI2548" s="5" t="s">
        <v>6040</v>
      </c>
      <c r="AJ2548" s="5" t="s">
        <v>287</v>
      </c>
    </row>
    <row r="2549" spans="1:36" ht="10" customHeight="1" x14ac:dyDescent="0.2">
      <c r="A2549" s="5" t="s">
        <v>5448</v>
      </c>
      <c r="B2549" s="5" t="s">
        <v>4713</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6" t="str">
        <f t="shared" si="117"/>
        <v>ADD</v>
      </c>
      <c r="AD2549" s="17">
        <f t="shared" si="118"/>
        <v>69759</v>
      </c>
      <c r="AE2549" s="17">
        <f t="shared" si="119"/>
        <v>0</v>
      </c>
      <c r="AF2549" s="10" t="s">
        <v>6045</v>
      </c>
      <c r="AG2549" s="5" t="s">
        <v>1387</v>
      </c>
      <c r="AH2549" s="5" t="s">
        <v>4717</v>
      </c>
      <c r="AI2549" s="5" t="s">
        <v>6046</v>
      </c>
      <c r="AJ2549" s="5" t="s">
        <v>139</v>
      </c>
    </row>
    <row r="2550" spans="1:36" ht="10" customHeight="1" x14ac:dyDescent="0.2">
      <c r="A2550" s="5" t="s">
        <v>5448</v>
      </c>
      <c r="B2550" s="5" t="s">
        <v>4713</v>
      </c>
      <c r="D2550" s="5" t="s">
        <v>6047</v>
      </c>
      <c r="E2550" s="12"/>
      <c r="I2550" s="11">
        <v>3</v>
      </c>
      <c r="K2550" s="10" t="s">
        <v>50</v>
      </c>
      <c r="L2550" s="5" t="s">
        <v>51</v>
      </c>
      <c r="M2550" s="5" t="s">
        <v>4684</v>
      </c>
      <c r="N2550" s="5" t="s">
        <v>4685</v>
      </c>
      <c r="O2550" s="12"/>
      <c r="P2550" s="13">
        <v>370</v>
      </c>
      <c r="Q2550" s="13">
        <v>1620</v>
      </c>
      <c r="R2550" s="13">
        <v>1620</v>
      </c>
      <c r="S2550" s="13">
        <v>1068</v>
      </c>
      <c r="V2550" s="13">
        <v>1068</v>
      </c>
      <c r="AC2550" s="16" t="str">
        <f t="shared" si="117"/>
        <v>ADD</v>
      </c>
      <c r="AD2550" s="17">
        <f t="shared" si="118"/>
        <v>1068</v>
      </c>
      <c r="AE2550" s="17">
        <f t="shared" si="119"/>
        <v>0</v>
      </c>
      <c r="AF2550" s="10" t="s">
        <v>6048</v>
      </c>
      <c r="AG2550" s="5" t="s">
        <v>1387</v>
      </c>
      <c r="AH2550" s="5" t="s">
        <v>4717</v>
      </c>
      <c r="AI2550" s="5" t="s">
        <v>6040</v>
      </c>
      <c r="AJ2550" s="5" t="s">
        <v>6047</v>
      </c>
    </row>
    <row r="2551" spans="1:36" ht="10" customHeight="1" x14ac:dyDescent="0.2">
      <c r="A2551" s="5" t="s">
        <v>5448</v>
      </c>
      <c r="B2551" s="5" t="s">
        <v>4713</v>
      </c>
      <c r="D2551" s="5" t="s">
        <v>6049</v>
      </c>
      <c r="E2551" s="12"/>
      <c r="I2551" s="11">
        <v>3</v>
      </c>
      <c r="K2551" s="12"/>
      <c r="O2551" s="12"/>
      <c r="P2551" s="13">
        <v>89976</v>
      </c>
      <c r="Q2551" s="13">
        <v>155923</v>
      </c>
      <c r="R2551" s="13">
        <v>155923</v>
      </c>
      <c r="S2551" s="13">
        <v>127665</v>
      </c>
      <c r="V2551" s="13">
        <v>127665</v>
      </c>
      <c r="AC2551" s="16" t="str">
        <f t="shared" si="117"/>
        <v>ADD</v>
      </c>
      <c r="AD2551" s="17">
        <f t="shared" si="118"/>
        <v>127665</v>
      </c>
      <c r="AE2551" s="17">
        <f t="shared" si="119"/>
        <v>0</v>
      </c>
      <c r="AF2551" s="10" t="s">
        <v>6050</v>
      </c>
      <c r="AG2551" s="5" t="s">
        <v>1387</v>
      </c>
      <c r="AH2551" s="5" t="s">
        <v>4717</v>
      </c>
      <c r="AI2551" s="5" t="s">
        <v>6040</v>
      </c>
      <c r="AJ2551" s="5" t="s">
        <v>2574</v>
      </c>
    </row>
    <row r="2552" spans="1:36" ht="10" customHeight="1" x14ac:dyDescent="0.2">
      <c r="A2552" s="5" t="s">
        <v>5448</v>
      </c>
      <c r="B2552" s="5" t="s">
        <v>4713</v>
      </c>
      <c r="D2552" s="5" t="s">
        <v>6051</v>
      </c>
      <c r="E2552" s="12"/>
      <c r="I2552" s="11">
        <v>2</v>
      </c>
      <c r="K2552" s="12"/>
      <c r="O2552" s="12"/>
      <c r="P2552" s="13">
        <v>27696</v>
      </c>
      <c r="Q2552" s="13">
        <v>3724</v>
      </c>
      <c r="R2552" s="13">
        <v>3830</v>
      </c>
      <c r="S2552" s="13">
        <v>4275</v>
      </c>
      <c r="V2552" s="13">
        <v>4244</v>
      </c>
      <c r="AC2552" s="16" t="str">
        <f t="shared" si="117"/>
        <v>ADD</v>
      </c>
      <c r="AD2552" s="17">
        <f t="shared" si="118"/>
        <v>4275</v>
      </c>
      <c r="AE2552" s="17">
        <f t="shared" si="119"/>
        <v>0</v>
      </c>
      <c r="AF2552" s="10" t="s">
        <v>6052</v>
      </c>
      <c r="AG2552" s="5" t="s">
        <v>1387</v>
      </c>
      <c r="AH2552" s="5" t="s">
        <v>4717</v>
      </c>
      <c r="AI2552" s="5" t="s">
        <v>6053</v>
      </c>
      <c r="AJ2552" s="5" t="s">
        <v>6051</v>
      </c>
    </row>
    <row r="2553" spans="1:36" ht="10" customHeight="1" x14ac:dyDescent="0.2">
      <c r="A2553" s="5" t="s">
        <v>5448</v>
      </c>
      <c r="B2553" s="5" t="s">
        <v>4713</v>
      </c>
      <c r="D2553" s="5" t="s">
        <v>6054</v>
      </c>
      <c r="E2553" s="12"/>
      <c r="I2553" s="11">
        <v>2</v>
      </c>
      <c r="K2553" s="12"/>
      <c r="O2553" s="12"/>
      <c r="P2553" s="13">
        <v>1904</v>
      </c>
      <c r="Q2553" s="13">
        <v>4231</v>
      </c>
      <c r="R2553" s="13">
        <v>4592</v>
      </c>
      <c r="S2553" s="13">
        <v>4015</v>
      </c>
      <c r="V2553" s="13">
        <v>4447</v>
      </c>
      <c r="AC2553" s="16" t="str">
        <f t="shared" si="117"/>
        <v>ADD</v>
      </c>
      <c r="AD2553" s="17">
        <f t="shared" si="118"/>
        <v>4015</v>
      </c>
      <c r="AE2553" s="17">
        <f t="shared" si="119"/>
        <v>0</v>
      </c>
      <c r="AF2553" s="10" t="s">
        <v>6055</v>
      </c>
      <c r="AG2553" s="5" t="s">
        <v>1387</v>
      </c>
      <c r="AH2553" s="5" t="s">
        <v>4717</v>
      </c>
      <c r="AI2553" s="5" t="s">
        <v>6053</v>
      </c>
      <c r="AJ2553" s="5" t="s">
        <v>6054</v>
      </c>
    </row>
    <row r="2554" spans="1:36" ht="10" customHeight="1" x14ac:dyDescent="0.2">
      <c r="A2554" s="5" t="s">
        <v>5448</v>
      </c>
      <c r="B2554" s="5" t="s">
        <v>4713</v>
      </c>
      <c r="D2554" s="5" t="s">
        <v>6056</v>
      </c>
      <c r="E2554" s="12"/>
      <c r="I2554" s="11">
        <v>2</v>
      </c>
      <c r="K2554" s="10" t="s">
        <v>50</v>
      </c>
      <c r="L2554" s="5" t="s">
        <v>51</v>
      </c>
      <c r="M2554" s="5" t="s">
        <v>4859</v>
      </c>
      <c r="N2554" s="5" t="s">
        <v>4860</v>
      </c>
      <c r="O2554" s="12"/>
      <c r="P2554" s="13">
        <v>11377</v>
      </c>
      <c r="Q2554" s="13">
        <v>14291</v>
      </c>
      <c r="R2554" s="13">
        <v>15325</v>
      </c>
      <c r="S2554" s="13">
        <v>15511</v>
      </c>
      <c r="V2554" s="13">
        <v>15683</v>
      </c>
      <c r="AC2554" s="16" t="str">
        <f t="shared" si="117"/>
        <v>ADD</v>
      </c>
      <c r="AD2554" s="17">
        <f t="shared" si="118"/>
        <v>15511</v>
      </c>
      <c r="AE2554" s="17">
        <f t="shared" si="119"/>
        <v>0</v>
      </c>
      <c r="AF2554" s="10" t="s">
        <v>6057</v>
      </c>
      <c r="AG2554" s="5" t="s">
        <v>1387</v>
      </c>
      <c r="AH2554" s="5" t="s">
        <v>4717</v>
      </c>
      <c r="AI2554" s="5" t="s">
        <v>6053</v>
      </c>
      <c r="AJ2554" s="5" t="s">
        <v>6056</v>
      </c>
    </row>
    <row r="2555" spans="1:36" ht="10" customHeight="1" x14ac:dyDescent="0.2">
      <c r="A2555" s="5" t="s">
        <v>5448</v>
      </c>
      <c r="B2555" s="5" t="s">
        <v>4713</v>
      </c>
      <c r="D2555" s="5" t="s">
        <v>6038</v>
      </c>
      <c r="E2555" s="12"/>
      <c r="I2555" s="11">
        <v>2</v>
      </c>
      <c r="K2555" s="10" t="s">
        <v>50</v>
      </c>
      <c r="L2555" s="5" t="s">
        <v>51</v>
      </c>
      <c r="M2555" s="5" t="s">
        <v>149</v>
      </c>
      <c r="N2555" s="5" t="s">
        <v>4909</v>
      </c>
      <c r="O2555" s="12"/>
      <c r="P2555" s="13">
        <v>199393</v>
      </c>
      <c r="Q2555" s="13">
        <v>196703</v>
      </c>
      <c r="R2555" s="13">
        <v>201922</v>
      </c>
      <c r="S2555" s="13">
        <v>112718</v>
      </c>
      <c r="V2555" s="13">
        <v>150945</v>
      </c>
      <c r="AC2555" s="16" t="str">
        <f t="shared" si="117"/>
        <v>ADD</v>
      </c>
      <c r="AD2555" s="17">
        <f t="shared" si="118"/>
        <v>112718</v>
      </c>
      <c r="AE2555" s="17">
        <f t="shared" si="119"/>
        <v>0</v>
      </c>
      <c r="AF2555" s="10" t="s">
        <v>6058</v>
      </c>
      <c r="AG2555" s="5" t="s">
        <v>1387</v>
      </c>
      <c r="AH2555" s="5" t="s">
        <v>4717</v>
      </c>
      <c r="AI2555" s="5" t="s">
        <v>6053</v>
      </c>
      <c r="AJ2555" s="5" t="s">
        <v>6038</v>
      </c>
    </row>
    <row r="2556" spans="1:36" ht="10" customHeight="1" x14ac:dyDescent="0.2">
      <c r="A2556" s="5" t="s">
        <v>5448</v>
      </c>
      <c r="B2556" s="5" t="s">
        <v>4713</v>
      </c>
      <c r="D2556" s="5" t="s">
        <v>6059</v>
      </c>
      <c r="E2556" s="12"/>
      <c r="I2556" s="11">
        <v>2</v>
      </c>
      <c r="K2556" s="12"/>
      <c r="O2556" s="12"/>
      <c r="P2556" s="13">
        <v>897</v>
      </c>
      <c r="Q2556" s="13">
        <v>5572</v>
      </c>
      <c r="R2556" s="13">
        <v>5628</v>
      </c>
      <c r="S2556" s="13">
        <v>2498</v>
      </c>
      <c r="V2556" s="13">
        <v>2580</v>
      </c>
      <c r="AC2556" s="16" t="str">
        <f t="shared" si="117"/>
        <v>ADD</v>
      </c>
      <c r="AD2556" s="17">
        <f t="shared" si="118"/>
        <v>2498</v>
      </c>
      <c r="AE2556" s="17">
        <f t="shared" si="119"/>
        <v>0</v>
      </c>
      <c r="AF2556" s="10" t="s">
        <v>6060</v>
      </c>
      <c r="AG2556" s="5" t="s">
        <v>1387</v>
      </c>
      <c r="AH2556" s="5" t="s">
        <v>4717</v>
      </c>
      <c r="AI2556" s="5" t="s">
        <v>6053</v>
      </c>
      <c r="AJ2556" s="5" t="s">
        <v>6059</v>
      </c>
    </row>
    <row r="2557" spans="1:36" ht="10" customHeight="1" x14ac:dyDescent="0.2">
      <c r="A2557" s="5" t="s">
        <v>5448</v>
      </c>
      <c r="B2557" s="5" t="s">
        <v>4713</v>
      </c>
      <c r="D2557" s="5" t="s">
        <v>6061</v>
      </c>
      <c r="E2557" s="12"/>
      <c r="I2557" s="11">
        <v>2</v>
      </c>
      <c r="K2557" s="12"/>
      <c r="O2557" s="12"/>
      <c r="P2557" s="13">
        <v>712</v>
      </c>
      <c r="Q2557" s="13">
        <v>1428</v>
      </c>
      <c r="R2557" s="13">
        <v>1435</v>
      </c>
      <c r="S2557" s="13">
        <v>1477</v>
      </c>
      <c r="V2557" s="13">
        <v>1488</v>
      </c>
      <c r="AC2557" s="16" t="str">
        <f t="shared" si="117"/>
        <v>ADD</v>
      </c>
      <c r="AD2557" s="17">
        <f t="shared" si="118"/>
        <v>1477</v>
      </c>
      <c r="AE2557" s="17">
        <f t="shared" si="119"/>
        <v>0</v>
      </c>
      <c r="AF2557" s="10" t="s">
        <v>6062</v>
      </c>
      <c r="AG2557" s="5" t="s">
        <v>1387</v>
      </c>
      <c r="AH2557" s="5" t="s">
        <v>4717</v>
      </c>
      <c r="AI2557" s="5" t="s">
        <v>6053</v>
      </c>
      <c r="AJ2557" s="5" t="s">
        <v>6061</v>
      </c>
    </row>
    <row r="2558" spans="1:36" ht="10" customHeight="1" x14ac:dyDescent="0.2">
      <c r="A2558" s="5" t="s">
        <v>5448</v>
      </c>
      <c r="B2558" s="5" t="s">
        <v>4713</v>
      </c>
      <c r="D2558" s="5" t="s">
        <v>4959</v>
      </c>
      <c r="E2558" s="12"/>
      <c r="I2558" s="11">
        <v>2</v>
      </c>
      <c r="K2558" s="10" t="s">
        <v>50</v>
      </c>
      <c r="L2558" s="5" t="s">
        <v>51</v>
      </c>
      <c r="M2558" s="5" t="s">
        <v>119</v>
      </c>
      <c r="N2558" s="5" t="s">
        <v>4959</v>
      </c>
      <c r="O2558" s="12"/>
      <c r="P2558" s="13">
        <v>69927</v>
      </c>
      <c r="Q2558" s="13">
        <v>83031</v>
      </c>
      <c r="R2558" s="13">
        <v>86340</v>
      </c>
      <c r="S2558" s="13">
        <v>75209</v>
      </c>
      <c r="V2558" s="13">
        <v>77398</v>
      </c>
      <c r="AC2558" s="16" t="str">
        <f t="shared" si="117"/>
        <v>ADD</v>
      </c>
      <c r="AD2558" s="17">
        <f t="shared" si="118"/>
        <v>75209</v>
      </c>
      <c r="AE2558" s="17">
        <f t="shared" si="119"/>
        <v>0</v>
      </c>
      <c r="AF2558" s="10" t="s">
        <v>6063</v>
      </c>
      <c r="AG2558" s="5" t="s">
        <v>1387</v>
      </c>
      <c r="AH2558" s="5" t="s">
        <v>4717</v>
      </c>
      <c r="AI2558" s="5" t="s">
        <v>6053</v>
      </c>
      <c r="AJ2558" s="5" t="s">
        <v>4959</v>
      </c>
    </row>
    <row r="2559" spans="1:36" ht="10" customHeight="1" x14ac:dyDescent="0.2">
      <c r="A2559" s="5" t="s">
        <v>5448</v>
      </c>
      <c r="B2559" s="5" t="s">
        <v>4713</v>
      </c>
      <c r="D2559" s="5" t="s">
        <v>6064</v>
      </c>
      <c r="E2559" s="12"/>
      <c r="I2559" s="11">
        <v>2</v>
      </c>
      <c r="K2559" s="12"/>
      <c r="O2559" s="12"/>
      <c r="P2559" s="13">
        <v>1527</v>
      </c>
      <c r="Q2559" s="13">
        <v>10512</v>
      </c>
      <c r="R2559" s="13">
        <v>10512</v>
      </c>
      <c r="S2559" s="13">
        <v>10193</v>
      </c>
      <c r="V2559" s="13">
        <v>10269</v>
      </c>
      <c r="AC2559" s="16" t="str">
        <f t="shared" si="117"/>
        <v>ADD</v>
      </c>
      <c r="AD2559" s="17">
        <f t="shared" si="118"/>
        <v>10193</v>
      </c>
      <c r="AE2559" s="17">
        <f t="shared" si="119"/>
        <v>0</v>
      </c>
      <c r="AF2559" s="10" t="s">
        <v>6065</v>
      </c>
      <c r="AG2559" s="5" t="s">
        <v>1387</v>
      </c>
      <c r="AH2559" s="5" t="s">
        <v>4717</v>
      </c>
      <c r="AI2559" s="5" t="s">
        <v>6053</v>
      </c>
      <c r="AJ2559" s="5" t="s">
        <v>6066</v>
      </c>
    </row>
    <row r="2560" spans="1:36" ht="10" customHeight="1" x14ac:dyDescent="0.2">
      <c r="A2560" s="5" t="s">
        <v>5448</v>
      </c>
      <c r="B2560" s="5" t="s">
        <v>4713</v>
      </c>
      <c r="D2560" s="5" t="s">
        <v>6067</v>
      </c>
      <c r="E2560" s="12"/>
      <c r="I2560" s="11">
        <v>2</v>
      </c>
      <c r="K2560" s="10" t="s">
        <v>50</v>
      </c>
      <c r="L2560" s="5" t="s">
        <v>51</v>
      </c>
      <c r="M2560" s="5" t="s">
        <v>69</v>
      </c>
      <c r="N2560" s="5" t="s">
        <v>70</v>
      </c>
      <c r="O2560" s="12"/>
      <c r="P2560" s="13">
        <v>193274</v>
      </c>
      <c r="Q2560" s="13">
        <v>97736</v>
      </c>
      <c r="R2560" s="13">
        <v>102481</v>
      </c>
      <c r="S2560" s="13">
        <v>364463</v>
      </c>
      <c r="V2560" s="13">
        <v>184318</v>
      </c>
      <c r="AC2560" s="16" t="str">
        <f t="shared" si="117"/>
        <v>ADD</v>
      </c>
      <c r="AD2560" s="17">
        <f t="shared" si="118"/>
        <v>364463</v>
      </c>
      <c r="AE2560" s="17">
        <f t="shared" si="119"/>
        <v>0</v>
      </c>
      <c r="AF2560" s="10" t="s">
        <v>6068</v>
      </c>
      <c r="AG2560" s="5" t="s">
        <v>1387</v>
      </c>
      <c r="AH2560" s="5" t="s">
        <v>4717</v>
      </c>
      <c r="AI2560" s="5" t="s">
        <v>6053</v>
      </c>
      <c r="AJ2560" s="5" t="s">
        <v>6067</v>
      </c>
    </row>
    <row r="2561" spans="1:36" ht="10" customHeight="1" x14ac:dyDescent="0.2">
      <c r="A2561" s="5" t="s">
        <v>5448</v>
      </c>
      <c r="B2561" s="5" t="s">
        <v>4713</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6" t="str">
        <f t="shared" si="117"/>
        <v>ADD</v>
      </c>
      <c r="AD2561" s="17">
        <f t="shared" si="118"/>
        <v>426684</v>
      </c>
      <c r="AE2561" s="17">
        <f t="shared" si="119"/>
        <v>0</v>
      </c>
      <c r="AF2561" s="10" t="s">
        <v>6069</v>
      </c>
      <c r="AG2561" s="5" t="s">
        <v>1387</v>
      </c>
      <c r="AH2561" s="5" t="s">
        <v>4717</v>
      </c>
      <c r="AI2561" s="5" t="s">
        <v>6070</v>
      </c>
      <c r="AJ2561" s="5" t="s">
        <v>120</v>
      </c>
    </row>
    <row r="2562" spans="1:36" ht="10" customHeight="1" x14ac:dyDescent="0.2">
      <c r="A2562" s="5" t="s">
        <v>5448</v>
      </c>
      <c r="B2562" s="5" t="s">
        <v>4713</v>
      </c>
      <c r="D2562" s="5" t="s">
        <v>6071</v>
      </c>
      <c r="E2562" s="12"/>
      <c r="I2562" s="11">
        <v>2</v>
      </c>
      <c r="K2562" s="10" t="s">
        <v>50</v>
      </c>
      <c r="L2562" s="5" t="s">
        <v>51</v>
      </c>
      <c r="M2562" s="5" t="s">
        <v>119</v>
      </c>
      <c r="N2562" s="5" t="s">
        <v>120</v>
      </c>
      <c r="O2562" s="12"/>
      <c r="S2562" s="13">
        <v>1662</v>
      </c>
      <c r="V2562" s="13">
        <v>1790</v>
      </c>
      <c r="AC2562" s="16" t="str">
        <f t="shared" si="117"/>
        <v>ADD</v>
      </c>
      <c r="AD2562" s="17">
        <f t="shared" si="118"/>
        <v>1662</v>
      </c>
      <c r="AE2562" s="17">
        <f t="shared" si="119"/>
        <v>0</v>
      </c>
      <c r="AF2562" s="10" t="s">
        <v>6072</v>
      </c>
      <c r="AG2562" s="5" t="s">
        <v>1387</v>
      </c>
      <c r="AH2562" s="5" t="s">
        <v>4717</v>
      </c>
      <c r="AI2562" s="5" t="s">
        <v>6053</v>
      </c>
      <c r="AJ2562" s="5" t="s">
        <v>6071</v>
      </c>
    </row>
    <row r="2563" spans="1:36" ht="10" customHeight="1" x14ac:dyDescent="0.2">
      <c r="A2563" s="5" t="s">
        <v>5448</v>
      </c>
      <c r="B2563" s="5" t="s">
        <v>4713</v>
      </c>
      <c r="D2563" s="5" t="s">
        <v>6073</v>
      </c>
      <c r="E2563" s="12"/>
      <c r="I2563" s="11">
        <v>2</v>
      </c>
      <c r="K2563" s="10" t="s">
        <v>50</v>
      </c>
      <c r="L2563" s="5" t="s">
        <v>51</v>
      </c>
      <c r="M2563" s="5" t="s">
        <v>119</v>
      </c>
      <c r="N2563" s="5" t="s">
        <v>120</v>
      </c>
      <c r="O2563" s="12"/>
      <c r="P2563" s="13">
        <v>643</v>
      </c>
      <c r="AC2563" s="16" t="str">
        <f t="shared" si="117"/>
        <v>ADD</v>
      </c>
      <c r="AD2563" s="17">
        <f t="shared" si="118"/>
        <v>0</v>
      </c>
      <c r="AE2563" s="17">
        <f t="shared" si="119"/>
        <v>0</v>
      </c>
      <c r="AF2563" s="10" t="s">
        <v>6074</v>
      </c>
      <c r="AG2563" s="5" t="s">
        <v>1387</v>
      </c>
      <c r="AH2563" s="5" t="s">
        <v>4717</v>
      </c>
      <c r="AI2563" s="5" t="s">
        <v>6053</v>
      </c>
      <c r="AJ2563" s="5" t="s">
        <v>6073</v>
      </c>
    </row>
    <row r="2564" spans="1:36" ht="10" customHeight="1" x14ac:dyDescent="0.2">
      <c r="A2564" s="5" t="s">
        <v>5448</v>
      </c>
      <c r="B2564" s="5" t="s">
        <v>4713</v>
      </c>
      <c r="D2564" s="5" t="s">
        <v>6075</v>
      </c>
      <c r="E2564" s="12"/>
      <c r="I2564" s="11">
        <v>2</v>
      </c>
      <c r="K2564" s="10" t="s">
        <v>50</v>
      </c>
      <c r="L2564" s="5" t="s">
        <v>51</v>
      </c>
      <c r="M2564" s="5" t="s">
        <v>182</v>
      </c>
      <c r="N2564" s="5" t="s">
        <v>6075</v>
      </c>
      <c r="O2564" s="12"/>
      <c r="P2564" s="13">
        <v>1224</v>
      </c>
      <c r="Q2564" s="13">
        <v>1454</v>
      </c>
      <c r="R2564" s="13">
        <v>1461</v>
      </c>
      <c r="S2564" s="13">
        <v>4007</v>
      </c>
      <c r="V2564" s="13">
        <v>4091</v>
      </c>
      <c r="AC2564" s="16" t="str">
        <f t="shared" si="117"/>
        <v>ADD</v>
      </c>
      <c r="AD2564" s="17">
        <f t="shared" si="118"/>
        <v>4007</v>
      </c>
      <c r="AE2564" s="17">
        <f t="shared" si="119"/>
        <v>0</v>
      </c>
      <c r="AF2564" s="10" t="s">
        <v>6076</v>
      </c>
      <c r="AG2564" s="5" t="s">
        <v>1387</v>
      </c>
      <c r="AH2564" s="5" t="s">
        <v>4717</v>
      </c>
      <c r="AI2564" s="5" t="s">
        <v>6053</v>
      </c>
      <c r="AJ2564" s="5" t="s">
        <v>6075</v>
      </c>
    </row>
    <row r="2565" spans="1:36" ht="10" customHeight="1" x14ac:dyDescent="0.2">
      <c r="A2565" s="5" t="s">
        <v>5448</v>
      </c>
      <c r="B2565" s="5" t="s">
        <v>4713</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6" t="str">
        <f t="shared" si="117"/>
        <v>ADD</v>
      </c>
      <c r="AD2565" s="17">
        <f t="shared" si="118"/>
        <v>345600</v>
      </c>
      <c r="AE2565" s="17">
        <f t="shared" si="119"/>
        <v>0</v>
      </c>
      <c r="AF2565" s="10" t="s">
        <v>6077</v>
      </c>
      <c r="AG2565" s="5" t="s">
        <v>1387</v>
      </c>
      <c r="AH2565" s="5" t="s">
        <v>4717</v>
      </c>
      <c r="AI2565" s="5" t="s">
        <v>6053</v>
      </c>
      <c r="AJ2565" s="5" t="s">
        <v>139</v>
      </c>
    </row>
    <row r="2566" spans="1:36" ht="10" customHeight="1" x14ac:dyDescent="0.2">
      <c r="A2566" s="5" t="s">
        <v>5448</v>
      </c>
      <c r="B2566" s="5" t="s">
        <v>4713</v>
      </c>
      <c r="D2566" s="5" t="s">
        <v>241</v>
      </c>
      <c r="E2566" s="12"/>
      <c r="I2566" s="11">
        <v>2</v>
      </c>
      <c r="K2566" s="10" t="s">
        <v>50</v>
      </c>
      <c r="L2566" s="5" t="s">
        <v>239</v>
      </c>
      <c r="M2566" s="5" t="s">
        <v>240</v>
      </c>
      <c r="N2566" s="5" t="s">
        <v>241</v>
      </c>
      <c r="O2566" s="12"/>
      <c r="S2566" s="13">
        <v>1623</v>
      </c>
      <c r="V2566" s="13">
        <v>1662</v>
      </c>
      <c r="AC2566" s="16" t="str">
        <f t="shared" ref="AC2566:AC2629" si="120">IF(OR(E2566="",E2566="[PARENT]"),"ADD",IF(E2566="[ALT_VIEW]","ALT",""))</f>
        <v>ADD</v>
      </c>
      <c r="AD2566" s="17">
        <f t="shared" ref="AD2566:AD2629" si="121">IF(Y2566&lt;&gt;"",Y2566,IF(U2566&lt;&gt;"",U2566,S2566))</f>
        <v>1623</v>
      </c>
      <c r="AE2566" s="17">
        <f t="shared" ref="AE2566:AE2629" si="122">IF(AB2566&lt;&gt;"",AB2566,Z2566)</f>
        <v>0</v>
      </c>
      <c r="AF2566" s="10" t="s">
        <v>6078</v>
      </c>
      <c r="AG2566" s="5" t="s">
        <v>1387</v>
      </c>
      <c r="AH2566" s="5" t="s">
        <v>4717</v>
      </c>
      <c r="AI2566" s="5" t="s">
        <v>6053</v>
      </c>
      <c r="AJ2566" s="5" t="s">
        <v>241</v>
      </c>
    </row>
    <row r="2567" spans="1:36" ht="10" customHeight="1" x14ac:dyDescent="0.2">
      <c r="A2567" s="5" t="s">
        <v>5448</v>
      </c>
      <c r="B2567" s="5" t="s">
        <v>4713</v>
      </c>
      <c r="D2567" s="5" t="s">
        <v>168</v>
      </c>
      <c r="E2567" s="12"/>
      <c r="I2567" s="11">
        <v>2</v>
      </c>
      <c r="K2567" s="10" t="s">
        <v>50</v>
      </c>
      <c r="L2567" s="5" t="s">
        <v>51</v>
      </c>
      <c r="M2567" s="5" t="s">
        <v>149</v>
      </c>
      <c r="N2567" s="5" t="s">
        <v>168</v>
      </c>
      <c r="O2567" s="12"/>
      <c r="S2567" s="13">
        <v>15896</v>
      </c>
      <c r="V2567" s="13">
        <v>16315</v>
      </c>
      <c r="AC2567" s="16" t="str">
        <f t="shared" si="120"/>
        <v>ADD</v>
      </c>
      <c r="AD2567" s="17">
        <f t="shared" si="121"/>
        <v>15896</v>
      </c>
      <c r="AE2567" s="17">
        <f t="shared" si="122"/>
        <v>0</v>
      </c>
      <c r="AF2567" s="10" t="s">
        <v>6079</v>
      </c>
      <c r="AG2567" s="5" t="s">
        <v>1387</v>
      </c>
      <c r="AH2567" s="5" t="s">
        <v>4717</v>
      </c>
      <c r="AI2567" s="5" t="s">
        <v>6053</v>
      </c>
      <c r="AJ2567" s="5" t="s">
        <v>168</v>
      </c>
    </row>
    <row r="2568" spans="1:36" ht="10" customHeight="1" x14ac:dyDescent="0.2">
      <c r="A2568" s="5" t="s">
        <v>5448</v>
      </c>
      <c r="B2568" s="5" t="s">
        <v>4713</v>
      </c>
      <c r="D2568" s="5" t="s">
        <v>4909</v>
      </c>
      <c r="E2568" s="12"/>
      <c r="I2568" s="11">
        <v>2</v>
      </c>
      <c r="K2568" s="10" t="s">
        <v>50</v>
      </c>
      <c r="L2568" s="5" t="s">
        <v>51</v>
      </c>
      <c r="M2568" s="5" t="s">
        <v>149</v>
      </c>
      <c r="N2568" s="5" t="s">
        <v>4909</v>
      </c>
      <c r="O2568" s="12"/>
      <c r="S2568" s="13">
        <v>16429</v>
      </c>
      <c r="V2568" s="13">
        <v>16573</v>
      </c>
      <c r="AC2568" s="16" t="str">
        <f t="shared" si="120"/>
        <v>ADD</v>
      </c>
      <c r="AD2568" s="17">
        <f t="shared" si="121"/>
        <v>16429</v>
      </c>
      <c r="AE2568" s="17">
        <f t="shared" si="122"/>
        <v>0</v>
      </c>
      <c r="AF2568" s="10" t="s">
        <v>6080</v>
      </c>
      <c r="AG2568" s="5" t="s">
        <v>1387</v>
      </c>
      <c r="AH2568" s="5" t="s">
        <v>4717</v>
      </c>
      <c r="AI2568" s="5" t="s">
        <v>6053</v>
      </c>
      <c r="AJ2568" s="5" t="s">
        <v>4909</v>
      </c>
    </row>
    <row r="2569" spans="1:36" ht="10" customHeight="1" x14ac:dyDescent="0.2">
      <c r="A2569" s="5" t="s">
        <v>5448</v>
      </c>
      <c r="B2569" s="5" t="s">
        <v>4713</v>
      </c>
      <c r="D2569" s="5" t="s">
        <v>150</v>
      </c>
      <c r="E2569" s="12"/>
      <c r="I2569" s="11">
        <v>2</v>
      </c>
      <c r="K2569" s="10" t="s">
        <v>50</v>
      </c>
      <c r="L2569" s="5" t="s">
        <v>51</v>
      </c>
      <c r="M2569" s="5" t="s">
        <v>149</v>
      </c>
      <c r="N2569" s="5" t="s">
        <v>150</v>
      </c>
      <c r="O2569" s="12"/>
      <c r="S2569" s="13">
        <v>44309</v>
      </c>
      <c r="V2569" s="13">
        <v>45312</v>
      </c>
      <c r="AC2569" s="16" t="str">
        <f t="shared" si="120"/>
        <v>ADD</v>
      </c>
      <c r="AD2569" s="17">
        <f t="shared" si="121"/>
        <v>44309</v>
      </c>
      <c r="AE2569" s="17">
        <f t="shared" si="122"/>
        <v>0</v>
      </c>
      <c r="AF2569" s="10" t="s">
        <v>6081</v>
      </c>
      <c r="AG2569" s="5" t="s">
        <v>1387</v>
      </c>
      <c r="AH2569" s="5" t="s">
        <v>4717</v>
      </c>
      <c r="AI2569" s="5" t="s">
        <v>6053</v>
      </c>
      <c r="AJ2569" s="5" t="s">
        <v>150</v>
      </c>
    </row>
    <row r="2570" spans="1:36" ht="10" customHeight="1" x14ac:dyDescent="0.2">
      <c r="A2570" s="5" t="s">
        <v>5448</v>
      </c>
      <c r="B2570" s="5" t="s">
        <v>4713</v>
      </c>
      <c r="D2570" s="5" t="s">
        <v>4903</v>
      </c>
      <c r="E2570" s="12"/>
      <c r="I2570" s="11">
        <v>2</v>
      </c>
      <c r="K2570" s="10" t="s">
        <v>50</v>
      </c>
      <c r="L2570" s="5" t="s">
        <v>51</v>
      </c>
      <c r="M2570" s="5" t="s">
        <v>149</v>
      </c>
      <c r="N2570" s="5" t="s">
        <v>4903</v>
      </c>
      <c r="O2570" s="12"/>
      <c r="S2570" s="13">
        <v>21075</v>
      </c>
      <c r="V2570" s="13">
        <v>21237</v>
      </c>
      <c r="AC2570" s="16" t="str">
        <f t="shared" si="120"/>
        <v>ADD</v>
      </c>
      <c r="AD2570" s="17">
        <f t="shared" si="121"/>
        <v>21075</v>
      </c>
      <c r="AE2570" s="17">
        <f t="shared" si="122"/>
        <v>0</v>
      </c>
      <c r="AF2570" s="10" t="s">
        <v>6082</v>
      </c>
      <c r="AG2570" s="5" t="s">
        <v>1387</v>
      </c>
      <c r="AH2570" s="5" t="s">
        <v>4717</v>
      </c>
      <c r="AI2570" s="5" t="s">
        <v>6053</v>
      </c>
      <c r="AJ2570" s="5" t="s">
        <v>4903</v>
      </c>
    </row>
    <row r="2571" spans="1:36" ht="10" customHeight="1" x14ac:dyDescent="0.2">
      <c r="A2571" s="5" t="s">
        <v>5448</v>
      </c>
      <c r="B2571" s="5" t="s">
        <v>4713</v>
      </c>
      <c r="D2571" s="5" t="s">
        <v>6083</v>
      </c>
      <c r="E2571" s="12"/>
      <c r="I2571" s="11">
        <v>2</v>
      </c>
      <c r="K2571" s="10" t="s">
        <v>50</v>
      </c>
      <c r="L2571" s="5" t="s">
        <v>51</v>
      </c>
      <c r="M2571" s="5" t="s">
        <v>4684</v>
      </c>
      <c r="N2571" s="5" t="s">
        <v>4685</v>
      </c>
      <c r="O2571" s="12"/>
      <c r="P2571" s="13">
        <v>26770</v>
      </c>
      <c r="Q2571" s="13">
        <v>24799</v>
      </c>
      <c r="R2571" s="13">
        <v>24900</v>
      </c>
      <c r="S2571" s="13">
        <v>12468</v>
      </c>
      <c r="V2571" s="13">
        <v>12585</v>
      </c>
      <c r="AC2571" s="16" t="str">
        <f t="shared" si="120"/>
        <v>ADD</v>
      </c>
      <c r="AD2571" s="17">
        <f t="shared" si="121"/>
        <v>12468</v>
      </c>
      <c r="AE2571" s="17">
        <f t="shared" si="122"/>
        <v>0</v>
      </c>
      <c r="AF2571" s="10" t="s">
        <v>6084</v>
      </c>
      <c r="AG2571" s="5" t="s">
        <v>1387</v>
      </c>
      <c r="AH2571" s="5" t="s">
        <v>4717</v>
      </c>
      <c r="AI2571" s="5" t="s">
        <v>6053</v>
      </c>
      <c r="AJ2571" s="5" t="s">
        <v>6083</v>
      </c>
    </row>
    <row r="2572" spans="1:36" ht="10" customHeight="1" x14ac:dyDescent="0.2">
      <c r="A2572" s="5" t="s">
        <v>5448</v>
      </c>
      <c r="B2572" s="5" t="s">
        <v>4713</v>
      </c>
      <c r="D2572" s="5" t="s">
        <v>6085</v>
      </c>
      <c r="E2572" s="12"/>
      <c r="I2572" s="11">
        <v>2</v>
      </c>
      <c r="K2572" s="12"/>
      <c r="O2572" s="12"/>
      <c r="P2572" s="13">
        <v>20</v>
      </c>
      <c r="Q2572" s="13">
        <v>202</v>
      </c>
      <c r="R2572" s="13">
        <v>202</v>
      </c>
      <c r="S2572" s="13">
        <v>244</v>
      </c>
      <c r="V2572" s="13">
        <v>244</v>
      </c>
      <c r="AC2572" s="16" t="str">
        <f t="shared" si="120"/>
        <v>ADD</v>
      </c>
      <c r="AD2572" s="17">
        <f t="shared" si="121"/>
        <v>244</v>
      </c>
      <c r="AE2572" s="17">
        <f t="shared" si="122"/>
        <v>0</v>
      </c>
      <c r="AF2572" s="10" t="s">
        <v>6086</v>
      </c>
      <c r="AG2572" s="5" t="s">
        <v>1387</v>
      </c>
      <c r="AH2572" s="5" t="s">
        <v>4717</v>
      </c>
      <c r="AI2572" s="5" t="s">
        <v>6053</v>
      </c>
      <c r="AJ2572" s="5" t="s">
        <v>6087</v>
      </c>
    </row>
    <row r="2573" spans="1:36" ht="10" customHeight="1" x14ac:dyDescent="0.2">
      <c r="A2573" s="5" t="s">
        <v>5448</v>
      </c>
      <c r="B2573" s="5" t="s">
        <v>4713</v>
      </c>
      <c r="D2573" s="5" t="s">
        <v>6088</v>
      </c>
      <c r="E2573" s="12"/>
      <c r="I2573" s="11">
        <v>2</v>
      </c>
      <c r="K2573" s="10" t="s">
        <v>50</v>
      </c>
      <c r="L2573" s="5" t="s">
        <v>239</v>
      </c>
      <c r="M2573" s="5" t="s">
        <v>6089</v>
      </c>
      <c r="N2573" s="5" t="s">
        <v>6088</v>
      </c>
      <c r="O2573" s="12"/>
      <c r="P2573" s="13">
        <v>326</v>
      </c>
      <c r="Q2573" s="13">
        <v>6</v>
      </c>
      <c r="R2573" s="13">
        <v>6</v>
      </c>
      <c r="S2573" s="13">
        <v>9</v>
      </c>
      <c r="V2573" s="13">
        <v>9</v>
      </c>
      <c r="AC2573" s="16" t="str">
        <f t="shared" si="120"/>
        <v>ADD</v>
      </c>
      <c r="AD2573" s="17">
        <f t="shared" si="121"/>
        <v>9</v>
      </c>
      <c r="AE2573" s="17">
        <f t="shared" si="122"/>
        <v>0</v>
      </c>
      <c r="AF2573" s="10" t="s">
        <v>6090</v>
      </c>
      <c r="AG2573" s="5" t="s">
        <v>1387</v>
      </c>
      <c r="AH2573" s="5" t="s">
        <v>4717</v>
      </c>
      <c r="AI2573" s="5" t="s">
        <v>6091</v>
      </c>
      <c r="AJ2573" s="5" t="s">
        <v>6088</v>
      </c>
    </row>
    <row r="2574" spans="1:36" ht="10" customHeight="1" x14ac:dyDescent="0.2">
      <c r="A2574" s="5" t="s">
        <v>5448</v>
      </c>
      <c r="B2574" s="5" t="s">
        <v>4713</v>
      </c>
      <c r="D2574" s="5" t="s">
        <v>6092</v>
      </c>
      <c r="E2574" s="12"/>
      <c r="I2574" s="11">
        <v>2</v>
      </c>
      <c r="K2574" s="12"/>
      <c r="O2574" s="12"/>
      <c r="P2574" s="13">
        <v>6878</v>
      </c>
      <c r="Q2574" s="13">
        <v>10815</v>
      </c>
      <c r="R2574" s="13">
        <v>11021</v>
      </c>
      <c r="S2574" s="13">
        <v>10691</v>
      </c>
      <c r="V2574" s="13">
        <v>11075</v>
      </c>
      <c r="AC2574" s="16" t="str">
        <f t="shared" si="120"/>
        <v>ADD</v>
      </c>
      <c r="AD2574" s="17">
        <f t="shared" si="121"/>
        <v>10691</v>
      </c>
      <c r="AE2574" s="17">
        <f t="shared" si="122"/>
        <v>0</v>
      </c>
      <c r="AF2574" s="10" t="s">
        <v>6093</v>
      </c>
      <c r="AG2574" s="5" t="s">
        <v>1400</v>
      </c>
      <c r="AH2574" s="5" t="s">
        <v>4717</v>
      </c>
      <c r="AI2574" s="5" t="s">
        <v>6053</v>
      </c>
      <c r="AJ2574" s="5" t="s">
        <v>6092</v>
      </c>
    </row>
    <row r="2575" spans="1:36" ht="10" customHeight="1" x14ac:dyDescent="0.2">
      <c r="A2575" s="5" t="s">
        <v>5448</v>
      </c>
      <c r="B2575" s="5" t="s">
        <v>4713</v>
      </c>
      <c r="D2575" s="5" t="s">
        <v>6094</v>
      </c>
      <c r="E2575" s="12"/>
      <c r="I2575" s="11">
        <v>2</v>
      </c>
      <c r="K2575" s="12"/>
      <c r="O2575" s="12"/>
      <c r="P2575" s="13">
        <v>295</v>
      </c>
      <c r="Q2575" s="13">
        <v>665</v>
      </c>
      <c r="R2575" s="13">
        <v>704</v>
      </c>
      <c r="S2575" s="13">
        <v>649</v>
      </c>
      <c r="V2575" s="13">
        <v>716</v>
      </c>
      <c r="AC2575" s="16" t="str">
        <f t="shared" si="120"/>
        <v>ADD</v>
      </c>
      <c r="AD2575" s="17">
        <f t="shared" si="121"/>
        <v>649</v>
      </c>
      <c r="AE2575" s="17">
        <f t="shared" si="122"/>
        <v>0</v>
      </c>
      <c r="AF2575" s="10" t="s">
        <v>6095</v>
      </c>
      <c r="AG2575" s="5" t="s">
        <v>1400</v>
      </c>
      <c r="AH2575" s="5" t="s">
        <v>4717</v>
      </c>
      <c r="AI2575" s="5" t="s">
        <v>6053</v>
      </c>
      <c r="AJ2575" s="5" t="s">
        <v>6094</v>
      </c>
    </row>
    <row r="2576" spans="1:36" ht="10" customHeight="1" x14ac:dyDescent="0.2">
      <c r="A2576" s="5" t="s">
        <v>5448</v>
      </c>
      <c r="B2576" s="5" t="s">
        <v>4713</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6" t="str">
        <f t="shared" si="120"/>
        <v>ADD</v>
      </c>
      <c r="AD2576" s="17">
        <f t="shared" si="121"/>
        <v>577323</v>
      </c>
      <c r="AE2576" s="17">
        <f t="shared" si="122"/>
        <v>0</v>
      </c>
      <c r="AF2576" s="10" t="s">
        <v>6096</v>
      </c>
      <c r="AG2576" s="5" t="s">
        <v>1400</v>
      </c>
      <c r="AH2576" s="5" t="s">
        <v>4717</v>
      </c>
      <c r="AI2576" s="5" t="s">
        <v>6097</v>
      </c>
      <c r="AJ2576" s="5" t="s">
        <v>53</v>
      </c>
    </row>
    <row r="2577" spans="1:36" ht="10" customHeight="1" x14ac:dyDescent="0.2">
      <c r="A2577" s="5" t="s">
        <v>5448</v>
      </c>
      <c r="B2577" s="5" t="s">
        <v>4713</v>
      </c>
      <c r="D2577" s="5" t="s">
        <v>6098</v>
      </c>
      <c r="E2577" s="12"/>
      <c r="I2577" s="11">
        <v>2</v>
      </c>
      <c r="K2577" s="10" t="s">
        <v>50</v>
      </c>
      <c r="L2577" s="5" t="s">
        <v>51</v>
      </c>
      <c r="M2577" s="5" t="s">
        <v>52</v>
      </c>
      <c r="N2577" s="5" t="s">
        <v>6098</v>
      </c>
      <c r="O2577" s="12"/>
      <c r="S2577" s="13">
        <v>157370</v>
      </c>
      <c r="V2577" s="13">
        <v>162292</v>
      </c>
      <c r="AC2577" s="16" t="str">
        <f t="shared" si="120"/>
        <v>ADD</v>
      </c>
      <c r="AD2577" s="17">
        <f t="shared" si="121"/>
        <v>157370</v>
      </c>
      <c r="AE2577" s="17">
        <f t="shared" si="122"/>
        <v>0</v>
      </c>
      <c r="AF2577" s="10" t="s">
        <v>6099</v>
      </c>
      <c r="AG2577" s="5" t="s">
        <v>1400</v>
      </c>
      <c r="AH2577" s="5" t="s">
        <v>4717</v>
      </c>
      <c r="AI2577" s="5" t="s">
        <v>6053</v>
      </c>
      <c r="AJ2577" s="5" t="s">
        <v>6098</v>
      </c>
    </row>
    <row r="2578" spans="1:36" ht="10" customHeight="1" x14ac:dyDescent="0.2">
      <c r="A2578" s="5" t="s">
        <v>5448</v>
      </c>
      <c r="B2578" s="5" t="s">
        <v>4713</v>
      </c>
      <c r="D2578" s="5" t="s">
        <v>88</v>
      </c>
      <c r="E2578" s="12"/>
      <c r="I2578" s="11">
        <v>2</v>
      </c>
      <c r="K2578" s="10" t="s">
        <v>50</v>
      </c>
      <c r="L2578" s="5" t="s">
        <v>51</v>
      </c>
      <c r="M2578" s="5" t="s">
        <v>52</v>
      </c>
      <c r="N2578" s="5" t="s">
        <v>88</v>
      </c>
      <c r="O2578" s="12"/>
      <c r="S2578" s="13">
        <v>75160</v>
      </c>
      <c r="V2578" s="13">
        <v>77571</v>
      </c>
      <c r="AC2578" s="16" t="str">
        <f t="shared" si="120"/>
        <v>ADD</v>
      </c>
      <c r="AD2578" s="17">
        <f t="shared" si="121"/>
        <v>75160</v>
      </c>
      <c r="AE2578" s="17">
        <f t="shared" si="122"/>
        <v>0</v>
      </c>
      <c r="AF2578" s="10" t="s">
        <v>6100</v>
      </c>
      <c r="AG2578" s="5" t="s">
        <v>1400</v>
      </c>
      <c r="AH2578" s="5" t="s">
        <v>4717</v>
      </c>
      <c r="AI2578" s="5" t="s">
        <v>6053</v>
      </c>
      <c r="AJ2578" s="5" t="s">
        <v>88</v>
      </c>
    </row>
    <row r="2579" spans="1:36" ht="10" customHeight="1" x14ac:dyDescent="0.2">
      <c r="A2579" s="5" t="s">
        <v>5448</v>
      </c>
      <c r="B2579" s="5" t="s">
        <v>4713</v>
      </c>
      <c r="D2579" s="5" t="s">
        <v>6101</v>
      </c>
      <c r="E2579" s="12"/>
      <c r="I2579" s="11">
        <v>2</v>
      </c>
      <c r="K2579" s="10" t="s">
        <v>50</v>
      </c>
      <c r="L2579" s="5" t="s">
        <v>51</v>
      </c>
      <c r="M2579" s="5" t="s">
        <v>52</v>
      </c>
      <c r="N2579" s="5" t="s">
        <v>88</v>
      </c>
      <c r="O2579" s="12"/>
      <c r="P2579" s="13">
        <v>356970</v>
      </c>
      <c r="Q2579" s="13">
        <v>233706</v>
      </c>
      <c r="R2579" s="13">
        <v>258466</v>
      </c>
      <c r="S2579" s="13">
        <v>259540</v>
      </c>
      <c r="V2579" s="13">
        <v>280442</v>
      </c>
      <c r="AC2579" s="16" t="str">
        <f t="shared" si="120"/>
        <v>ADD</v>
      </c>
      <c r="AD2579" s="17">
        <f t="shared" si="121"/>
        <v>259540</v>
      </c>
      <c r="AE2579" s="17">
        <f t="shared" si="122"/>
        <v>0</v>
      </c>
      <c r="AF2579" s="10" t="s">
        <v>6102</v>
      </c>
      <c r="AG2579" s="5" t="s">
        <v>1400</v>
      </c>
      <c r="AH2579" s="5" t="s">
        <v>4717</v>
      </c>
      <c r="AI2579" s="5" t="s">
        <v>6053</v>
      </c>
      <c r="AJ2579" s="5" t="s">
        <v>6101</v>
      </c>
    </row>
    <row r="2580" spans="1:36" ht="10" customHeight="1" x14ac:dyDescent="0.2">
      <c r="A2580" s="5" t="s">
        <v>5448</v>
      </c>
      <c r="B2580" s="5" t="s">
        <v>4713</v>
      </c>
      <c r="D2580" s="5" t="s">
        <v>6103</v>
      </c>
      <c r="E2580" s="12"/>
      <c r="I2580" s="11">
        <v>2</v>
      </c>
      <c r="K2580" s="10" t="s">
        <v>50</v>
      </c>
      <c r="L2580" s="5" t="s">
        <v>51</v>
      </c>
      <c r="M2580" s="5" t="s">
        <v>52</v>
      </c>
      <c r="N2580" s="5" t="s">
        <v>88</v>
      </c>
      <c r="O2580" s="12"/>
      <c r="P2580" s="13">
        <v>677440</v>
      </c>
      <c r="Q2580" s="13">
        <v>628771</v>
      </c>
      <c r="R2580" s="13">
        <v>660421</v>
      </c>
      <c r="S2580" s="13">
        <v>453013</v>
      </c>
      <c r="V2580" s="13">
        <v>477255</v>
      </c>
      <c r="AC2580" s="16" t="str">
        <f t="shared" si="120"/>
        <v>ADD</v>
      </c>
      <c r="AD2580" s="17">
        <f t="shared" si="121"/>
        <v>453013</v>
      </c>
      <c r="AE2580" s="17">
        <f t="shared" si="122"/>
        <v>0</v>
      </c>
      <c r="AF2580" s="10" t="s">
        <v>6104</v>
      </c>
      <c r="AG2580" s="5" t="s">
        <v>1400</v>
      </c>
      <c r="AH2580" s="5" t="s">
        <v>4717</v>
      </c>
      <c r="AI2580" s="5" t="s">
        <v>6053</v>
      </c>
      <c r="AJ2580" s="5" t="s">
        <v>6103</v>
      </c>
    </row>
    <row r="2581" spans="1:36" ht="10" customHeight="1" x14ac:dyDescent="0.2">
      <c r="A2581" s="5" t="s">
        <v>5448</v>
      </c>
      <c r="B2581" s="5" t="s">
        <v>4713</v>
      </c>
      <c r="D2581" s="5" t="s">
        <v>6105</v>
      </c>
      <c r="E2581" s="12"/>
      <c r="I2581" s="11">
        <v>2</v>
      </c>
      <c r="K2581" s="12"/>
      <c r="O2581" s="12"/>
      <c r="S2581" s="13">
        <v>1660</v>
      </c>
      <c r="V2581" s="13">
        <v>1660</v>
      </c>
      <c r="AC2581" s="16" t="str">
        <f t="shared" si="120"/>
        <v>ADD</v>
      </c>
      <c r="AD2581" s="17">
        <f t="shared" si="121"/>
        <v>1660</v>
      </c>
      <c r="AE2581" s="17">
        <f t="shared" si="122"/>
        <v>0</v>
      </c>
      <c r="AF2581" s="10" t="s">
        <v>6106</v>
      </c>
      <c r="AG2581" s="5" t="s">
        <v>1400</v>
      </c>
      <c r="AH2581" s="5" t="s">
        <v>4717</v>
      </c>
      <c r="AI2581" s="5" t="s">
        <v>6053</v>
      </c>
      <c r="AJ2581" s="5" t="s">
        <v>6105</v>
      </c>
    </row>
    <row r="2582" spans="1:36" ht="10" customHeight="1" x14ac:dyDescent="0.2">
      <c r="A2582" s="5" t="s">
        <v>5448</v>
      </c>
      <c r="B2582" s="5" t="s">
        <v>4713</v>
      </c>
      <c r="D2582" s="5" t="s">
        <v>6056</v>
      </c>
      <c r="E2582" s="12"/>
      <c r="I2582" s="11">
        <v>2</v>
      </c>
      <c r="K2582" s="10" t="s">
        <v>50</v>
      </c>
      <c r="L2582" s="5" t="s">
        <v>51</v>
      </c>
      <c r="M2582" s="5" t="s">
        <v>4859</v>
      </c>
      <c r="N2582" s="5" t="s">
        <v>4860</v>
      </c>
      <c r="O2582" s="12"/>
      <c r="P2582" s="13">
        <v>15372</v>
      </c>
      <c r="Q2582" s="13">
        <v>65480</v>
      </c>
      <c r="R2582" s="13">
        <v>65674</v>
      </c>
      <c r="S2582" s="13">
        <v>2762</v>
      </c>
      <c r="V2582" s="13">
        <v>3093</v>
      </c>
      <c r="AC2582" s="16" t="str">
        <f t="shared" si="120"/>
        <v>ADD</v>
      </c>
      <c r="AD2582" s="17">
        <f t="shared" si="121"/>
        <v>2762</v>
      </c>
      <c r="AE2582" s="17">
        <f t="shared" si="122"/>
        <v>0</v>
      </c>
      <c r="AF2582" s="10" t="s">
        <v>6107</v>
      </c>
      <c r="AG2582" s="5" t="s">
        <v>1400</v>
      </c>
      <c r="AH2582" s="5" t="s">
        <v>4717</v>
      </c>
      <c r="AI2582" s="5" t="s">
        <v>6108</v>
      </c>
      <c r="AJ2582" s="5" t="s">
        <v>6056</v>
      </c>
    </row>
    <row r="2583" spans="1:36" ht="10" customHeight="1" x14ac:dyDescent="0.2">
      <c r="A2583" s="5" t="s">
        <v>5448</v>
      </c>
      <c r="B2583" s="5" t="s">
        <v>4713</v>
      </c>
      <c r="D2583" s="5" t="s">
        <v>6038</v>
      </c>
      <c r="E2583" s="12"/>
      <c r="I2583" s="11">
        <v>2</v>
      </c>
      <c r="K2583" s="10" t="s">
        <v>50</v>
      </c>
      <c r="L2583" s="5" t="s">
        <v>51</v>
      </c>
      <c r="M2583" s="5" t="s">
        <v>149</v>
      </c>
      <c r="N2583" s="5" t="s">
        <v>4909</v>
      </c>
      <c r="O2583" s="12"/>
      <c r="P2583" s="13">
        <v>518125</v>
      </c>
      <c r="Q2583" s="13">
        <v>474175</v>
      </c>
      <c r="R2583" s="13">
        <v>499230</v>
      </c>
      <c r="S2583" s="13">
        <v>180719</v>
      </c>
      <c r="V2583" s="13">
        <v>223014</v>
      </c>
      <c r="AC2583" s="16" t="str">
        <f t="shared" si="120"/>
        <v>ADD</v>
      </c>
      <c r="AD2583" s="17">
        <f t="shared" si="121"/>
        <v>180719</v>
      </c>
      <c r="AE2583" s="17">
        <f t="shared" si="122"/>
        <v>0</v>
      </c>
      <c r="AF2583" s="10" t="s">
        <v>6109</v>
      </c>
      <c r="AG2583" s="5" t="s">
        <v>1400</v>
      </c>
      <c r="AH2583" s="5" t="s">
        <v>4717</v>
      </c>
      <c r="AI2583" s="5" t="s">
        <v>6108</v>
      </c>
      <c r="AJ2583" s="5" t="s">
        <v>6038</v>
      </c>
    </row>
    <row r="2584" spans="1:36" ht="10" customHeight="1" x14ac:dyDescent="0.2">
      <c r="A2584" s="5" t="s">
        <v>5448</v>
      </c>
      <c r="B2584" s="5" t="s">
        <v>4713</v>
      </c>
      <c r="D2584" s="5" t="s">
        <v>6059</v>
      </c>
      <c r="E2584" s="12"/>
      <c r="I2584" s="11">
        <v>2</v>
      </c>
      <c r="K2584" s="12"/>
      <c r="O2584" s="12"/>
      <c r="P2584" s="13">
        <v>1903</v>
      </c>
      <c r="Q2584" s="13">
        <v>89284</v>
      </c>
      <c r="R2584" s="13">
        <v>89284</v>
      </c>
      <c r="S2584" s="13">
        <v>24967</v>
      </c>
      <c r="V2584" s="13">
        <v>24967</v>
      </c>
      <c r="AC2584" s="16" t="str">
        <f t="shared" si="120"/>
        <v>ADD</v>
      </c>
      <c r="AD2584" s="17">
        <f t="shared" si="121"/>
        <v>24967</v>
      </c>
      <c r="AE2584" s="17">
        <f t="shared" si="122"/>
        <v>0</v>
      </c>
      <c r="AF2584" s="10" t="s">
        <v>6110</v>
      </c>
      <c r="AG2584" s="5" t="s">
        <v>1400</v>
      </c>
      <c r="AH2584" s="5" t="s">
        <v>4717</v>
      </c>
      <c r="AI2584" s="5" t="s">
        <v>6108</v>
      </c>
      <c r="AJ2584" s="5" t="s">
        <v>6059</v>
      </c>
    </row>
    <row r="2585" spans="1:36" ht="10" customHeight="1" x14ac:dyDescent="0.2">
      <c r="A2585" s="5" t="s">
        <v>5448</v>
      </c>
      <c r="B2585" s="5" t="s">
        <v>4713</v>
      </c>
      <c r="D2585" s="5" t="s">
        <v>6061</v>
      </c>
      <c r="E2585" s="12"/>
      <c r="I2585" s="11">
        <v>2</v>
      </c>
      <c r="K2585" s="12"/>
      <c r="O2585" s="12"/>
      <c r="P2585" s="13">
        <v>17244</v>
      </c>
      <c r="Q2585" s="13">
        <v>23306</v>
      </c>
      <c r="R2585" s="13">
        <v>23632</v>
      </c>
      <c r="S2585" s="13">
        <v>8400</v>
      </c>
      <c r="V2585" s="13">
        <v>8751</v>
      </c>
      <c r="AC2585" s="16" t="str">
        <f t="shared" si="120"/>
        <v>ADD</v>
      </c>
      <c r="AD2585" s="17">
        <f t="shared" si="121"/>
        <v>8400</v>
      </c>
      <c r="AE2585" s="17">
        <f t="shared" si="122"/>
        <v>0</v>
      </c>
      <c r="AF2585" s="10" t="s">
        <v>6111</v>
      </c>
      <c r="AG2585" s="5" t="s">
        <v>1400</v>
      </c>
      <c r="AH2585" s="5" t="s">
        <v>4717</v>
      </c>
      <c r="AI2585" s="5" t="s">
        <v>6108</v>
      </c>
      <c r="AJ2585" s="5" t="s">
        <v>6061</v>
      </c>
    </row>
    <row r="2586" spans="1:36" ht="10" customHeight="1" x14ac:dyDescent="0.2">
      <c r="A2586" s="5" t="s">
        <v>5448</v>
      </c>
      <c r="B2586" s="5" t="s">
        <v>4713</v>
      </c>
      <c r="D2586" s="5" t="s">
        <v>4959</v>
      </c>
      <c r="E2586" s="12"/>
      <c r="I2586" s="11">
        <v>2</v>
      </c>
      <c r="K2586" s="10" t="s">
        <v>50</v>
      </c>
      <c r="L2586" s="5" t="s">
        <v>51</v>
      </c>
      <c r="M2586" s="5" t="s">
        <v>119</v>
      </c>
      <c r="N2586" s="5" t="s">
        <v>4959</v>
      </c>
      <c r="O2586" s="12"/>
      <c r="P2586" s="13">
        <v>106091</v>
      </c>
      <c r="Q2586" s="13">
        <v>50328</v>
      </c>
      <c r="R2586" s="13">
        <v>51680</v>
      </c>
      <c r="S2586" s="13">
        <v>40292</v>
      </c>
      <c r="V2586" s="13">
        <v>42503</v>
      </c>
      <c r="AC2586" s="16" t="str">
        <f t="shared" si="120"/>
        <v>ADD</v>
      </c>
      <c r="AD2586" s="17">
        <f t="shared" si="121"/>
        <v>40292</v>
      </c>
      <c r="AE2586" s="17">
        <f t="shared" si="122"/>
        <v>0</v>
      </c>
      <c r="AF2586" s="10" t="s">
        <v>6112</v>
      </c>
      <c r="AG2586" s="5" t="s">
        <v>1400</v>
      </c>
      <c r="AH2586" s="5" t="s">
        <v>4717</v>
      </c>
      <c r="AI2586" s="5" t="s">
        <v>6108</v>
      </c>
      <c r="AJ2586" s="5" t="s">
        <v>4959</v>
      </c>
    </row>
    <row r="2587" spans="1:36" ht="10" customHeight="1" x14ac:dyDescent="0.2">
      <c r="A2587" s="5" t="s">
        <v>5448</v>
      </c>
      <c r="B2587" s="5" t="s">
        <v>4713</v>
      </c>
      <c r="D2587" s="5" t="s">
        <v>6067</v>
      </c>
      <c r="E2587" s="12"/>
      <c r="I2587" s="11">
        <v>2</v>
      </c>
      <c r="K2587" s="10" t="s">
        <v>50</v>
      </c>
      <c r="L2587" s="5" t="s">
        <v>51</v>
      </c>
      <c r="M2587" s="5" t="s">
        <v>69</v>
      </c>
      <c r="N2587" s="5" t="s">
        <v>70</v>
      </c>
      <c r="O2587" s="12"/>
      <c r="P2587" s="13">
        <v>1796346</v>
      </c>
      <c r="Q2587" s="13">
        <v>2748996</v>
      </c>
      <c r="R2587" s="13">
        <v>2897547</v>
      </c>
      <c r="S2587" s="13">
        <v>2720122</v>
      </c>
      <c r="V2587" s="13">
        <v>3030280</v>
      </c>
      <c r="AC2587" s="16" t="str">
        <f t="shared" si="120"/>
        <v>ADD</v>
      </c>
      <c r="AD2587" s="17">
        <f t="shared" si="121"/>
        <v>2720122</v>
      </c>
      <c r="AE2587" s="17">
        <f t="shared" si="122"/>
        <v>0</v>
      </c>
      <c r="AF2587" s="10" t="s">
        <v>6113</v>
      </c>
      <c r="AG2587" s="5" t="s">
        <v>1400</v>
      </c>
      <c r="AH2587" s="5" t="s">
        <v>4717</v>
      </c>
      <c r="AI2587" s="5" t="s">
        <v>6108</v>
      </c>
      <c r="AJ2587" s="5" t="s">
        <v>6067</v>
      </c>
    </row>
    <row r="2588" spans="1:36" ht="10" customHeight="1" x14ac:dyDescent="0.2">
      <c r="A2588" s="5" t="s">
        <v>5448</v>
      </c>
      <c r="B2588" s="5" t="s">
        <v>4713</v>
      </c>
      <c r="D2588" s="5" t="s">
        <v>6114</v>
      </c>
      <c r="E2588" s="12"/>
      <c r="I2588" s="11">
        <v>2</v>
      </c>
      <c r="K2588" s="10" t="s">
        <v>50</v>
      </c>
      <c r="L2588" s="5" t="s">
        <v>51</v>
      </c>
      <c r="M2588" s="5" t="s">
        <v>69</v>
      </c>
      <c r="N2588" s="5" t="s">
        <v>70</v>
      </c>
      <c r="O2588" s="12"/>
      <c r="P2588" s="13">
        <v>278</v>
      </c>
      <c r="Q2588" s="13">
        <v>312</v>
      </c>
      <c r="R2588" s="13">
        <v>312</v>
      </c>
      <c r="S2588" s="13">
        <v>312</v>
      </c>
      <c r="V2588" s="13">
        <v>323</v>
      </c>
      <c r="AC2588" s="16" t="str">
        <f t="shared" si="120"/>
        <v>ADD</v>
      </c>
      <c r="AD2588" s="17">
        <f t="shared" si="121"/>
        <v>312</v>
      </c>
      <c r="AE2588" s="17">
        <f t="shared" si="122"/>
        <v>0</v>
      </c>
      <c r="AF2588" s="10" t="s">
        <v>6115</v>
      </c>
      <c r="AG2588" s="5" t="s">
        <v>1400</v>
      </c>
      <c r="AH2588" s="5" t="s">
        <v>4717</v>
      </c>
      <c r="AI2588" s="5" t="s">
        <v>6108</v>
      </c>
      <c r="AJ2588" s="5" t="s">
        <v>6116</v>
      </c>
    </row>
    <row r="2589" spans="1:36" ht="10" customHeight="1" x14ac:dyDescent="0.2">
      <c r="A2589" s="5" t="s">
        <v>5448</v>
      </c>
      <c r="B2589" s="5" t="s">
        <v>4713</v>
      </c>
      <c r="D2589" s="5" t="s">
        <v>70</v>
      </c>
      <c r="E2589" s="12"/>
      <c r="I2589" s="11">
        <v>2</v>
      </c>
      <c r="K2589" s="10" t="s">
        <v>50</v>
      </c>
      <c r="L2589" s="5" t="s">
        <v>51</v>
      </c>
      <c r="M2589" s="5" t="s">
        <v>69</v>
      </c>
      <c r="N2589" s="5" t="s">
        <v>70</v>
      </c>
      <c r="O2589" s="12"/>
      <c r="S2589" s="13">
        <v>17657</v>
      </c>
      <c r="V2589" s="13">
        <v>18054</v>
      </c>
      <c r="AC2589" s="16" t="str">
        <f t="shared" si="120"/>
        <v>ADD</v>
      </c>
      <c r="AD2589" s="17">
        <f t="shared" si="121"/>
        <v>17657</v>
      </c>
      <c r="AE2589" s="17">
        <f t="shared" si="122"/>
        <v>0</v>
      </c>
      <c r="AF2589" s="10" t="s">
        <v>6117</v>
      </c>
      <c r="AG2589" s="5" t="s">
        <v>1400</v>
      </c>
      <c r="AH2589" s="5" t="s">
        <v>4717</v>
      </c>
      <c r="AI2589" s="5" t="s">
        <v>6108</v>
      </c>
      <c r="AJ2589" s="5" t="s">
        <v>70</v>
      </c>
    </row>
    <row r="2590" spans="1:36" ht="10" customHeight="1" x14ac:dyDescent="0.2">
      <c r="A2590" s="5" t="s">
        <v>5448</v>
      </c>
      <c r="B2590" s="5" t="s">
        <v>4713</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6" t="str">
        <f t="shared" si="120"/>
        <v>ADD</v>
      </c>
      <c r="AD2590" s="17">
        <f t="shared" si="121"/>
        <v>525288</v>
      </c>
      <c r="AE2590" s="17">
        <f t="shared" si="122"/>
        <v>0</v>
      </c>
      <c r="AF2590" s="10" t="s">
        <v>6118</v>
      </c>
      <c r="AG2590" s="5" t="s">
        <v>1400</v>
      </c>
      <c r="AH2590" s="5" t="s">
        <v>4717</v>
      </c>
      <c r="AI2590" s="5" t="s">
        <v>6119</v>
      </c>
      <c r="AJ2590" s="5" t="s">
        <v>120</v>
      </c>
    </row>
    <row r="2591" spans="1:36" ht="10" customHeight="1" x14ac:dyDescent="0.2">
      <c r="A2591" s="5" t="s">
        <v>5448</v>
      </c>
      <c r="B2591" s="5" t="s">
        <v>4713</v>
      </c>
      <c r="D2591" s="5" t="s">
        <v>6071</v>
      </c>
      <c r="E2591" s="12"/>
      <c r="I2591" s="11">
        <v>2</v>
      </c>
      <c r="K2591" s="10" t="s">
        <v>50</v>
      </c>
      <c r="L2591" s="5" t="s">
        <v>51</v>
      </c>
      <c r="M2591" s="5" t="s">
        <v>119</v>
      </c>
      <c r="N2591" s="5" t="s">
        <v>120</v>
      </c>
      <c r="O2591" s="12"/>
      <c r="S2591" s="13">
        <v>6174</v>
      </c>
      <c r="V2591" s="13">
        <v>7358</v>
      </c>
      <c r="AC2591" s="16" t="str">
        <f t="shared" si="120"/>
        <v>ADD</v>
      </c>
      <c r="AD2591" s="17">
        <f t="shared" si="121"/>
        <v>6174</v>
      </c>
      <c r="AE2591" s="17">
        <f t="shared" si="122"/>
        <v>0</v>
      </c>
      <c r="AF2591" s="10" t="s">
        <v>6120</v>
      </c>
      <c r="AG2591" s="5" t="s">
        <v>1400</v>
      </c>
      <c r="AH2591" s="5" t="s">
        <v>4717</v>
      </c>
      <c r="AI2591" s="5" t="s">
        <v>6108</v>
      </c>
      <c r="AJ2591" s="5" t="s">
        <v>6071</v>
      </c>
    </row>
    <row r="2592" spans="1:36" ht="10" customHeight="1" x14ac:dyDescent="0.2">
      <c r="A2592" s="5" t="s">
        <v>5448</v>
      </c>
      <c r="B2592" s="5" t="s">
        <v>4713</v>
      </c>
      <c r="D2592" s="5" t="s">
        <v>6073</v>
      </c>
      <c r="E2592" s="12"/>
      <c r="I2592" s="11">
        <v>2</v>
      </c>
      <c r="K2592" s="10" t="s">
        <v>50</v>
      </c>
      <c r="L2592" s="5" t="s">
        <v>51</v>
      </c>
      <c r="M2592" s="5" t="s">
        <v>119</v>
      </c>
      <c r="N2592" s="5" t="s">
        <v>120</v>
      </c>
      <c r="O2592" s="12"/>
      <c r="P2592" s="13">
        <v>2130</v>
      </c>
      <c r="AC2592" s="16" t="str">
        <f t="shared" si="120"/>
        <v>ADD</v>
      </c>
      <c r="AD2592" s="17">
        <f t="shared" si="121"/>
        <v>0</v>
      </c>
      <c r="AE2592" s="17">
        <f t="shared" si="122"/>
        <v>0</v>
      </c>
      <c r="AF2592" s="10" t="s">
        <v>6121</v>
      </c>
      <c r="AG2592" s="5" t="s">
        <v>1400</v>
      </c>
      <c r="AH2592" s="5" t="s">
        <v>4717</v>
      </c>
      <c r="AI2592" s="5" t="s">
        <v>6108</v>
      </c>
      <c r="AJ2592" s="5" t="s">
        <v>6073</v>
      </c>
    </row>
    <row r="2593" spans="1:36" ht="10" customHeight="1" x14ac:dyDescent="0.2">
      <c r="A2593" s="5" t="s">
        <v>5448</v>
      </c>
      <c r="B2593" s="5" t="s">
        <v>4713</v>
      </c>
      <c r="D2593" s="5" t="s">
        <v>6075</v>
      </c>
      <c r="E2593" s="12"/>
      <c r="I2593" s="11">
        <v>2</v>
      </c>
      <c r="K2593" s="10" t="s">
        <v>50</v>
      </c>
      <c r="L2593" s="5" t="s">
        <v>51</v>
      </c>
      <c r="M2593" s="5" t="s">
        <v>182</v>
      </c>
      <c r="N2593" s="5" t="s">
        <v>6075</v>
      </c>
      <c r="O2593" s="12"/>
      <c r="P2593" s="13">
        <v>6850</v>
      </c>
      <c r="Q2593" s="13">
        <v>20241</v>
      </c>
      <c r="R2593" s="13">
        <v>20629</v>
      </c>
      <c r="S2593" s="13">
        <v>19655</v>
      </c>
      <c r="V2593" s="13">
        <v>22134</v>
      </c>
      <c r="AC2593" s="16" t="str">
        <f t="shared" si="120"/>
        <v>ADD</v>
      </c>
      <c r="AD2593" s="17">
        <f t="shared" si="121"/>
        <v>19655</v>
      </c>
      <c r="AE2593" s="17">
        <f t="shared" si="122"/>
        <v>0</v>
      </c>
      <c r="AF2593" s="10" t="s">
        <v>6122</v>
      </c>
      <c r="AG2593" s="5" t="s">
        <v>1400</v>
      </c>
      <c r="AH2593" s="5" t="s">
        <v>4717</v>
      </c>
      <c r="AI2593" s="5" t="s">
        <v>6108</v>
      </c>
      <c r="AJ2593" s="5" t="s">
        <v>6075</v>
      </c>
    </row>
    <row r="2594" spans="1:36" ht="10" customHeight="1" x14ac:dyDescent="0.2">
      <c r="A2594" s="5" t="s">
        <v>5448</v>
      </c>
      <c r="B2594" s="5" t="s">
        <v>4713</v>
      </c>
      <c r="D2594" s="5" t="s">
        <v>4860</v>
      </c>
      <c r="E2594" s="12"/>
      <c r="I2594" s="11">
        <v>2</v>
      </c>
      <c r="K2594" s="10" t="s">
        <v>50</v>
      </c>
      <c r="L2594" s="5" t="s">
        <v>51</v>
      </c>
      <c r="M2594" s="5" t="s">
        <v>4859</v>
      </c>
      <c r="N2594" s="5" t="s">
        <v>4860</v>
      </c>
      <c r="O2594" s="12"/>
      <c r="P2594" s="13">
        <v>5496</v>
      </c>
      <c r="Q2594" s="13">
        <v>517</v>
      </c>
      <c r="R2594" s="13">
        <v>517</v>
      </c>
      <c r="S2594" s="13">
        <v>3899</v>
      </c>
      <c r="V2594" s="13">
        <v>57265</v>
      </c>
      <c r="AC2594" s="16" t="str">
        <f t="shared" si="120"/>
        <v>ADD</v>
      </c>
      <c r="AD2594" s="17">
        <f t="shared" si="121"/>
        <v>3899</v>
      </c>
      <c r="AE2594" s="17">
        <f t="shared" si="122"/>
        <v>0</v>
      </c>
      <c r="AF2594" s="10" t="s">
        <v>6123</v>
      </c>
      <c r="AG2594" s="5" t="s">
        <v>1400</v>
      </c>
      <c r="AH2594" s="5" t="s">
        <v>4717</v>
      </c>
      <c r="AI2594" s="5" t="s">
        <v>6108</v>
      </c>
      <c r="AJ2594" s="5" t="s">
        <v>4860</v>
      </c>
    </row>
    <row r="2595" spans="1:36" ht="10" customHeight="1" x14ac:dyDescent="0.2">
      <c r="A2595" s="5" t="s">
        <v>5448</v>
      </c>
      <c r="B2595" s="5" t="s">
        <v>4713</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6" t="str">
        <f t="shared" si="120"/>
        <v>ADD</v>
      </c>
      <c r="AD2595" s="17">
        <f t="shared" si="121"/>
        <v>230789</v>
      </c>
      <c r="AE2595" s="17">
        <f t="shared" si="122"/>
        <v>0</v>
      </c>
      <c r="AF2595" s="10" t="s">
        <v>6124</v>
      </c>
      <c r="AG2595" s="5" t="s">
        <v>1400</v>
      </c>
      <c r="AH2595" s="5" t="s">
        <v>4717</v>
      </c>
      <c r="AI2595" s="5" t="s">
        <v>6125</v>
      </c>
      <c r="AJ2595" s="5" t="s">
        <v>139</v>
      </c>
    </row>
    <row r="2596" spans="1:36" ht="10" customHeight="1" x14ac:dyDescent="0.2">
      <c r="A2596" s="5" t="s">
        <v>5448</v>
      </c>
      <c r="B2596" s="5" t="s">
        <v>4713</v>
      </c>
      <c r="D2596" s="5" t="s">
        <v>168</v>
      </c>
      <c r="E2596" s="12"/>
      <c r="I2596" s="11">
        <v>2</v>
      </c>
      <c r="K2596" s="10" t="s">
        <v>50</v>
      </c>
      <c r="L2596" s="5" t="s">
        <v>51</v>
      </c>
      <c r="M2596" s="5" t="s">
        <v>149</v>
      </c>
      <c r="N2596" s="5" t="s">
        <v>168</v>
      </c>
      <c r="O2596" s="12"/>
      <c r="S2596" s="13">
        <v>29116</v>
      </c>
      <c r="V2596" s="13">
        <v>30946</v>
      </c>
      <c r="AC2596" s="16" t="str">
        <f t="shared" si="120"/>
        <v>ADD</v>
      </c>
      <c r="AD2596" s="17">
        <f t="shared" si="121"/>
        <v>29116</v>
      </c>
      <c r="AE2596" s="17">
        <f t="shared" si="122"/>
        <v>0</v>
      </c>
      <c r="AF2596" s="10" t="s">
        <v>6126</v>
      </c>
      <c r="AG2596" s="5" t="s">
        <v>1400</v>
      </c>
      <c r="AH2596" s="5" t="s">
        <v>4717</v>
      </c>
      <c r="AI2596" s="5" t="s">
        <v>6108</v>
      </c>
      <c r="AJ2596" s="5" t="s">
        <v>168</v>
      </c>
    </row>
    <row r="2597" spans="1:36" ht="10" customHeight="1" x14ac:dyDescent="0.2">
      <c r="A2597" s="5" t="s">
        <v>5448</v>
      </c>
      <c r="B2597" s="5" t="s">
        <v>4713</v>
      </c>
      <c r="D2597" s="5" t="s">
        <v>6127</v>
      </c>
      <c r="E2597" s="12"/>
      <c r="I2597" s="11">
        <v>2</v>
      </c>
      <c r="K2597" s="10" t="s">
        <v>50</v>
      </c>
      <c r="L2597" s="5" t="s">
        <v>51</v>
      </c>
      <c r="M2597" s="5" t="s">
        <v>149</v>
      </c>
      <c r="O2597" s="12"/>
      <c r="P2597" s="13">
        <v>5608</v>
      </c>
      <c r="Q2597" s="13">
        <v>10944</v>
      </c>
      <c r="R2597" s="13">
        <v>10944</v>
      </c>
      <c r="AC2597" s="16" t="str">
        <f t="shared" si="120"/>
        <v>ADD</v>
      </c>
      <c r="AD2597" s="17">
        <f t="shared" si="121"/>
        <v>0</v>
      </c>
      <c r="AE2597" s="17">
        <f t="shared" si="122"/>
        <v>0</v>
      </c>
      <c r="AF2597" s="10" t="s">
        <v>6128</v>
      </c>
      <c r="AG2597" s="5" t="s">
        <v>1400</v>
      </c>
      <c r="AH2597" s="5" t="s">
        <v>4717</v>
      </c>
      <c r="AI2597" s="5" t="s">
        <v>6108</v>
      </c>
      <c r="AJ2597" s="5" t="s">
        <v>6127</v>
      </c>
    </row>
    <row r="2598" spans="1:36" ht="10" customHeight="1" x14ac:dyDescent="0.2">
      <c r="A2598" s="5" t="s">
        <v>5448</v>
      </c>
      <c r="B2598" s="5" t="s">
        <v>4713</v>
      </c>
      <c r="D2598" s="5" t="s">
        <v>4909</v>
      </c>
      <c r="E2598" s="12"/>
      <c r="I2598" s="11">
        <v>2</v>
      </c>
      <c r="K2598" s="10" t="s">
        <v>50</v>
      </c>
      <c r="L2598" s="5" t="s">
        <v>51</v>
      </c>
      <c r="M2598" s="5" t="s">
        <v>149</v>
      </c>
      <c r="N2598" s="5" t="s">
        <v>4909</v>
      </c>
      <c r="O2598" s="12"/>
      <c r="S2598" s="13">
        <v>36577</v>
      </c>
      <c r="V2598" s="13">
        <v>37210</v>
      </c>
      <c r="AC2598" s="16" t="str">
        <f t="shared" si="120"/>
        <v>ADD</v>
      </c>
      <c r="AD2598" s="17">
        <f t="shared" si="121"/>
        <v>36577</v>
      </c>
      <c r="AE2598" s="17">
        <f t="shared" si="122"/>
        <v>0</v>
      </c>
      <c r="AF2598" s="10" t="s">
        <v>6129</v>
      </c>
      <c r="AG2598" s="5" t="s">
        <v>1400</v>
      </c>
      <c r="AH2598" s="5" t="s">
        <v>4717</v>
      </c>
      <c r="AI2598" s="5" t="s">
        <v>6108</v>
      </c>
      <c r="AJ2598" s="5" t="s">
        <v>4909</v>
      </c>
    </row>
    <row r="2599" spans="1:36" ht="10" customHeight="1" x14ac:dyDescent="0.2">
      <c r="A2599" s="5" t="s">
        <v>5448</v>
      </c>
      <c r="B2599" s="5" t="s">
        <v>4713</v>
      </c>
      <c r="D2599" s="5" t="s">
        <v>150</v>
      </c>
      <c r="E2599" s="12"/>
      <c r="I2599" s="11">
        <v>2</v>
      </c>
      <c r="K2599" s="10" t="s">
        <v>50</v>
      </c>
      <c r="L2599" s="5" t="s">
        <v>51</v>
      </c>
      <c r="M2599" s="5" t="s">
        <v>149</v>
      </c>
      <c r="N2599" s="5" t="s">
        <v>150</v>
      </c>
      <c r="O2599" s="12"/>
      <c r="S2599" s="13">
        <v>105286</v>
      </c>
      <c r="V2599" s="13">
        <v>105354</v>
      </c>
      <c r="AC2599" s="16" t="str">
        <f t="shared" si="120"/>
        <v>ADD</v>
      </c>
      <c r="AD2599" s="17">
        <f t="shared" si="121"/>
        <v>105286</v>
      </c>
      <c r="AE2599" s="17">
        <f t="shared" si="122"/>
        <v>0</v>
      </c>
      <c r="AF2599" s="10" t="s">
        <v>6130</v>
      </c>
      <c r="AG2599" s="5" t="s">
        <v>1412</v>
      </c>
      <c r="AH2599" s="5" t="s">
        <v>4717</v>
      </c>
      <c r="AI2599" s="5" t="s">
        <v>6108</v>
      </c>
      <c r="AJ2599" s="5" t="s">
        <v>150</v>
      </c>
    </row>
    <row r="2600" spans="1:36" ht="10" customHeight="1" x14ac:dyDescent="0.2">
      <c r="A2600" s="5" t="s">
        <v>5448</v>
      </c>
      <c r="B2600" s="5" t="s">
        <v>4713</v>
      </c>
      <c r="D2600" s="5" t="s">
        <v>4903</v>
      </c>
      <c r="E2600" s="12"/>
      <c r="I2600" s="11">
        <v>2</v>
      </c>
      <c r="K2600" s="10" t="s">
        <v>50</v>
      </c>
      <c r="L2600" s="5" t="s">
        <v>51</v>
      </c>
      <c r="M2600" s="5" t="s">
        <v>149</v>
      </c>
      <c r="N2600" s="5" t="s">
        <v>4903</v>
      </c>
      <c r="O2600" s="12"/>
      <c r="S2600" s="13">
        <v>73346</v>
      </c>
      <c r="V2600" s="13">
        <v>97543</v>
      </c>
      <c r="AC2600" s="16" t="str">
        <f t="shared" si="120"/>
        <v>ADD</v>
      </c>
      <c r="AD2600" s="17">
        <f t="shared" si="121"/>
        <v>73346</v>
      </c>
      <c r="AE2600" s="17">
        <f t="shared" si="122"/>
        <v>0</v>
      </c>
      <c r="AF2600" s="10" t="s">
        <v>6131</v>
      </c>
      <c r="AG2600" s="5" t="s">
        <v>1412</v>
      </c>
      <c r="AH2600" s="5" t="s">
        <v>4717</v>
      </c>
      <c r="AI2600" s="5" t="s">
        <v>6108</v>
      </c>
      <c r="AJ2600" s="5" t="s">
        <v>4903</v>
      </c>
    </row>
    <row r="2601" spans="1:36" ht="10" customHeight="1" x14ac:dyDescent="0.2">
      <c r="A2601" s="5" t="s">
        <v>5448</v>
      </c>
      <c r="B2601" s="5" t="s">
        <v>4713</v>
      </c>
      <c r="D2601" s="5" t="s">
        <v>6083</v>
      </c>
      <c r="E2601" s="12"/>
      <c r="I2601" s="11">
        <v>2</v>
      </c>
      <c r="K2601" s="10" t="s">
        <v>50</v>
      </c>
      <c r="L2601" s="5" t="s">
        <v>51</v>
      </c>
      <c r="M2601" s="5" t="s">
        <v>4684</v>
      </c>
      <c r="N2601" s="5" t="s">
        <v>4685</v>
      </c>
      <c r="O2601" s="12"/>
      <c r="P2601" s="13">
        <v>55837</v>
      </c>
      <c r="Q2601" s="13">
        <v>46252</v>
      </c>
      <c r="R2601" s="13">
        <v>47028</v>
      </c>
      <c r="S2601" s="13">
        <v>10813</v>
      </c>
      <c r="V2601" s="13">
        <v>13189</v>
      </c>
      <c r="AC2601" s="16" t="str">
        <f t="shared" si="120"/>
        <v>ADD</v>
      </c>
      <c r="AD2601" s="17">
        <f t="shared" si="121"/>
        <v>10813</v>
      </c>
      <c r="AE2601" s="17">
        <f t="shared" si="122"/>
        <v>0</v>
      </c>
      <c r="AF2601" s="10" t="s">
        <v>6132</v>
      </c>
      <c r="AG2601" s="5" t="s">
        <v>1412</v>
      </c>
      <c r="AH2601" s="5" t="s">
        <v>4717</v>
      </c>
      <c r="AI2601" s="5" t="s">
        <v>6108</v>
      </c>
      <c r="AJ2601" s="5" t="s">
        <v>6083</v>
      </c>
    </row>
    <row r="2602" spans="1:36" ht="10" customHeight="1" x14ac:dyDescent="0.2">
      <c r="A2602" s="5" t="s">
        <v>5448</v>
      </c>
      <c r="B2602" s="5" t="s">
        <v>4713</v>
      </c>
      <c r="D2602" s="5" t="s">
        <v>6133</v>
      </c>
      <c r="E2602" s="12"/>
      <c r="I2602" s="11">
        <v>2</v>
      </c>
      <c r="K2602" s="12"/>
      <c r="O2602" s="12"/>
      <c r="Q2602" s="13">
        <v>20041</v>
      </c>
      <c r="R2602" s="13">
        <v>20041</v>
      </c>
      <c r="S2602" s="13">
        <v>964</v>
      </c>
      <c r="V2602" s="13">
        <v>27283</v>
      </c>
      <c r="AC2602" s="16" t="str">
        <f t="shared" si="120"/>
        <v>ADD</v>
      </c>
      <c r="AD2602" s="17">
        <f t="shared" si="121"/>
        <v>964</v>
      </c>
      <c r="AE2602" s="17">
        <f t="shared" si="122"/>
        <v>0</v>
      </c>
      <c r="AF2602" s="10" t="s">
        <v>6134</v>
      </c>
      <c r="AG2602" s="5" t="s">
        <v>1412</v>
      </c>
      <c r="AH2602" s="5" t="s">
        <v>4717</v>
      </c>
      <c r="AI2602" s="5" t="s">
        <v>6108</v>
      </c>
      <c r="AJ2602" s="5" t="s">
        <v>6135</v>
      </c>
    </row>
    <row r="2603" spans="1:36" ht="10" customHeight="1" x14ac:dyDescent="0.2">
      <c r="A2603" s="5" t="s">
        <v>5448</v>
      </c>
      <c r="B2603" s="5" t="s">
        <v>4713</v>
      </c>
      <c r="D2603" s="5" t="s">
        <v>6088</v>
      </c>
      <c r="E2603" s="12"/>
      <c r="I2603" s="11">
        <v>2</v>
      </c>
      <c r="K2603" s="10" t="s">
        <v>50</v>
      </c>
      <c r="L2603" s="5" t="s">
        <v>239</v>
      </c>
      <c r="M2603" s="5" t="s">
        <v>6089</v>
      </c>
      <c r="N2603" s="5" t="s">
        <v>6088</v>
      </c>
      <c r="O2603" s="12"/>
      <c r="P2603" s="13">
        <v>31</v>
      </c>
      <c r="AC2603" s="16" t="str">
        <f t="shared" si="120"/>
        <v>ADD</v>
      </c>
      <c r="AD2603" s="17">
        <f t="shared" si="121"/>
        <v>0</v>
      </c>
      <c r="AE2603" s="17">
        <f t="shared" si="122"/>
        <v>0</v>
      </c>
      <c r="AF2603" s="10" t="s">
        <v>6136</v>
      </c>
      <c r="AG2603" s="5" t="s">
        <v>1412</v>
      </c>
      <c r="AH2603" s="5" t="s">
        <v>4717</v>
      </c>
      <c r="AI2603" s="5" t="s">
        <v>6137</v>
      </c>
      <c r="AJ2603" s="5" t="s">
        <v>6088</v>
      </c>
    </row>
    <row r="2604" spans="1:36" ht="10" customHeight="1" x14ac:dyDescent="0.2">
      <c r="A2604" s="5" t="s">
        <v>5448</v>
      </c>
      <c r="B2604" s="5" t="s">
        <v>4713</v>
      </c>
      <c r="D2604" s="5" t="s">
        <v>6092</v>
      </c>
      <c r="E2604" s="12"/>
      <c r="I2604" s="11">
        <v>2</v>
      </c>
      <c r="K2604" s="12"/>
      <c r="O2604" s="12"/>
      <c r="P2604" s="13">
        <v>3608</v>
      </c>
      <c r="Q2604" s="13">
        <v>5651</v>
      </c>
      <c r="R2604" s="13">
        <v>5651</v>
      </c>
      <c r="S2604" s="13">
        <v>5569</v>
      </c>
      <c r="V2604" s="13">
        <v>5569</v>
      </c>
      <c r="AC2604" s="16" t="str">
        <f t="shared" si="120"/>
        <v>ADD</v>
      </c>
      <c r="AD2604" s="17">
        <f t="shared" si="121"/>
        <v>5569</v>
      </c>
      <c r="AE2604" s="17">
        <f t="shared" si="122"/>
        <v>0</v>
      </c>
      <c r="AF2604" s="10" t="s">
        <v>6138</v>
      </c>
      <c r="AG2604" s="5" t="s">
        <v>1412</v>
      </c>
      <c r="AH2604" s="5" t="s">
        <v>4717</v>
      </c>
      <c r="AI2604" s="5" t="s">
        <v>6108</v>
      </c>
      <c r="AJ2604" s="5" t="s">
        <v>6092</v>
      </c>
    </row>
    <row r="2605" spans="1:36" ht="10" customHeight="1" x14ac:dyDescent="0.2">
      <c r="A2605" s="5" t="s">
        <v>5448</v>
      </c>
      <c r="B2605" s="5" t="s">
        <v>4713</v>
      </c>
      <c r="D2605" s="5" t="s">
        <v>6094</v>
      </c>
      <c r="E2605" s="12"/>
      <c r="I2605" s="11">
        <v>2</v>
      </c>
      <c r="K2605" s="12"/>
      <c r="O2605" s="12"/>
      <c r="P2605" s="13">
        <v>628</v>
      </c>
      <c r="Q2605" s="13">
        <v>806</v>
      </c>
      <c r="R2605" s="13">
        <v>806</v>
      </c>
      <c r="S2605" s="13">
        <v>814</v>
      </c>
      <c r="V2605" s="13">
        <v>814</v>
      </c>
      <c r="AC2605" s="16" t="str">
        <f t="shared" si="120"/>
        <v>ADD</v>
      </c>
      <c r="AD2605" s="17">
        <f t="shared" si="121"/>
        <v>814</v>
      </c>
      <c r="AE2605" s="17">
        <f t="shared" si="122"/>
        <v>0</v>
      </c>
      <c r="AF2605" s="10" t="s">
        <v>6139</v>
      </c>
      <c r="AG2605" s="5" t="s">
        <v>1412</v>
      </c>
      <c r="AH2605" s="5" t="s">
        <v>4717</v>
      </c>
      <c r="AI2605" s="5" t="s">
        <v>6108</v>
      </c>
      <c r="AJ2605" s="5" t="s">
        <v>6094</v>
      </c>
    </row>
    <row r="2606" spans="1:36" ht="10" customHeight="1" x14ac:dyDescent="0.2">
      <c r="A2606" s="5" t="s">
        <v>5448</v>
      </c>
      <c r="B2606" s="5" t="s">
        <v>4713</v>
      </c>
      <c r="D2606" s="5" t="s">
        <v>6140</v>
      </c>
      <c r="E2606" s="12"/>
      <c r="I2606" s="11">
        <v>2</v>
      </c>
      <c r="K2606" s="12"/>
      <c r="O2606" s="12"/>
      <c r="P2606" s="13">
        <v>13902</v>
      </c>
      <c r="Q2606" s="13">
        <v>27805</v>
      </c>
      <c r="R2606" s="13">
        <v>27805</v>
      </c>
      <c r="S2606" s="13">
        <v>27382</v>
      </c>
      <c r="V2606" s="13">
        <v>29120</v>
      </c>
      <c r="AC2606" s="16" t="str">
        <f t="shared" si="120"/>
        <v>ADD</v>
      </c>
      <c r="AD2606" s="17">
        <f t="shared" si="121"/>
        <v>27382</v>
      </c>
      <c r="AE2606" s="17">
        <f t="shared" si="122"/>
        <v>0</v>
      </c>
      <c r="AF2606" s="10" t="s">
        <v>6141</v>
      </c>
      <c r="AG2606" s="5" t="s">
        <v>1412</v>
      </c>
      <c r="AH2606" s="5" t="s">
        <v>4717</v>
      </c>
      <c r="AI2606" s="5" t="s">
        <v>6108</v>
      </c>
      <c r="AJ2606" s="5" t="s">
        <v>6142</v>
      </c>
    </row>
    <row r="2607" spans="1:36" ht="10" customHeight="1" x14ac:dyDescent="0.2">
      <c r="A2607" s="5" t="s">
        <v>5448</v>
      </c>
      <c r="B2607" s="5" t="s">
        <v>4713</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6" t="str">
        <f t="shared" si="120"/>
        <v>ADD</v>
      </c>
      <c r="AD2607" s="17">
        <f t="shared" si="121"/>
        <v>301080</v>
      </c>
      <c r="AE2607" s="17">
        <f t="shared" si="122"/>
        <v>0</v>
      </c>
      <c r="AF2607" s="10" t="s">
        <v>6143</v>
      </c>
      <c r="AG2607" s="5" t="s">
        <v>1412</v>
      </c>
      <c r="AH2607" s="5" t="s">
        <v>4717</v>
      </c>
      <c r="AI2607" s="5" t="s">
        <v>6144</v>
      </c>
      <c r="AJ2607" s="5" t="s">
        <v>53</v>
      </c>
    </row>
    <row r="2608" spans="1:36" ht="10" customHeight="1" x14ac:dyDescent="0.2">
      <c r="A2608" s="5" t="s">
        <v>5448</v>
      </c>
      <c r="B2608" s="5" t="s">
        <v>4713</v>
      </c>
      <c r="D2608" s="5" t="s">
        <v>6098</v>
      </c>
      <c r="E2608" s="12"/>
      <c r="I2608" s="11">
        <v>2</v>
      </c>
      <c r="K2608" s="10" t="s">
        <v>50</v>
      </c>
      <c r="L2608" s="5" t="s">
        <v>51</v>
      </c>
      <c r="M2608" s="5" t="s">
        <v>52</v>
      </c>
      <c r="N2608" s="5" t="s">
        <v>6098</v>
      </c>
      <c r="O2608" s="12"/>
      <c r="S2608" s="13">
        <v>67781</v>
      </c>
      <c r="V2608" s="13">
        <v>67846</v>
      </c>
      <c r="AC2608" s="16" t="str">
        <f t="shared" si="120"/>
        <v>ADD</v>
      </c>
      <c r="AD2608" s="17">
        <f t="shared" si="121"/>
        <v>67781</v>
      </c>
      <c r="AE2608" s="17">
        <f t="shared" si="122"/>
        <v>0</v>
      </c>
      <c r="AF2608" s="10" t="s">
        <v>6145</v>
      </c>
      <c r="AG2608" s="5" t="s">
        <v>1412</v>
      </c>
      <c r="AH2608" s="5" t="s">
        <v>4717</v>
      </c>
      <c r="AI2608" s="5" t="s">
        <v>6108</v>
      </c>
      <c r="AJ2608" s="5" t="s">
        <v>6098</v>
      </c>
    </row>
    <row r="2609" spans="1:36" ht="10" customHeight="1" x14ac:dyDescent="0.2">
      <c r="A2609" s="5" t="s">
        <v>5448</v>
      </c>
      <c r="B2609" s="5" t="s">
        <v>4713</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6" t="str">
        <f t="shared" si="120"/>
        <v>ADD</v>
      </c>
      <c r="AD2609" s="17">
        <f t="shared" si="121"/>
        <v>584293</v>
      </c>
      <c r="AE2609" s="17">
        <f t="shared" si="122"/>
        <v>0</v>
      </c>
      <c r="AF2609" s="10" t="s">
        <v>6146</v>
      </c>
      <c r="AG2609" s="5" t="s">
        <v>1412</v>
      </c>
      <c r="AH2609" s="5" t="s">
        <v>4717</v>
      </c>
      <c r="AI2609" s="5" t="s">
        <v>6108</v>
      </c>
      <c r="AJ2609" s="5" t="s">
        <v>88</v>
      </c>
    </row>
    <row r="2610" spans="1:36" ht="10" customHeight="1" x14ac:dyDescent="0.2">
      <c r="A2610" s="5" t="s">
        <v>5448</v>
      </c>
      <c r="B2610" s="5" t="s">
        <v>4713</v>
      </c>
      <c r="D2610" s="5" t="s">
        <v>6101</v>
      </c>
      <c r="E2610" s="12"/>
      <c r="I2610" s="11">
        <v>2</v>
      </c>
      <c r="K2610" s="10" t="s">
        <v>50</v>
      </c>
      <c r="L2610" s="5" t="s">
        <v>51</v>
      </c>
      <c r="M2610" s="5" t="s">
        <v>52</v>
      </c>
      <c r="N2610" s="5" t="s">
        <v>88</v>
      </c>
      <c r="O2610" s="12"/>
      <c r="P2610" s="13">
        <v>2524018</v>
      </c>
      <c r="Q2610" s="13">
        <v>2635557</v>
      </c>
      <c r="R2610" s="13">
        <v>2765819</v>
      </c>
      <c r="S2610" s="13">
        <v>2431863</v>
      </c>
      <c r="V2610" s="13">
        <v>2531177</v>
      </c>
      <c r="AC2610" s="16" t="str">
        <f t="shared" si="120"/>
        <v>ADD</v>
      </c>
      <c r="AD2610" s="17">
        <f t="shared" si="121"/>
        <v>2431863</v>
      </c>
      <c r="AE2610" s="17">
        <f t="shared" si="122"/>
        <v>0</v>
      </c>
      <c r="AF2610" s="10" t="s">
        <v>6147</v>
      </c>
      <c r="AG2610" s="5" t="s">
        <v>1412</v>
      </c>
      <c r="AH2610" s="5" t="s">
        <v>4717</v>
      </c>
      <c r="AI2610" s="5" t="s">
        <v>6108</v>
      </c>
      <c r="AJ2610" s="5" t="s">
        <v>6101</v>
      </c>
    </row>
    <row r="2611" spans="1:36" ht="10" customHeight="1" x14ac:dyDescent="0.2">
      <c r="A2611" s="5" t="s">
        <v>5448</v>
      </c>
      <c r="B2611" s="5" t="s">
        <v>4713</v>
      </c>
      <c r="D2611" s="5" t="s">
        <v>6103</v>
      </c>
      <c r="E2611" s="12"/>
      <c r="I2611" s="11">
        <v>2</v>
      </c>
      <c r="K2611" s="10" t="s">
        <v>50</v>
      </c>
      <c r="L2611" s="5" t="s">
        <v>51</v>
      </c>
      <c r="M2611" s="5" t="s">
        <v>52</v>
      </c>
      <c r="N2611" s="5" t="s">
        <v>88</v>
      </c>
      <c r="O2611" s="12"/>
      <c r="P2611" s="13">
        <v>1964943</v>
      </c>
      <c r="Q2611" s="13">
        <v>1633867</v>
      </c>
      <c r="R2611" s="13">
        <v>1758233</v>
      </c>
      <c r="S2611" s="13">
        <v>1410798</v>
      </c>
      <c r="V2611" s="13">
        <v>1598434</v>
      </c>
      <c r="AC2611" s="16" t="str">
        <f t="shared" si="120"/>
        <v>ADD</v>
      </c>
      <c r="AD2611" s="17">
        <f t="shared" si="121"/>
        <v>1410798</v>
      </c>
      <c r="AE2611" s="17">
        <f t="shared" si="122"/>
        <v>0</v>
      </c>
      <c r="AF2611" s="10" t="s">
        <v>6148</v>
      </c>
      <c r="AG2611" s="5" t="s">
        <v>1412</v>
      </c>
      <c r="AH2611" s="5" t="s">
        <v>4717</v>
      </c>
      <c r="AI2611" s="5" t="s">
        <v>6108</v>
      </c>
      <c r="AJ2611" s="5" t="s">
        <v>6103</v>
      </c>
    </row>
    <row r="2612" spans="1:36" ht="10" customHeight="1" x14ac:dyDescent="0.2">
      <c r="A2612" s="5" t="s">
        <v>5448</v>
      </c>
      <c r="B2612" s="5" t="s">
        <v>4713</v>
      </c>
      <c r="D2612" s="5" t="s">
        <v>6149</v>
      </c>
      <c r="E2612" s="10" t="s">
        <v>48</v>
      </c>
      <c r="F2612" s="5" t="s">
        <v>6150</v>
      </c>
      <c r="I2612" s="11">
        <v>2</v>
      </c>
      <c r="K2612" s="12"/>
      <c r="O2612" s="12"/>
      <c r="P2612" s="13">
        <v>16356426</v>
      </c>
      <c r="Q2612" s="13">
        <v>16652022</v>
      </c>
      <c r="R2612" s="13">
        <v>18573316</v>
      </c>
      <c r="S2612" s="13">
        <v>17526406</v>
      </c>
      <c r="V2612" s="13">
        <v>19702254</v>
      </c>
      <c r="AC2612" s="16" t="str">
        <f t="shared" si="120"/>
        <v>ADD</v>
      </c>
      <c r="AD2612" s="17">
        <f t="shared" si="121"/>
        <v>17526406</v>
      </c>
      <c r="AE2612" s="17">
        <f t="shared" si="122"/>
        <v>0</v>
      </c>
      <c r="AF2612" s="10" t="s">
        <v>6151</v>
      </c>
      <c r="AG2612" s="5" t="s">
        <v>1412</v>
      </c>
      <c r="AH2612" s="5" t="s">
        <v>4717</v>
      </c>
    </row>
    <row r="2613" spans="1:36" ht="10" customHeight="1" x14ac:dyDescent="0.2">
      <c r="A2613" s="5" t="s">
        <v>5448</v>
      </c>
      <c r="B2613" s="5" t="s">
        <v>4713</v>
      </c>
      <c r="D2613" s="5" t="s">
        <v>6152</v>
      </c>
      <c r="E2613" s="12"/>
      <c r="I2613" s="11">
        <v>4</v>
      </c>
      <c r="K2613" s="10" t="s">
        <v>50</v>
      </c>
      <c r="L2613" s="5" t="s">
        <v>51</v>
      </c>
      <c r="M2613" s="5" t="s">
        <v>52</v>
      </c>
      <c r="N2613" s="5" t="s">
        <v>88</v>
      </c>
      <c r="O2613" s="12"/>
      <c r="P2613" s="13">
        <v>7736</v>
      </c>
      <c r="Q2613" s="13">
        <v>7398</v>
      </c>
      <c r="R2613" s="13">
        <v>7398</v>
      </c>
      <c r="S2613" s="13">
        <v>7620</v>
      </c>
      <c r="V2613" s="13">
        <v>12047</v>
      </c>
      <c r="AC2613" s="16" t="str">
        <f t="shared" si="120"/>
        <v>ADD</v>
      </c>
      <c r="AD2613" s="17">
        <f t="shared" si="121"/>
        <v>7620</v>
      </c>
      <c r="AE2613" s="17">
        <f t="shared" si="122"/>
        <v>0</v>
      </c>
      <c r="AF2613" s="10" t="s">
        <v>6153</v>
      </c>
      <c r="AG2613" s="5" t="s">
        <v>6154</v>
      </c>
      <c r="AH2613" s="5" t="s">
        <v>4717</v>
      </c>
      <c r="AI2613" s="5" t="s">
        <v>6155</v>
      </c>
      <c r="AJ2613" s="5" t="s">
        <v>6152</v>
      </c>
    </row>
    <row r="2614" spans="1:36" ht="10" customHeight="1" x14ac:dyDescent="0.2">
      <c r="A2614" s="5" t="s">
        <v>5448</v>
      </c>
      <c r="B2614" s="5" t="s">
        <v>4713</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6" t="str">
        <f t="shared" si="120"/>
        <v>ADD</v>
      </c>
      <c r="AD2614" s="17">
        <f t="shared" si="121"/>
        <v>63908</v>
      </c>
      <c r="AE2614" s="17">
        <f t="shared" si="122"/>
        <v>0</v>
      </c>
      <c r="AF2614" s="10" t="s">
        <v>6156</v>
      </c>
      <c r="AG2614" s="5" t="s">
        <v>6154</v>
      </c>
      <c r="AH2614" s="5" t="s">
        <v>4717</v>
      </c>
      <c r="AI2614" s="5" t="s">
        <v>6157</v>
      </c>
      <c r="AJ2614" s="5" t="s">
        <v>70</v>
      </c>
    </row>
    <row r="2615" spans="1:36" ht="10" customHeight="1" x14ac:dyDescent="0.2">
      <c r="A2615" s="5" t="s">
        <v>5448</v>
      </c>
      <c r="B2615" s="5" t="s">
        <v>4713</v>
      </c>
      <c r="D2615" s="5" t="s">
        <v>6158</v>
      </c>
      <c r="E2615" s="12"/>
      <c r="I2615" s="11">
        <v>4</v>
      </c>
      <c r="K2615" s="10" t="s">
        <v>50</v>
      </c>
      <c r="L2615" s="5" t="s">
        <v>51</v>
      </c>
      <c r="M2615" s="5" t="s">
        <v>52</v>
      </c>
      <c r="N2615" s="5" t="s">
        <v>53</v>
      </c>
      <c r="O2615" s="12"/>
      <c r="S2615" s="13">
        <v>2669</v>
      </c>
      <c r="V2615" s="13">
        <v>2669</v>
      </c>
      <c r="AC2615" s="16" t="str">
        <f t="shared" si="120"/>
        <v>ADD</v>
      </c>
      <c r="AD2615" s="17">
        <f t="shared" si="121"/>
        <v>2669</v>
      </c>
      <c r="AE2615" s="17">
        <f t="shared" si="122"/>
        <v>0</v>
      </c>
      <c r="AF2615" s="10" t="s">
        <v>6159</v>
      </c>
      <c r="AG2615" s="5" t="s">
        <v>6154</v>
      </c>
      <c r="AH2615" s="5" t="s">
        <v>4717</v>
      </c>
      <c r="AI2615" s="5" t="s">
        <v>6157</v>
      </c>
      <c r="AJ2615" s="5" t="s">
        <v>6158</v>
      </c>
    </row>
    <row r="2616" spans="1:36" ht="10" customHeight="1" x14ac:dyDescent="0.2">
      <c r="A2616" s="5" t="s">
        <v>5448</v>
      </c>
      <c r="B2616" s="5" t="s">
        <v>4713</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6" t="str">
        <f t="shared" si="120"/>
        <v>ADD</v>
      </c>
      <c r="AD2616" s="17">
        <f t="shared" si="121"/>
        <v>53356</v>
      </c>
      <c r="AE2616" s="17">
        <f t="shared" si="122"/>
        <v>0</v>
      </c>
      <c r="AF2616" s="10" t="s">
        <v>6160</v>
      </c>
      <c r="AG2616" s="5" t="s">
        <v>6154</v>
      </c>
      <c r="AH2616" s="5" t="s">
        <v>4717</v>
      </c>
      <c r="AI2616" s="5" t="s">
        <v>6161</v>
      </c>
      <c r="AJ2616" s="5" t="s">
        <v>88</v>
      </c>
    </row>
    <row r="2617" spans="1:36" ht="10" customHeight="1" x14ac:dyDescent="0.2">
      <c r="A2617" s="5" t="s">
        <v>5448</v>
      </c>
      <c r="B2617" s="5" t="s">
        <v>4713</v>
      </c>
      <c r="D2617" s="5" t="s">
        <v>6038</v>
      </c>
      <c r="E2617" s="12"/>
      <c r="I2617" s="11">
        <v>4</v>
      </c>
      <c r="K2617" s="10" t="s">
        <v>50</v>
      </c>
      <c r="L2617" s="5" t="s">
        <v>51</v>
      </c>
      <c r="M2617" s="5" t="s">
        <v>149</v>
      </c>
      <c r="N2617" s="5" t="s">
        <v>4909</v>
      </c>
      <c r="O2617" s="12"/>
      <c r="P2617" s="13">
        <v>573902</v>
      </c>
      <c r="Q2617" s="13">
        <v>1097648</v>
      </c>
      <c r="R2617" s="13">
        <v>1354392</v>
      </c>
      <c r="S2617" s="13">
        <v>236773</v>
      </c>
      <c r="V2617" s="13">
        <v>393588</v>
      </c>
      <c r="AC2617" s="16" t="str">
        <f t="shared" si="120"/>
        <v>ADD</v>
      </c>
      <c r="AD2617" s="17">
        <f t="shared" si="121"/>
        <v>236773</v>
      </c>
      <c r="AE2617" s="17">
        <f t="shared" si="122"/>
        <v>0</v>
      </c>
      <c r="AF2617" s="10" t="s">
        <v>6162</v>
      </c>
      <c r="AG2617" s="5" t="s">
        <v>6154</v>
      </c>
      <c r="AH2617" s="5" t="s">
        <v>4717</v>
      </c>
      <c r="AI2617" s="5" t="s">
        <v>6163</v>
      </c>
      <c r="AJ2617" s="5" t="s">
        <v>6038</v>
      </c>
    </row>
    <row r="2618" spans="1:36" ht="10" customHeight="1" x14ac:dyDescent="0.2">
      <c r="A2618" s="5" t="s">
        <v>5448</v>
      </c>
      <c r="B2618" s="5" t="s">
        <v>4713</v>
      </c>
      <c r="D2618" s="5" t="s">
        <v>4959</v>
      </c>
      <c r="E2618" s="12"/>
      <c r="I2618" s="11">
        <v>4</v>
      </c>
      <c r="K2618" s="10" t="s">
        <v>50</v>
      </c>
      <c r="L2618" s="5" t="s">
        <v>51</v>
      </c>
      <c r="M2618" s="5" t="s">
        <v>119</v>
      </c>
      <c r="N2618" s="5" t="s">
        <v>4959</v>
      </c>
      <c r="O2618" s="12"/>
      <c r="S2618" s="13">
        <v>44940</v>
      </c>
      <c r="V2618" s="13">
        <v>44940</v>
      </c>
      <c r="AC2618" s="16" t="str">
        <f t="shared" si="120"/>
        <v>ADD</v>
      </c>
      <c r="AD2618" s="17">
        <f t="shared" si="121"/>
        <v>44940</v>
      </c>
      <c r="AE2618" s="17">
        <f t="shared" si="122"/>
        <v>0</v>
      </c>
      <c r="AF2618" s="10" t="s">
        <v>6164</v>
      </c>
      <c r="AG2618" s="5" t="s">
        <v>6154</v>
      </c>
      <c r="AH2618" s="5" t="s">
        <v>4717</v>
      </c>
      <c r="AI2618" s="5" t="s">
        <v>6163</v>
      </c>
      <c r="AJ2618" s="5" t="s">
        <v>4959</v>
      </c>
    </row>
    <row r="2619" spans="1:36" ht="10" customHeight="1" x14ac:dyDescent="0.2">
      <c r="A2619" s="5" t="s">
        <v>5448</v>
      </c>
      <c r="B2619" s="5" t="s">
        <v>4713</v>
      </c>
      <c r="D2619" s="5" t="s">
        <v>6067</v>
      </c>
      <c r="E2619" s="12"/>
      <c r="I2619" s="11">
        <v>4</v>
      </c>
      <c r="K2619" s="10" t="s">
        <v>50</v>
      </c>
      <c r="L2619" s="5" t="s">
        <v>51</v>
      </c>
      <c r="M2619" s="5" t="s">
        <v>69</v>
      </c>
      <c r="N2619" s="5" t="s">
        <v>70</v>
      </c>
      <c r="O2619" s="12"/>
      <c r="P2619" s="13">
        <v>268311</v>
      </c>
      <c r="AC2619" s="16" t="str">
        <f t="shared" si="120"/>
        <v>ADD</v>
      </c>
      <c r="AD2619" s="17">
        <f t="shared" si="121"/>
        <v>0</v>
      </c>
      <c r="AE2619" s="17">
        <f t="shared" si="122"/>
        <v>0</v>
      </c>
      <c r="AF2619" s="10" t="s">
        <v>6165</v>
      </c>
      <c r="AG2619" s="5" t="s">
        <v>6154</v>
      </c>
      <c r="AH2619" s="5" t="s">
        <v>4717</v>
      </c>
      <c r="AI2619" s="5" t="s">
        <v>6163</v>
      </c>
      <c r="AJ2619" s="5" t="s">
        <v>6067</v>
      </c>
    </row>
    <row r="2620" spans="1:36" ht="10" customHeight="1" x14ac:dyDescent="0.2">
      <c r="A2620" s="5" t="s">
        <v>5448</v>
      </c>
      <c r="B2620" s="5" t="s">
        <v>4713</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6" t="str">
        <f t="shared" si="120"/>
        <v>ADD</v>
      </c>
      <c r="AD2620" s="17">
        <f t="shared" si="121"/>
        <v>1282612</v>
      </c>
      <c r="AE2620" s="17">
        <f t="shared" si="122"/>
        <v>0</v>
      </c>
      <c r="AF2620" s="10" t="s">
        <v>6166</v>
      </c>
      <c r="AG2620" s="5" t="s">
        <v>6154</v>
      </c>
      <c r="AH2620" s="5" t="s">
        <v>4717</v>
      </c>
      <c r="AI2620" s="5" t="s">
        <v>6167</v>
      </c>
      <c r="AJ2620" s="5" t="s">
        <v>120</v>
      </c>
    </row>
    <row r="2621" spans="1:36" ht="10" customHeight="1" x14ac:dyDescent="0.2">
      <c r="A2621" s="5" t="s">
        <v>5448</v>
      </c>
      <c r="B2621" s="5" t="s">
        <v>4713</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6" t="str">
        <f t="shared" si="120"/>
        <v>ADD</v>
      </c>
      <c r="AD2621" s="17">
        <f t="shared" si="121"/>
        <v>383361</v>
      </c>
      <c r="AE2621" s="17">
        <f t="shared" si="122"/>
        <v>0</v>
      </c>
      <c r="AF2621" s="10" t="s">
        <v>6168</v>
      </c>
      <c r="AG2621" s="5" t="s">
        <v>6154</v>
      </c>
      <c r="AH2621" s="5" t="s">
        <v>4717</v>
      </c>
      <c r="AI2621" s="5" t="s">
        <v>6169</v>
      </c>
      <c r="AJ2621" s="5" t="s">
        <v>139</v>
      </c>
    </row>
    <row r="2622" spans="1:36" ht="10" customHeight="1" x14ac:dyDescent="0.2">
      <c r="A2622" s="5" t="s">
        <v>5448</v>
      </c>
      <c r="B2622" s="5" t="s">
        <v>4713</v>
      </c>
      <c r="D2622" s="5" t="s">
        <v>168</v>
      </c>
      <c r="E2622" s="12"/>
      <c r="I2622" s="11">
        <v>4</v>
      </c>
      <c r="K2622" s="10" t="s">
        <v>50</v>
      </c>
      <c r="L2622" s="5" t="s">
        <v>51</v>
      </c>
      <c r="M2622" s="5" t="s">
        <v>149</v>
      </c>
      <c r="N2622" s="5" t="s">
        <v>168</v>
      </c>
      <c r="O2622" s="12"/>
      <c r="S2622" s="13">
        <v>12065</v>
      </c>
      <c r="V2622" s="13">
        <v>12065</v>
      </c>
      <c r="AC2622" s="16" t="str">
        <f t="shared" si="120"/>
        <v>ADD</v>
      </c>
      <c r="AD2622" s="17">
        <f t="shared" si="121"/>
        <v>12065</v>
      </c>
      <c r="AE2622" s="17">
        <f t="shared" si="122"/>
        <v>0</v>
      </c>
      <c r="AF2622" s="10" t="s">
        <v>6170</v>
      </c>
      <c r="AG2622" s="5" t="s">
        <v>6154</v>
      </c>
      <c r="AH2622" s="5" t="s">
        <v>4717</v>
      </c>
      <c r="AI2622" s="5" t="s">
        <v>6163</v>
      </c>
      <c r="AJ2622" s="5" t="s">
        <v>168</v>
      </c>
    </row>
    <row r="2623" spans="1:36" ht="10" customHeight="1" x14ac:dyDescent="0.2">
      <c r="A2623" s="5" t="s">
        <v>5448</v>
      </c>
      <c r="B2623" s="5" t="s">
        <v>4713</v>
      </c>
      <c r="D2623" s="5" t="s">
        <v>4909</v>
      </c>
      <c r="E2623" s="12"/>
      <c r="I2623" s="11">
        <v>4</v>
      </c>
      <c r="K2623" s="10" t="s">
        <v>50</v>
      </c>
      <c r="L2623" s="5" t="s">
        <v>51</v>
      </c>
      <c r="M2623" s="5" t="s">
        <v>149</v>
      </c>
      <c r="N2623" s="5" t="s">
        <v>4909</v>
      </c>
      <c r="O2623" s="12"/>
      <c r="S2623" s="13">
        <v>395086</v>
      </c>
      <c r="V2623" s="13">
        <v>395086</v>
      </c>
      <c r="AC2623" s="16" t="str">
        <f t="shared" si="120"/>
        <v>ADD</v>
      </c>
      <c r="AD2623" s="17">
        <f t="shared" si="121"/>
        <v>395086</v>
      </c>
      <c r="AE2623" s="17">
        <f t="shared" si="122"/>
        <v>0</v>
      </c>
      <c r="AF2623" s="10" t="s">
        <v>6171</v>
      </c>
      <c r="AG2623" s="5" t="s">
        <v>6154</v>
      </c>
      <c r="AH2623" s="5" t="s">
        <v>4717</v>
      </c>
      <c r="AI2623" s="5" t="s">
        <v>6163</v>
      </c>
      <c r="AJ2623" s="5" t="s">
        <v>4909</v>
      </c>
    </row>
    <row r="2624" spans="1:36" ht="10" customHeight="1" x14ac:dyDescent="0.2">
      <c r="A2624" s="5" t="s">
        <v>5448</v>
      </c>
      <c r="B2624" s="5" t="s">
        <v>4713</v>
      </c>
      <c r="D2624" s="5" t="s">
        <v>150</v>
      </c>
      <c r="E2624" s="12"/>
      <c r="I2624" s="11">
        <v>4</v>
      </c>
      <c r="K2624" s="10" t="s">
        <v>50</v>
      </c>
      <c r="L2624" s="5" t="s">
        <v>51</v>
      </c>
      <c r="M2624" s="5" t="s">
        <v>149</v>
      </c>
      <c r="N2624" s="5" t="s">
        <v>150</v>
      </c>
      <c r="O2624" s="12"/>
      <c r="S2624" s="13">
        <v>11852</v>
      </c>
      <c r="V2624" s="13">
        <v>11852</v>
      </c>
      <c r="AC2624" s="16" t="str">
        <f t="shared" si="120"/>
        <v>ADD</v>
      </c>
      <c r="AD2624" s="17">
        <f t="shared" si="121"/>
        <v>11852</v>
      </c>
      <c r="AE2624" s="17">
        <f t="shared" si="122"/>
        <v>0</v>
      </c>
      <c r="AF2624" s="10" t="s">
        <v>6172</v>
      </c>
      <c r="AG2624" s="5" t="s">
        <v>6154</v>
      </c>
      <c r="AH2624" s="5" t="s">
        <v>4717</v>
      </c>
      <c r="AI2624" s="5" t="s">
        <v>6163</v>
      </c>
      <c r="AJ2624" s="5" t="s">
        <v>150</v>
      </c>
    </row>
    <row r="2625" spans="1:36" ht="10" customHeight="1" x14ac:dyDescent="0.2">
      <c r="A2625" s="5" t="s">
        <v>5448</v>
      </c>
      <c r="B2625" s="5" t="s">
        <v>4713</v>
      </c>
      <c r="D2625" s="5" t="s">
        <v>4903</v>
      </c>
      <c r="E2625" s="12"/>
      <c r="I2625" s="11">
        <v>4</v>
      </c>
      <c r="K2625" s="10" t="s">
        <v>50</v>
      </c>
      <c r="L2625" s="5" t="s">
        <v>51</v>
      </c>
      <c r="M2625" s="5" t="s">
        <v>149</v>
      </c>
      <c r="N2625" s="5" t="s">
        <v>4903</v>
      </c>
      <c r="O2625" s="12"/>
      <c r="S2625" s="13">
        <v>25931</v>
      </c>
      <c r="V2625" s="13">
        <v>25931</v>
      </c>
      <c r="AC2625" s="16" t="str">
        <f t="shared" si="120"/>
        <v>ADD</v>
      </c>
      <c r="AD2625" s="17">
        <f t="shared" si="121"/>
        <v>25931</v>
      </c>
      <c r="AE2625" s="17">
        <f t="shared" si="122"/>
        <v>0</v>
      </c>
      <c r="AF2625" s="10" t="s">
        <v>6173</v>
      </c>
      <c r="AG2625" s="5" t="s">
        <v>6154</v>
      </c>
      <c r="AH2625" s="5" t="s">
        <v>4717</v>
      </c>
      <c r="AI2625" s="5" t="s">
        <v>6163</v>
      </c>
      <c r="AJ2625" s="5" t="s">
        <v>4903</v>
      </c>
    </row>
    <row r="2626" spans="1:36" ht="10" customHeight="1" x14ac:dyDescent="0.2">
      <c r="A2626" s="5" t="s">
        <v>5448</v>
      </c>
      <c r="B2626" s="5" t="s">
        <v>4713</v>
      </c>
      <c r="D2626" s="5" t="s">
        <v>6101</v>
      </c>
      <c r="E2626" s="12"/>
      <c r="I2626" s="11">
        <v>4</v>
      </c>
      <c r="K2626" s="10" t="s">
        <v>50</v>
      </c>
      <c r="L2626" s="5" t="s">
        <v>51</v>
      </c>
      <c r="M2626" s="5" t="s">
        <v>52</v>
      </c>
      <c r="O2626" s="12"/>
      <c r="P2626" s="13">
        <v>383868</v>
      </c>
      <c r="Q2626" s="13">
        <v>330000</v>
      </c>
      <c r="R2626" s="13">
        <v>330000</v>
      </c>
      <c r="AC2626" s="16" t="str">
        <f t="shared" si="120"/>
        <v>ADD</v>
      </c>
      <c r="AD2626" s="17">
        <f t="shared" si="121"/>
        <v>0</v>
      </c>
      <c r="AE2626" s="17">
        <f t="shared" si="122"/>
        <v>0</v>
      </c>
      <c r="AF2626" s="10" t="s">
        <v>6174</v>
      </c>
      <c r="AG2626" s="5" t="s">
        <v>6154</v>
      </c>
      <c r="AH2626" s="5" t="s">
        <v>4717</v>
      </c>
      <c r="AI2626" s="5" t="s">
        <v>6163</v>
      </c>
      <c r="AJ2626" s="5" t="s">
        <v>6101</v>
      </c>
    </row>
    <row r="2627" spans="1:36" ht="10" customHeight="1" x14ac:dyDescent="0.2">
      <c r="A2627" s="5" t="s">
        <v>5448</v>
      </c>
      <c r="B2627" s="5" t="s">
        <v>4713</v>
      </c>
      <c r="D2627" s="5" t="s">
        <v>6175</v>
      </c>
      <c r="E2627" s="10" t="s">
        <v>48</v>
      </c>
      <c r="F2627" s="5" t="s">
        <v>6176</v>
      </c>
      <c r="I2627" s="11">
        <v>4</v>
      </c>
      <c r="K2627" s="12"/>
      <c r="O2627" s="12"/>
      <c r="P2627" s="13">
        <v>3109725</v>
      </c>
      <c r="Q2627" s="13">
        <v>2460434</v>
      </c>
      <c r="R2627" s="13">
        <v>2799182</v>
      </c>
      <c r="S2627" s="13">
        <v>2521564</v>
      </c>
      <c r="V2627" s="13">
        <v>2818312</v>
      </c>
      <c r="AC2627" s="16" t="str">
        <f t="shared" si="120"/>
        <v>ADD</v>
      </c>
      <c r="AD2627" s="17">
        <f t="shared" si="121"/>
        <v>2521564</v>
      </c>
      <c r="AE2627" s="17">
        <f t="shared" si="122"/>
        <v>0</v>
      </c>
      <c r="AF2627" s="10" t="s">
        <v>6177</v>
      </c>
      <c r="AG2627" s="5" t="s">
        <v>6154</v>
      </c>
      <c r="AH2627" s="5" t="s">
        <v>4717</v>
      </c>
    </row>
    <row r="2628" spans="1:36" ht="10" customHeight="1" x14ac:dyDescent="0.2">
      <c r="A2628" s="5" t="s">
        <v>5448</v>
      </c>
      <c r="B2628" s="5" t="s">
        <v>4713</v>
      </c>
      <c r="D2628" s="5" t="s">
        <v>6056</v>
      </c>
      <c r="E2628" s="10" t="s">
        <v>5135</v>
      </c>
      <c r="F2628" s="5" t="s">
        <v>6178</v>
      </c>
      <c r="I2628" s="11">
        <v>2</v>
      </c>
      <c r="K2628" s="10" t="s">
        <v>50</v>
      </c>
      <c r="L2628" s="5" t="s">
        <v>51</v>
      </c>
      <c r="M2628" s="5" t="s">
        <v>4859</v>
      </c>
      <c r="N2628" s="5" t="s">
        <v>4860</v>
      </c>
      <c r="O2628" s="12"/>
      <c r="V2628" s="13">
        <v>331</v>
      </c>
      <c r="AC2628" s="16" t="str">
        <f t="shared" si="120"/>
        <v/>
      </c>
      <c r="AD2628" s="17">
        <f t="shared" si="121"/>
        <v>0</v>
      </c>
      <c r="AE2628" s="17">
        <f t="shared" si="122"/>
        <v>0</v>
      </c>
      <c r="AF2628" s="10" t="s">
        <v>6179</v>
      </c>
      <c r="AG2628" s="5" t="s">
        <v>1400</v>
      </c>
      <c r="AH2628" s="5" t="s">
        <v>4717</v>
      </c>
      <c r="AI2628" s="5" t="s">
        <v>6108</v>
      </c>
      <c r="AJ2628" s="5" t="s">
        <v>6180</v>
      </c>
    </row>
    <row r="2629" spans="1:36" ht="10" customHeight="1" x14ac:dyDescent="0.2">
      <c r="A2629" s="5" t="s">
        <v>5448</v>
      </c>
      <c r="B2629" s="5" t="s">
        <v>4713</v>
      </c>
      <c r="D2629" s="5" t="s">
        <v>6038</v>
      </c>
      <c r="E2629" s="10" t="s">
        <v>5135</v>
      </c>
      <c r="F2629" s="5" t="s">
        <v>6181</v>
      </c>
      <c r="I2629" s="11">
        <v>2</v>
      </c>
      <c r="K2629" s="10" t="s">
        <v>50</v>
      </c>
      <c r="L2629" s="5" t="s">
        <v>51</v>
      </c>
      <c r="M2629" s="5" t="s">
        <v>149</v>
      </c>
      <c r="O2629" s="12"/>
      <c r="V2629" s="13">
        <v>42295</v>
      </c>
      <c r="AC2629" s="16" t="str">
        <f t="shared" si="120"/>
        <v/>
      </c>
      <c r="AD2629" s="17">
        <f t="shared" si="121"/>
        <v>0</v>
      </c>
      <c r="AE2629" s="17">
        <f t="shared" si="122"/>
        <v>0</v>
      </c>
      <c r="AF2629" s="10" t="s">
        <v>6182</v>
      </c>
      <c r="AG2629" s="5" t="s">
        <v>1400</v>
      </c>
      <c r="AH2629" s="5" t="s">
        <v>4717</v>
      </c>
      <c r="AI2629" s="5" t="s">
        <v>6108</v>
      </c>
      <c r="AJ2629" s="5" t="s">
        <v>6183</v>
      </c>
    </row>
    <row r="2630" spans="1:36" ht="10" customHeight="1" x14ac:dyDescent="0.2">
      <c r="A2630" s="5" t="s">
        <v>5448</v>
      </c>
      <c r="B2630" s="5" t="s">
        <v>4713</v>
      </c>
      <c r="D2630" s="5" t="s">
        <v>6061</v>
      </c>
      <c r="E2630" s="10" t="s">
        <v>5135</v>
      </c>
      <c r="F2630" s="5" t="s">
        <v>6184</v>
      </c>
      <c r="I2630" s="11">
        <v>2</v>
      </c>
      <c r="K2630" s="12"/>
      <c r="O2630" s="12"/>
      <c r="V2630" s="13">
        <v>351</v>
      </c>
      <c r="AC2630" s="16" t="str">
        <f t="shared" ref="AC2630:AC2693" si="123">IF(OR(E2630="",E2630="[PARENT]"),"ADD",IF(E2630="[ALT_VIEW]","ALT",""))</f>
        <v/>
      </c>
      <c r="AD2630" s="17">
        <f t="shared" ref="AD2630:AD2693" si="124">IF(Y2630&lt;&gt;"",Y2630,IF(U2630&lt;&gt;"",U2630,S2630))</f>
        <v>0</v>
      </c>
      <c r="AE2630" s="17">
        <f t="shared" ref="AE2630:AE2693" si="125">IF(AB2630&lt;&gt;"",AB2630,Z2630)</f>
        <v>0</v>
      </c>
      <c r="AF2630" s="10" t="s">
        <v>6185</v>
      </c>
      <c r="AG2630" s="5" t="s">
        <v>1400</v>
      </c>
      <c r="AH2630" s="5" t="s">
        <v>4717</v>
      </c>
      <c r="AI2630" s="5" t="s">
        <v>6108</v>
      </c>
      <c r="AJ2630" s="5" t="s">
        <v>6186</v>
      </c>
    </row>
    <row r="2631" spans="1:36" ht="10" customHeight="1" x14ac:dyDescent="0.2">
      <c r="A2631" s="5" t="s">
        <v>5448</v>
      </c>
      <c r="B2631" s="5" t="s">
        <v>4713</v>
      </c>
      <c r="D2631" s="5" t="s">
        <v>4959</v>
      </c>
      <c r="E2631" s="10" t="s">
        <v>5135</v>
      </c>
      <c r="F2631" s="5" t="s">
        <v>6187</v>
      </c>
      <c r="I2631" s="11">
        <v>2</v>
      </c>
      <c r="K2631" s="10" t="s">
        <v>50</v>
      </c>
      <c r="L2631" s="5" t="s">
        <v>51</v>
      </c>
      <c r="M2631" s="5" t="s">
        <v>119</v>
      </c>
      <c r="N2631" s="5" t="s">
        <v>4959</v>
      </c>
      <c r="O2631" s="12"/>
      <c r="V2631" s="13">
        <v>2211</v>
      </c>
      <c r="AC2631" s="16" t="str">
        <f t="shared" si="123"/>
        <v/>
      </c>
      <c r="AD2631" s="17">
        <f t="shared" si="124"/>
        <v>0</v>
      </c>
      <c r="AE2631" s="17">
        <f t="shared" si="125"/>
        <v>0</v>
      </c>
      <c r="AF2631" s="10" t="s">
        <v>6188</v>
      </c>
      <c r="AG2631" s="5" t="s">
        <v>1400</v>
      </c>
      <c r="AH2631" s="5" t="s">
        <v>4717</v>
      </c>
      <c r="AI2631" s="5" t="s">
        <v>6108</v>
      </c>
      <c r="AJ2631" s="5" t="s">
        <v>6189</v>
      </c>
    </row>
    <row r="2632" spans="1:36" ht="10" customHeight="1" x14ac:dyDescent="0.2">
      <c r="A2632" s="5" t="s">
        <v>5448</v>
      </c>
      <c r="B2632" s="5" t="s">
        <v>4713</v>
      </c>
      <c r="D2632" s="5" t="s">
        <v>6067</v>
      </c>
      <c r="E2632" s="10" t="s">
        <v>5135</v>
      </c>
      <c r="F2632" s="5" t="s">
        <v>6190</v>
      </c>
      <c r="I2632" s="11">
        <v>2</v>
      </c>
      <c r="K2632" s="10" t="s">
        <v>50</v>
      </c>
      <c r="L2632" s="5" t="s">
        <v>51</v>
      </c>
      <c r="M2632" s="5" t="s">
        <v>69</v>
      </c>
      <c r="N2632" s="5" t="s">
        <v>70</v>
      </c>
      <c r="O2632" s="12"/>
      <c r="V2632" s="13">
        <v>310158</v>
      </c>
      <c r="AC2632" s="16" t="str">
        <f t="shared" si="123"/>
        <v/>
      </c>
      <c r="AD2632" s="17">
        <f t="shared" si="124"/>
        <v>0</v>
      </c>
      <c r="AE2632" s="17">
        <f t="shared" si="125"/>
        <v>0</v>
      </c>
      <c r="AF2632" s="10" t="s">
        <v>6191</v>
      </c>
      <c r="AG2632" s="5" t="s">
        <v>1400</v>
      </c>
      <c r="AH2632" s="5" t="s">
        <v>4717</v>
      </c>
      <c r="AI2632" s="5" t="s">
        <v>6108</v>
      </c>
      <c r="AJ2632" s="5" t="s">
        <v>6192</v>
      </c>
    </row>
    <row r="2633" spans="1:36" ht="10" customHeight="1" x14ac:dyDescent="0.2">
      <c r="A2633" s="5" t="s">
        <v>5448</v>
      </c>
      <c r="B2633" s="5" t="s">
        <v>4713</v>
      </c>
      <c r="D2633" s="5" t="s">
        <v>6114</v>
      </c>
      <c r="E2633" s="10" t="s">
        <v>5135</v>
      </c>
      <c r="F2633" s="5" t="s">
        <v>6193</v>
      </c>
      <c r="I2633" s="11">
        <v>2</v>
      </c>
      <c r="K2633" s="10" t="s">
        <v>50</v>
      </c>
      <c r="L2633" s="5" t="s">
        <v>51</v>
      </c>
      <c r="M2633" s="5" t="s">
        <v>69</v>
      </c>
      <c r="N2633" s="5" t="s">
        <v>70</v>
      </c>
      <c r="O2633" s="12"/>
      <c r="V2633" s="13">
        <v>11</v>
      </c>
      <c r="AC2633" s="16" t="str">
        <f t="shared" si="123"/>
        <v/>
      </c>
      <c r="AD2633" s="17">
        <f t="shared" si="124"/>
        <v>0</v>
      </c>
      <c r="AE2633" s="17">
        <f t="shared" si="125"/>
        <v>0</v>
      </c>
      <c r="AF2633" s="10" t="s">
        <v>6194</v>
      </c>
      <c r="AG2633" s="5" t="s">
        <v>1400</v>
      </c>
      <c r="AH2633" s="5" t="s">
        <v>4717</v>
      </c>
      <c r="AI2633" s="5" t="s">
        <v>6108</v>
      </c>
      <c r="AJ2633" s="5" t="s">
        <v>6195</v>
      </c>
    </row>
    <row r="2634" spans="1:36" ht="10" customHeight="1" x14ac:dyDescent="0.2">
      <c r="A2634" s="5" t="s">
        <v>5448</v>
      </c>
      <c r="B2634" s="5" t="s">
        <v>4713</v>
      </c>
      <c r="D2634" s="5" t="s">
        <v>70</v>
      </c>
      <c r="E2634" s="10" t="s">
        <v>5135</v>
      </c>
      <c r="F2634" s="5" t="s">
        <v>6196</v>
      </c>
      <c r="I2634" s="11">
        <v>2</v>
      </c>
      <c r="K2634" s="10" t="s">
        <v>50</v>
      </c>
      <c r="L2634" s="5" t="s">
        <v>51</v>
      </c>
      <c r="M2634" s="5" t="s">
        <v>69</v>
      </c>
      <c r="N2634" s="5" t="s">
        <v>70</v>
      </c>
      <c r="O2634" s="12"/>
      <c r="V2634" s="13">
        <v>397</v>
      </c>
      <c r="AC2634" s="16" t="str">
        <f t="shared" si="123"/>
        <v/>
      </c>
      <c r="AD2634" s="17">
        <f t="shared" si="124"/>
        <v>0</v>
      </c>
      <c r="AE2634" s="17">
        <f t="shared" si="125"/>
        <v>0</v>
      </c>
      <c r="AF2634" s="10" t="s">
        <v>6197</v>
      </c>
      <c r="AG2634" s="5" t="s">
        <v>1400</v>
      </c>
      <c r="AH2634" s="5" t="s">
        <v>4717</v>
      </c>
      <c r="AI2634" s="5" t="s">
        <v>6108</v>
      </c>
      <c r="AJ2634" s="5" t="s">
        <v>6198</v>
      </c>
    </row>
    <row r="2635" spans="1:36" ht="10" customHeight="1" x14ac:dyDescent="0.2">
      <c r="A2635" s="5" t="s">
        <v>5448</v>
      </c>
      <c r="B2635" s="5" t="s">
        <v>4713</v>
      </c>
      <c r="D2635" s="5" t="s">
        <v>120</v>
      </c>
      <c r="E2635" s="10" t="s">
        <v>5135</v>
      </c>
      <c r="F2635" s="5" t="s">
        <v>6199</v>
      </c>
      <c r="I2635" s="11">
        <v>2</v>
      </c>
      <c r="K2635" s="10" t="s">
        <v>50</v>
      </c>
      <c r="L2635" s="5" t="s">
        <v>51</v>
      </c>
      <c r="M2635" s="5" t="s">
        <v>119</v>
      </c>
      <c r="N2635" s="5" t="s">
        <v>120</v>
      </c>
      <c r="O2635" s="12"/>
      <c r="V2635" s="13">
        <v>42958</v>
      </c>
      <c r="AC2635" s="16" t="str">
        <f t="shared" si="123"/>
        <v/>
      </c>
      <c r="AD2635" s="17">
        <f t="shared" si="124"/>
        <v>0</v>
      </c>
      <c r="AE2635" s="17">
        <f t="shared" si="125"/>
        <v>0</v>
      </c>
      <c r="AF2635" s="10" t="s">
        <v>6200</v>
      </c>
      <c r="AG2635" s="5" t="s">
        <v>1400</v>
      </c>
      <c r="AH2635" s="5" t="s">
        <v>4717</v>
      </c>
      <c r="AI2635" s="5" t="s">
        <v>6201</v>
      </c>
      <c r="AJ2635" s="5" t="s">
        <v>6202</v>
      </c>
    </row>
    <row r="2636" spans="1:36" ht="10" customHeight="1" x14ac:dyDescent="0.2">
      <c r="A2636" s="5" t="s">
        <v>5448</v>
      </c>
      <c r="B2636" s="5" t="s">
        <v>4713</v>
      </c>
      <c r="D2636" s="5" t="s">
        <v>6071</v>
      </c>
      <c r="E2636" s="10" t="s">
        <v>5135</v>
      </c>
      <c r="F2636" s="5" t="s">
        <v>6203</v>
      </c>
      <c r="I2636" s="11">
        <v>2</v>
      </c>
      <c r="K2636" s="10" t="s">
        <v>50</v>
      </c>
      <c r="L2636" s="5" t="s">
        <v>51</v>
      </c>
      <c r="M2636" s="5" t="s">
        <v>119</v>
      </c>
      <c r="N2636" s="5" t="s">
        <v>120</v>
      </c>
      <c r="O2636" s="12"/>
      <c r="V2636" s="13">
        <v>1184</v>
      </c>
      <c r="AC2636" s="16" t="str">
        <f t="shared" si="123"/>
        <v/>
      </c>
      <c r="AD2636" s="17">
        <f t="shared" si="124"/>
        <v>0</v>
      </c>
      <c r="AE2636" s="17">
        <f t="shared" si="125"/>
        <v>0</v>
      </c>
      <c r="AF2636" s="10" t="s">
        <v>6204</v>
      </c>
      <c r="AG2636" s="5" t="s">
        <v>1400</v>
      </c>
      <c r="AH2636" s="5" t="s">
        <v>4717</v>
      </c>
      <c r="AI2636" s="5" t="s">
        <v>6108</v>
      </c>
      <c r="AJ2636" s="5" t="s">
        <v>6205</v>
      </c>
    </row>
    <row r="2637" spans="1:36" ht="10" customHeight="1" x14ac:dyDescent="0.2">
      <c r="A2637" s="5" t="s">
        <v>5448</v>
      </c>
      <c r="B2637" s="5" t="s">
        <v>4713</v>
      </c>
      <c r="D2637" s="5" t="s">
        <v>6075</v>
      </c>
      <c r="E2637" s="10" t="s">
        <v>5135</v>
      </c>
      <c r="F2637" s="5" t="s">
        <v>6206</v>
      </c>
      <c r="I2637" s="11">
        <v>2</v>
      </c>
      <c r="K2637" s="10" t="s">
        <v>50</v>
      </c>
      <c r="L2637" s="5" t="s">
        <v>51</v>
      </c>
      <c r="M2637" s="5" t="s">
        <v>182</v>
      </c>
      <c r="N2637" s="5" t="s">
        <v>6075</v>
      </c>
      <c r="O2637" s="12"/>
      <c r="V2637" s="13">
        <v>2479</v>
      </c>
      <c r="AC2637" s="16" t="str">
        <f t="shared" si="123"/>
        <v/>
      </c>
      <c r="AD2637" s="17">
        <f t="shared" si="124"/>
        <v>0</v>
      </c>
      <c r="AE2637" s="17">
        <f t="shared" si="125"/>
        <v>0</v>
      </c>
      <c r="AF2637" s="10" t="s">
        <v>6207</v>
      </c>
      <c r="AG2637" s="5" t="s">
        <v>1400</v>
      </c>
      <c r="AH2637" s="5" t="s">
        <v>4717</v>
      </c>
      <c r="AI2637" s="5" t="s">
        <v>6108</v>
      </c>
      <c r="AJ2637" s="5" t="s">
        <v>6208</v>
      </c>
    </row>
    <row r="2638" spans="1:36" ht="10" customHeight="1" x14ac:dyDescent="0.2">
      <c r="A2638" s="5" t="s">
        <v>5448</v>
      </c>
      <c r="B2638" s="5" t="s">
        <v>4713</v>
      </c>
      <c r="D2638" s="5" t="s">
        <v>4860</v>
      </c>
      <c r="E2638" s="10" t="s">
        <v>5135</v>
      </c>
      <c r="F2638" s="5" t="s">
        <v>6209</v>
      </c>
      <c r="I2638" s="11">
        <v>2</v>
      </c>
      <c r="K2638" s="10" t="s">
        <v>50</v>
      </c>
      <c r="L2638" s="5" t="s">
        <v>51</v>
      </c>
      <c r="M2638" s="5" t="s">
        <v>4859</v>
      </c>
      <c r="N2638" s="5" t="s">
        <v>4860</v>
      </c>
      <c r="O2638" s="12"/>
      <c r="V2638" s="13">
        <v>53366</v>
      </c>
      <c r="AC2638" s="16" t="str">
        <f t="shared" si="123"/>
        <v/>
      </c>
      <c r="AD2638" s="17">
        <f t="shared" si="124"/>
        <v>0</v>
      </c>
      <c r="AE2638" s="17">
        <f t="shared" si="125"/>
        <v>0</v>
      </c>
      <c r="AF2638" s="10" t="s">
        <v>6210</v>
      </c>
      <c r="AG2638" s="5" t="s">
        <v>1400</v>
      </c>
      <c r="AH2638" s="5" t="s">
        <v>4717</v>
      </c>
      <c r="AI2638" s="5" t="s">
        <v>6211</v>
      </c>
      <c r="AJ2638" s="5" t="s">
        <v>6212</v>
      </c>
    </row>
    <row r="2639" spans="1:36" ht="10" customHeight="1" x14ac:dyDescent="0.2">
      <c r="A2639" s="5" t="s">
        <v>5448</v>
      </c>
      <c r="B2639" s="5" t="s">
        <v>4713</v>
      </c>
      <c r="D2639" s="5" t="s">
        <v>139</v>
      </c>
      <c r="E2639" s="10" t="s">
        <v>5135</v>
      </c>
      <c r="F2639" s="5" t="s">
        <v>6213</v>
      </c>
      <c r="I2639" s="11">
        <v>2</v>
      </c>
      <c r="K2639" s="10" t="s">
        <v>50</v>
      </c>
      <c r="L2639" s="5" t="s">
        <v>51</v>
      </c>
      <c r="M2639" s="5" t="s">
        <v>119</v>
      </c>
      <c r="N2639" s="5" t="s">
        <v>139</v>
      </c>
      <c r="O2639" s="12"/>
      <c r="V2639" s="13">
        <v>115257</v>
      </c>
      <c r="AC2639" s="16" t="str">
        <f t="shared" si="123"/>
        <v/>
      </c>
      <c r="AD2639" s="17">
        <f t="shared" si="124"/>
        <v>0</v>
      </c>
      <c r="AE2639" s="17">
        <f t="shared" si="125"/>
        <v>0</v>
      </c>
      <c r="AF2639" s="10" t="s">
        <v>6214</v>
      </c>
      <c r="AG2639" s="5" t="s">
        <v>1400</v>
      </c>
      <c r="AH2639" s="5" t="s">
        <v>4717</v>
      </c>
      <c r="AI2639" s="5" t="s">
        <v>6108</v>
      </c>
      <c r="AJ2639" s="5" t="s">
        <v>6215</v>
      </c>
    </row>
    <row r="2640" spans="1:36" ht="10" customHeight="1" x14ac:dyDescent="0.2">
      <c r="A2640" s="5" t="s">
        <v>5448</v>
      </c>
      <c r="B2640" s="5" t="s">
        <v>4713</v>
      </c>
      <c r="D2640" s="5" t="s">
        <v>168</v>
      </c>
      <c r="E2640" s="10" t="s">
        <v>5135</v>
      </c>
      <c r="F2640" s="5" t="s">
        <v>6216</v>
      </c>
      <c r="I2640" s="11">
        <v>2</v>
      </c>
      <c r="K2640" s="10" t="s">
        <v>50</v>
      </c>
      <c r="L2640" s="5" t="s">
        <v>51</v>
      </c>
      <c r="M2640" s="5" t="s">
        <v>149</v>
      </c>
      <c r="N2640" s="5" t="s">
        <v>168</v>
      </c>
      <c r="O2640" s="12"/>
      <c r="V2640" s="13">
        <v>1830</v>
      </c>
      <c r="AC2640" s="16" t="str">
        <f t="shared" si="123"/>
        <v/>
      </c>
      <c r="AD2640" s="17">
        <f t="shared" si="124"/>
        <v>0</v>
      </c>
      <c r="AE2640" s="17">
        <f t="shared" si="125"/>
        <v>0</v>
      </c>
      <c r="AF2640" s="10" t="s">
        <v>6217</v>
      </c>
      <c r="AG2640" s="5" t="s">
        <v>1400</v>
      </c>
      <c r="AH2640" s="5" t="s">
        <v>4717</v>
      </c>
      <c r="AI2640" s="5" t="s">
        <v>6108</v>
      </c>
      <c r="AJ2640" s="5" t="s">
        <v>6218</v>
      </c>
    </row>
    <row r="2641" spans="1:36" ht="10" customHeight="1" x14ac:dyDescent="0.2">
      <c r="A2641" s="5" t="s">
        <v>5448</v>
      </c>
      <c r="B2641" s="5" t="s">
        <v>4713</v>
      </c>
      <c r="D2641" s="5" t="s">
        <v>4909</v>
      </c>
      <c r="E2641" s="10" t="s">
        <v>5135</v>
      </c>
      <c r="F2641" s="5" t="s">
        <v>6219</v>
      </c>
      <c r="I2641" s="11">
        <v>2</v>
      </c>
      <c r="K2641" s="10" t="s">
        <v>50</v>
      </c>
      <c r="L2641" s="5" t="s">
        <v>51</v>
      </c>
      <c r="M2641" s="5" t="s">
        <v>149</v>
      </c>
      <c r="N2641" s="5" t="s">
        <v>4909</v>
      </c>
      <c r="O2641" s="12"/>
      <c r="V2641" s="13">
        <v>633</v>
      </c>
      <c r="AC2641" s="16" t="str">
        <f t="shared" si="123"/>
        <v/>
      </c>
      <c r="AD2641" s="17">
        <f t="shared" si="124"/>
        <v>0</v>
      </c>
      <c r="AE2641" s="17">
        <f t="shared" si="125"/>
        <v>0</v>
      </c>
      <c r="AF2641" s="10" t="s">
        <v>6220</v>
      </c>
      <c r="AG2641" s="5" t="s">
        <v>1400</v>
      </c>
      <c r="AH2641" s="5" t="s">
        <v>4717</v>
      </c>
      <c r="AI2641" s="5" t="s">
        <v>6108</v>
      </c>
      <c r="AJ2641" s="5" t="s">
        <v>6221</v>
      </c>
    </row>
    <row r="2642" spans="1:36" ht="10" customHeight="1" x14ac:dyDescent="0.2">
      <c r="A2642" s="5" t="s">
        <v>5448</v>
      </c>
      <c r="B2642" s="5" t="s">
        <v>4713</v>
      </c>
      <c r="D2642" s="5" t="s">
        <v>150</v>
      </c>
      <c r="E2642" s="10" t="s">
        <v>5135</v>
      </c>
      <c r="F2642" s="5" t="s">
        <v>6222</v>
      </c>
      <c r="I2642" s="11">
        <v>2</v>
      </c>
      <c r="K2642" s="10" t="s">
        <v>50</v>
      </c>
      <c r="L2642" s="5" t="s">
        <v>51</v>
      </c>
      <c r="M2642" s="5" t="s">
        <v>149</v>
      </c>
      <c r="N2642" s="5" t="s">
        <v>150</v>
      </c>
      <c r="O2642" s="12"/>
      <c r="V2642" s="13">
        <v>68</v>
      </c>
      <c r="AC2642" s="16" t="str">
        <f t="shared" si="123"/>
        <v/>
      </c>
      <c r="AD2642" s="17">
        <f t="shared" si="124"/>
        <v>0</v>
      </c>
      <c r="AE2642" s="17">
        <f t="shared" si="125"/>
        <v>0</v>
      </c>
      <c r="AF2642" s="10" t="s">
        <v>6223</v>
      </c>
      <c r="AG2642" s="5" t="s">
        <v>1412</v>
      </c>
      <c r="AH2642" s="5" t="s">
        <v>4717</v>
      </c>
      <c r="AI2642" s="5" t="s">
        <v>6108</v>
      </c>
      <c r="AJ2642" s="5" t="s">
        <v>6224</v>
      </c>
    </row>
    <row r="2643" spans="1:36" ht="10" customHeight="1" x14ac:dyDescent="0.2">
      <c r="A2643" s="5" t="s">
        <v>5448</v>
      </c>
      <c r="B2643" s="5" t="s">
        <v>4713</v>
      </c>
      <c r="D2643" s="5" t="s">
        <v>4903</v>
      </c>
      <c r="E2643" s="10" t="s">
        <v>5135</v>
      </c>
      <c r="F2643" s="5" t="s">
        <v>6225</v>
      </c>
      <c r="I2643" s="11">
        <v>2</v>
      </c>
      <c r="K2643" s="10" t="s">
        <v>50</v>
      </c>
      <c r="L2643" s="5" t="s">
        <v>51</v>
      </c>
      <c r="M2643" s="5" t="s">
        <v>149</v>
      </c>
      <c r="N2643" s="5" t="s">
        <v>4903</v>
      </c>
      <c r="O2643" s="12"/>
      <c r="V2643" s="13">
        <v>24197</v>
      </c>
      <c r="AC2643" s="16" t="str">
        <f t="shared" si="123"/>
        <v/>
      </c>
      <c r="AD2643" s="17">
        <f t="shared" si="124"/>
        <v>0</v>
      </c>
      <c r="AE2643" s="17">
        <f t="shared" si="125"/>
        <v>0</v>
      </c>
      <c r="AF2643" s="10" t="s">
        <v>6226</v>
      </c>
      <c r="AG2643" s="5" t="s">
        <v>1412</v>
      </c>
      <c r="AH2643" s="5" t="s">
        <v>4717</v>
      </c>
      <c r="AI2643" s="5" t="s">
        <v>6108</v>
      </c>
      <c r="AJ2643" s="5" t="s">
        <v>6227</v>
      </c>
    </row>
    <row r="2644" spans="1:36" ht="10" customHeight="1" x14ac:dyDescent="0.2">
      <c r="A2644" s="5" t="s">
        <v>5448</v>
      </c>
      <c r="B2644" s="5" t="s">
        <v>4713</v>
      </c>
      <c r="D2644" s="5" t="s">
        <v>6083</v>
      </c>
      <c r="E2644" s="10" t="s">
        <v>5135</v>
      </c>
      <c r="F2644" s="5" t="s">
        <v>6228</v>
      </c>
      <c r="I2644" s="11">
        <v>2</v>
      </c>
      <c r="K2644" s="10" t="s">
        <v>50</v>
      </c>
      <c r="L2644" s="5" t="s">
        <v>51</v>
      </c>
      <c r="M2644" s="5" t="s">
        <v>4684</v>
      </c>
      <c r="N2644" s="5" t="s">
        <v>4685</v>
      </c>
      <c r="O2644" s="12"/>
      <c r="V2644" s="13">
        <v>2376</v>
      </c>
      <c r="AC2644" s="16" t="str">
        <f t="shared" si="123"/>
        <v/>
      </c>
      <c r="AD2644" s="17">
        <f t="shared" si="124"/>
        <v>0</v>
      </c>
      <c r="AE2644" s="17">
        <f t="shared" si="125"/>
        <v>0</v>
      </c>
      <c r="AF2644" s="10" t="s">
        <v>6229</v>
      </c>
      <c r="AG2644" s="5" t="s">
        <v>1412</v>
      </c>
      <c r="AH2644" s="5" t="s">
        <v>4717</v>
      </c>
      <c r="AI2644" s="5" t="s">
        <v>6108</v>
      </c>
      <c r="AJ2644" s="5" t="s">
        <v>6230</v>
      </c>
    </row>
    <row r="2645" spans="1:36" ht="10" customHeight="1" x14ac:dyDescent="0.2">
      <c r="A2645" s="5" t="s">
        <v>5448</v>
      </c>
      <c r="B2645" s="5" t="s">
        <v>4713</v>
      </c>
      <c r="D2645" s="5" t="s">
        <v>6133</v>
      </c>
      <c r="E2645" s="10" t="s">
        <v>5135</v>
      </c>
      <c r="F2645" s="5" t="s">
        <v>6231</v>
      </c>
      <c r="I2645" s="11">
        <v>2</v>
      </c>
      <c r="K2645" s="12"/>
      <c r="O2645" s="12"/>
      <c r="V2645" s="13">
        <v>26319</v>
      </c>
      <c r="AC2645" s="16" t="str">
        <f t="shared" si="123"/>
        <v/>
      </c>
      <c r="AD2645" s="17">
        <f t="shared" si="124"/>
        <v>0</v>
      </c>
      <c r="AE2645" s="17">
        <f t="shared" si="125"/>
        <v>0</v>
      </c>
      <c r="AF2645" s="10" t="s">
        <v>6232</v>
      </c>
      <c r="AG2645" s="5" t="s">
        <v>1412</v>
      </c>
      <c r="AH2645" s="5" t="s">
        <v>4717</v>
      </c>
      <c r="AI2645" s="5" t="s">
        <v>6108</v>
      </c>
      <c r="AJ2645" s="5" t="s">
        <v>6233</v>
      </c>
    </row>
    <row r="2646" spans="1:36" ht="10" customHeight="1" x14ac:dyDescent="0.2">
      <c r="A2646" s="5" t="s">
        <v>5448</v>
      </c>
      <c r="B2646" s="5" t="s">
        <v>4713</v>
      </c>
      <c r="D2646" s="5" t="s">
        <v>6140</v>
      </c>
      <c r="E2646" s="10" t="s">
        <v>5135</v>
      </c>
      <c r="F2646" s="5" t="s">
        <v>6234</v>
      </c>
      <c r="I2646" s="11">
        <v>2</v>
      </c>
      <c r="K2646" s="12"/>
      <c r="O2646" s="12"/>
      <c r="V2646" s="13">
        <v>1738</v>
      </c>
      <c r="AC2646" s="16" t="str">
        <f t="shared" si="123"/>
        <v/>
      </c>
      <c r="AD2646" s="17">
        <f t="shared" si="124"/>
        <v>0</v>
      </c>
      <c r="AE2646" s="17">
        <f t="shared" si="125"/>
        <v>0</v>
      </c>
      <c r="AF2646" s="10" t="s">
        <v>6235</v>
      </c>
      <c r="AG2646" s="5" t="s">
        <v>1412</v>
      </c>
      <c r="AH2646" s="5" t="s">
        <v>4717</v>
      </c>
      <c r="AI2646" s="5" t="s">
        <v>6108</v>
      </c>
      <c r="AJ2646" s="5" t="s">
        <v>6236</v>
      </c>
    </row>
    <row r="2647" spans="1:36" ht="10" customHeight="1" x14ac:dyDescent="0.2">
      <c r="A2647" s="5" t="s">
        <v>5448</v>
      </c>
      <c r="B2647" s="5" t="s">
        <v>4713</v>
      </c>
      <c r="D2647" s="5" t="s">
        <v>53</v>
      </c>
      <c r="E2647" s="10" t="s">
        <v>5135</v>
      </c>
      <c r="F2647" s="5" t="s">
        <v>6237</v>
      </c>
      <c r="I2647" s="11">
        <v>2</v>
      </c>
      <c r="K2647" s="10" t="s">
        <v>50</v>
      </c>
      <c r="L2647" s="5" t="s">
        <v>51</v>
      </c>
      <c r="M2647" s="5" t="s">
        <v>52</v>
      </c>
      <c r="N2647" s="5" t="s">
        <v>53</v>
      </c>
      <c r="O2647" s="12"/>
      <c r="V2647" s="13">
        <v>6345</v>
      </c>
      <c r="AC2647" s="16" t="str">
        <f t="shared" si="123"/>
        <v/>
      </c>
      <c r="AD2647" s="17">
        <f t="shared" si="124"/>
        <v>0</v>
      </c>
      <c r="AE2647" s="17">
        <f t="shared" si="125"/>
        <v>0</v>
      </c>
      <c r="AF2647" s="10" t="s">
        <v>6238</v>
      </c>
      <c r="AG2647" s="5" t="s">
        <v>1412</v>
      </c>
      <c r="AH2647" s="5" t="s">
        <v>4717</v>
      </c>
      <c r="AI2647" s="5" t="s">
        <v>6108</v>
      </c>
      <c r="AJ2647" s="5" t="s">
        <v>6239</v>
      </c>
    </row>
    <row r="2648" spans="1:36" ht="10" customHeight="1" x14ac:dyDescent="0.2">
      <c r="A2648" s="5" t="s">
        <v>5448</v>
      </c>
      <c r="B2648" s="5" t="s">
        <v>4713</v>
      </c>
      <c r="D2648" s="5" t="s">
        <v>6098</v>
      </c>
      <c r="E2648" s="10" t="s">
        <v>5135</v>
      </c>
      <c r="F2648" s="5" t="s">
        <v>6240</v>
      </c>
      <c r="I2648" s="11">
        <v>2</v>
      </c>
      <c r="K2648" s="10" t="s">
        <v>50</v>
      </c>
      <c r="L2648" s="5" t="s">
        <v>51</v>
      </c>
      <c r="M2648" s="5" t="s">
        <v>52</v>
      </c>
      <c r="N2648" s="5" t="s">
        <v>6098</v>
      </c>
      <c r="O2648" s="12"/>
      <c r="V2648" s="13">
        <v>65</v>
      </c>
      <c r="AC2648" s="16" t="str">
        <f t="shared" si="123"/>
        <v/>
      </c>
      <c r="AD2648" s="17">
        <f t="shared" si="124"/>
        <v>0</v>
      </c>
      <c r="AE2648" s="17">
        <f t="shared" si="125"/>
        <v>0</v>
      </c>
      <c r="AF2648" s="10" t="s">
        <v>6241</v>
      </c>
      <c r="AG2648" s="5" t="s">
        <v>1412</v>
      </c>
      <c r="AH2648" s="5" t="s">
        <v>4717</v>
      </c>
      <c r="AI2648" s="5" t="s">
        <v>6108</v>
      </c>
      <c r="AJ2648" s="5" t="s">
        <v>6242</v>
      </c>
    </row>
    <row r="2649" spans="1:36" ht="10" customHeight="1" x14ac:dyDescent="0.2">
      <c r="A2649" s="5" t="s">
        <v>5448</v>
      </c>
      <c r="B2649" s="5" t="s">
        <v>4713</v>
      </c>
      <c r="D2649" s="5" t="s">
        <v>88</v>
      </c>
      <c r="E2649" s="10" t="s">
        <v>5135</v>
      </c>
      <c r="F2649" s="5" t="s">
        <v>6243</v>
      </c>
      <c r="I2649" s="11">
        <v>2</v>
      </c>
      <c r="K2649" s="10" t="s">
        <v>50</v>
      </c>
      <c r="L2649" s="5" t="s">
        <v>51</v>
      </c>
      <c r="M2649" s="5" t="s">
        <v>52</v>
      </c>
      <c r="N2649" s="5" t="s">
        <v>88</v>
      </c>
      <c r="O2649" s="12"/>
      <c r="V2649" s="13">
        <v>8653</v>
      </c>
      <c r="AC2649" s="16" t="str">
        <f t="shared" si="123"/>
        <v/>
      </c>
      <c r="AD2649" s="17">
        <f t="shared" si="124"/>
        <v>0</v>
      </c>
      <c r="AE2649" s="17">
        <f t="shared" si="125"/>
        <v>0</v>
      </c>
      <c r="AF2649" s="10" t="s">
        <v>6244</v>
      </c>
      <c r="AG2649" s="5" t="s">
        <v>1412</v>
      </c>
      <c r="AH2649" s="5" t="s">
        <v>4717</v>
      </c>
      <c r="AI2649" s="5" t="s">
        <v>6245</v>
      </c>
      <c r="AJ2649" s="5" t="s">
        <v>6246</v>
      </c>
    </row>
    <row r="2650" spans="1:36" ht="10" customHeight="1" x14ac:dyDescent="0.2">
      <c r="A2650" s="5" t="s">
        <v>5448</v>
      </c>
      <c r="B2650" s="5" t="s">
        <v>4713</v>
      </c>
      <c r="D2650" s="5" t="s">
        <v>6101</v>
      </c>
      <c r="E2650" s="10" t="s">
        <v>5135</v>
      </c>
      <c r="F2650" s="5" t="s">
        <v>6247</v>
      </c>
      <c r="I2650" s="11">
        <v>2</v>
      </c>
      <c r="K2650" s="10" t="s">
        <v>50</v>
      </c>
      <c r="L2650" s="5" t="s">
        <v>51</v>
      </c>
      <c r="M2650" s="5" t="s">
        <v>52</v>
      </c>
      <c r="O2650" s="12"/>
      <c r="V2650" s="13">
        <v>99314</v>
      </c>
      <c r="AC2650" s="16" t="str">
        <f t="shared" si="123"/>
        <v/>
      </c>
      <c r="AD2650" s="17">
        <f t="shared" si="124"/>
        <v>0</v>
      </c>
      <c r="AE2650" s="17">
        <f t="shared" si="125"/>
        <v>0</v>
      </c>
      <c r="AF2650" s="10" t="s">
        <v>6248</v>
      </c>
      <c r="AG2650" s="5" t="s">
        <v>1412</v>
      </c>
      <c r="AH2650" s="5" t="s">
        <v>4717</v>
      </c>
      <c r="AI2650" s="5" t="s">
        <v>6108</v>
      </c>
      <c r="AJ2650" s="5" t="s">
        <v>6249</v>
      </c>
    </row>
    <row r="2651" spans="1:36" ht="10" customHeight="1" x14ac:dyDescent="0.2">
      <c r="A2651" s="5" t="s">
        <v>5448</v>
      </c>
      <c r="B2651" s="5" t="s">
        <v>4713</v>
      </c>
      <c r="D2651" s="5" t="s">
        <v>6103</v>
      </c>
      <c r="E2651" s="10" t="s">
        <v>5135</v>
      </c>
      <c r="F2651" s="5" t="s">
        <v>6250</v>
      </c>
      <c r="I2651" s="11">
        <v>2</v>
      </c>
      <c r="K2651" s="10" t="s">
        <v>50</v>
      </c>
      <c r="L2651" s="5" t="s">
        <v>51</v>
      </c>
      <c r="M2651" s="5" t="s">
        <v>52</v>
      </c>
      <c r="O2651" s="12"/>
      <c r="V2651" s="13">
        <v>187636</v>
      </c>
      <c r="AC2651" s="16" t="str">
        <f t="shared" si="123"/>
        <v/>
      </c>
      <c r="AD2651" s="17">
        <f t="shared" si="124"/>
        <v>0</v>
      </c>
      <c r="AE2651" s="17">
        <f t="shared" si="125"/>
        <v>0</v>
      </c>
      <c r="AF2651" s="10" t="s">
        <v>6251</v>
      </c>
      <c r="AG2651" s="5" t="s">
        <v>1412</v>
      </c>
      <c r="AH2651" s="5" t="s">
        <v>4717</v>
      </c>
      <c r="AI2651" s="5" t="s">
        <v>6108</v>
      </c>
      <c r="AJ2651" s="5" t="s">
        <v>6252</v>
      </c>
    </row>
    <row r="2652" spans="1:36" ht="10" customHeight="1" x14ac:dyDescent="0.2">
      <c r="A2652" s="5" t="s">
        <v>5448</v>
      </c>
      <c r="B2652" s="5" t="s">
        <v>4713</v>
      </c>
      <c r="D2652" s="5" t="s">
        <v>6038</v>
      </c>
      <c r="E2652" s="10" t="s">
        <v>5135</v>
      </c>
      <c r="F2652" s="5" t="s">
        <v>6253</v>
      </c>
      <c r="I2652" s="11">
        <v>4</v>
      </c>
      <c r="K2652" s="10" t="s">
        <v>50</v>
      </c>
      <c r="L2652" s="5" t="s">
        <v>51</v>
      </c>
      <c r="M2652" s="5" t="s">
        <v>149</v>
      </c>
      <c r="O2652" s="12"/>
      <c r="V2652" s="13">
        <v>156815</v>
      </c>
      <c r="AC2652" s="16" t="str">
        <f t="shared" si="123"/>
        <v/>
      </c>
      <c r="AD2652" s="17">
        <f t="shared" si="124"/>
        <v>0</v>
      </c>
      <c r="AE2652" s="17">
        <f t="shared" si="125"/>
        <v>0</v>
      </c>
      <c r="AF2652" s="10" t="s">
        <v>6254</v>
      </c>
      <c r="AG2652" s="5" t="s">
        <v>6154</v>
      </c>
      <c r="AH2652" s="5" t="s">
        <v>4717</v>
      </c>
      <c r="AI2652" s="5" t="s">
        <v>6163</v>
      </c>
      <c r="AJ2652" s="5" t="s">
        <v>6183</v>
      </c>
    </row>
    <row r="2653" spans="1:36" ht="10" customHeight="1" x14ac:dyDescent="0.2">
      <c r="A2653" s="5" t="s">
        <v>5448</v>
      </c>
      <c r="B2653" s="5" t="s">
        <v>4713</v>
      </c>
      <c r="D2653" s="5" t="s">
        <v>120</v>
      </c>
      <c r="E2653" s="10" t="s">
        <v>5135</v>
      </c>
      <c r="F2653" s="5" t="s">
        <v>6255</v>
      </c>
      <c r="I2653" s="11">
        <v>4</v>
      </c>
      <c r="K2653" s="10" t="s">
        <v>50</v>
      </c>
      <c r="L2653" s="5" t="s">
        <v>51</v>
      </c>
      <c r="M2653" s="5" t="s">
        <v>119</v>
      </c>
      <c r="N2653" s="5" t="s">
        <v>120</v>
      </c>
      <c r="O2653" s="12"/>
      <c r="V2653" s="13">
        <v>135506</v>
      </c>
      <c r="AC2653" s="16" t="str">
        <f t="shared" si="123"/>
        <v/>
      </c>
      <c r="AD2653" s="17">
        <f t="shared" si="124"/>
        <v>0</v>
      </c>
      <c r="AE2653" s="17">
        <f t="shared" si="125"/>
        <v>0</v>
      </c>
      <c r="AF2653" s="10" t="s">
        <v>6256</v>
      </c>
      <c r="AG2653" s="5" t="s">
        <v>6154</v>
      </c>
      <c r="AH2653" s="5" t="s">
        <v>4717</v>
      </c>
      <c r="AI2653" s="5" t="s">
        <v>6257</v>
      </c>
      <c r="AJ2653" s="5" t="s">
        <v>6202</v>
      </c>
    </row>
    <row r="2654" spans="1:36" ht="10" customHeight="1" x14ac:dyDescent="0.2">
      <c r="A2654" s="5" t="s">
        <v>6258</v>
      </c>
      <c r="B2654" s="5" t="s">
        <v>45</v>
      </c>
      <c r="C2654" s="5" t="s">
        <v>6259</v>
      </c>
      <c r="D2654" s="5" t="s">
        <v>6260</v>
      </c>
      <c r="E2654" s="12"/>
      <c r="I2654" s="11">
        <v>4</v>
      </c>
      <c r="K2654" s="12"/>
      <c r="O2654" s="12"/>
      <c r="P2654" s="13">
        <v>12855</v>
      </c>
      <c r="Q2654" s="13">
        <v>20840</v>
      </c>
      <c r="S2654" s="13">
        <v>9978</v>
      </c>
      <c r="T2654" s="13">
        <v>0</v>
      </c>
      <c r="U2654" s="13">
        <v>9978</v>
      </c>
      <c r="X2654" s="13">
        <v>9978</v>
      </c>
      <c r="Y2654" s="13">
        <v>9978</v>
      </c>
      <c r="Z2654" s="13">
        <v>22668</v>
      </c>
      <c r="AB2654" s="13">
        <v>22668</v>
      </c>
      <c r="AC2654" s="16" t="str">
        <f t="shared" si="123"/>
        <v>ADD</v>
      </c>
      <c r="AD2654" s="17">
        <f t="shared" si="124"/>
        <v>9978</v>
      </c>
      <c r="AE2654" s="17">
        <f t="shared" si="125"/>
        <v>22668</v>
      </c>
      <c r="AF2654" s="10" t="s">
        <v>6261</v>
      </c>
      <c r="AG2654" s="5" t="s">
        <v>664</v>
      </c>
      <c r="AH2654" s="5" t="s">
        <v>6262</v>
      </c>
    </row>
    <row r="2655" spans="1:36" ht="10" customHeight="1" x14ac:dyDescent="0.2">
      <c r="A2655" s="5" t="s">
        <v>6258</v>
      </c>
      <c r="B2655" s="5" t="s">
        <v>45</v>
      </c>
      <c r="C2655" s="5" t="s">
        <v>6263</v>
      </c>
      <c r="D2655" s="5" t="s">
        <v>6264</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6" t="str">
        <f t="shared" si="123"/>
        <v>ADD</v>
      </c>
      <c r="AD2655" s="17">
        <f t="shared" si="124"/>
        <v>62004</v>
      </c>
      <c r="AE2655" s="17">
        <f t="shared" si="125"/>
        <v>103871</v>
      </c>
      <c r="AF2655" s="10" t="s">
        <v>6265</v>
      </c>
      <c r="AG2655" s="5" t="s">
        <v>844</v>
      </c>
      <c r="AH2655" s="5" t="s">
        <v>6266</v>
      </c>
    </row>
    <row r="2656" spans="1:36" ht="10" customHeight="1" x14ac:dyDescent="0.2">
      <c r="A2656" s="5" t="s">
        <v>6258</v>
      </c>
      <c r="B2656" s="5" t="s">
        <v>45</v>
      </c>
      <c r="C2656" s="5" t="s">
        <v>6267</v>
      </c>
      <c r="D2656" s="5" t="s">
        <v>6268</v>
      </c>
      <c r="E2656" s="12"/>
      <c r="I2656" s="11">
        <v>4</v>
      </c>
      <c r="K2656" s="12"/>
      <c r="O2656" s="12"/>
      <c r="P2656" s="13">
        <v>103852</v>
      </c>
      <c r="Q2656" s="13">
        <v>97206</v>
      </c>
      <c r="S2656" s="13">
        <v>96945</v>
      </c>
      <c r="T2656" s="13">
        <v>0</v>
      </c>
      <c r="U2656" s="13">
        <v>96945</v>
      </c>
      <c r="X2656" s="13">
        <v>96945</v>
      </c>
      <c r="Y2656" s="13">
        <v>96945</v>
      </c>
      <c r="Z2656" s="13">
        <v>83510</v>
      </c>
      <c r="AB2656" s="13">
        <v>83510</v>
      </c>
      <c r="AC2656" s="16" t="str">
        <f t="shared" si="123"/>
        <v>ADD</v>
      </c>
      <c r="AD2656" s="17">
        <f t="shared" si="124"/>
        <v>96945</v>
      </c>
      <c r="AE2656" s="17">
        <f t="shared" si="125"/>
        <v>83510</v>
      </c>
      <c r="AF2656" s="10" t="s">
        <v>6269</v>
      </c>
      <c r="AG2656" s="5" t="s">
        <v>1093</v>
      </c>
      <c r="AH2656" s="5" t="s">
        <v>1264</v>
      </c>
      <c r="AI2656" s="5" t="s">
        <v>6270</v>
      </c>
    </row>
    <row r="2657" spans="1:36" ht="10" customHeight="1" x14ac:dyDescent="0.2">
      <c r="A2657" s="5" t="s">
        <v>6258</v>
      </c>
      <c r="B2657" s="5" t="s">
        <v>45</v>
      </c>
      <c r="C2657" s="5" t="s">
        <v>6271</v>
      </c>
      <c r="D2657" s="5" t="s">
        <v>6272</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6" t="str">
        <f t="shared" si="123"/>
        <v>ADD</v>
      </c>
      <c r="AD2657" s="17">
        <f t="shared" si="124"/>
        <v>204863</v>
      </c>
      <c r="AE2657" s="17">
        <f t="shared" si="125"/>
        <v>344885</v>
      </c>
      <c r="AF2657" s="10" t="s">
        <v>6273</v>
      </c>
      <c r="AG2657" s="5" t="s">
        <v>4884</v>
      </c>
      <c r="AH2657" s="5" t="s">
        <v>6274</v>
      </c>
    </row>
    <row r="2658" spans="1:36" ht="10" customHeight="1" x14ac:dyDescent="0.2">
      <c r="A2658" s="5" t="s">
        <v>6258</v>
      </c>
      <c r="B2658" s="5" t="s">
        <v>45</v>
      </c>
      <c r="C2658" s="5" t="s">
        <v>6275</v>
      </c>
      <c r="D2658" s="5" t="s">
        <v>6276</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6" t="str">
        <f t="shared" si="123"/>
        <v>ADD</v>
      </c>
      <c r="AD2658" s="17">
        <f t="shared" si="124"/>
        <v>878787</v>
      </c>
      <c r="AE2658" s="17">
        <f t="shared" si="125"/>
        <v>1000278</v>
      </c>
      <c r="AF2658" s="10" t="s">
        <v>6277</v>
      </c>
      <c r="AG2658" s="5" t="s">
        <v>2418</v>
      </c>
      <c r="AH2658" s="5" t="s">
        <v>6278</v>
      </c>
    </row>
    <row r="2659" spans="1:36" ht="10" customHeight="1" x14ac:dyDescent="0.2">
      <c r="A2659" s="5" t="s">
        <v>6258</v>
      </c>
      <c r="B2659" s="5" t="s">
        <v>45</v>
      </c>
      <c r="C2659" s="5" t="s">
        <v>6279</v>
      </c>
      <c r="D2659" s="5" t="s">
        <v>6280</v>
      </c>
      <c r="E2659" s="10" t="s">
        <v>57</v>
      </c>
      <c r="F2659" s="5" t="s">
        <v>6281</v>
      </c>
      <c r="I2659" s="11">
        <v>4</v>
      </c>
      <c r="K2659" s="10" t="s">
        <v>50</v>
      </c>
      <c r="L2659" s="5" t="s">
        <v>51</v>
      </c>
      <c r="M2659" s="5" t="s">
        <v>119</v>
      </c>
      <c r="N2659" s="5" t="s">
        <v>120</v>
      </c>
      <c r="O2659" s="12"/>
      <c r="S2659" s="13">
        <v>337068</v>
      </c>
      <c r="AC2659" s="16" t="str">
        <f t="shared" si="123"/>
        <v/>
      </c>
      <c r="AD2659" s="17">
        <f t="shared" si="124"/>
        <v>337068</v>
      </c>
      <c r="AE2659" s="17">
        <f t="shared" si="125"/>
        <v>0</v>
      </c>
      <c r="AF2659" s="10" t="s">
        <v>6282</v>
      </c>
      <c r="AG2659" s="5" t="s">
        <v>2418</v>
      </c>
      <c r="AH2659" s="5" t="s">
        <v>6278</v>
      </c>
      <c r="AI2659" s="5" t="s">
        <v>6283</v>
      </c>
      <c r="AJ2659" s="5" t="s">
        <v>6284</v>
      </c>
    </row>
    <row r="2660" spans="1:36" ht="10" customHeight="1" x14ac:dyDescent="0.2">
      <c r="A2660" s="5" t="s">
        <v>6258</v>
      </c>
      <c r="B2660" s="5" t="s">
        <v>45</v>
      </c>
      <c r="C2660" s="5" t="s">
        <v>6285</v>
      </c>
      <c r="D2660" s="5" t="s">
        <v>6286</v>
      </c>
      <c r="E2660" s="10" t="s">
        <v>57</v>
      </c>
      <c r="F2660" s="5" t="s">
        <v>6281</v>
      </c>
      <c r="I2660" s="11">
        <v>4</v>
      </c>
      <c r="K2660" s="10" t="s">
        <v>50</v>
      </c>
      <c r="L2660" s="5" t="s">
        <v>51</v>
      </c>
      <c r="M2660" s="5" t="s">
        <v>119</v>
      </c>
      <c r="N2660" s="5" t="s">
        <v>120</v>
      </c>
      <c r="O2660" s="12"/>
      <c r="S2660" s="13">
        <v>168026</v>
      </c>
      <c r="AC2660" s="16" t="str">
        <f t="shared" si="123"/>
        <v/>
      </c>
      <c r="AD2660" s="17">
        <f t="shared" si="124"/>
        <v>168026</v>
      </c>
      <c r="AE2660" s="17">
        <f t="shared" si="125"/>
        <v>0</v>
      </c>
      <c r="AF2660" s="10" t="s">
        <v>6287</v>
      </c>
      <c r="AG2660" s="5" t="s">
        <v>2418</v>
      </c>
      <c r="AH2660" s="5" t="s">
        <v>6278</v>
      </c>
      <c r="AI2660" s="5" t="s">
        <v>6288</v>
      </c>
      <c r="AJ2660" s="5" t="s">
        <v>6289</v>
      </c>
    </row>
    <row r="2661" spans="1:36" ht="10" customHeight="1" x14ac:dyDescent="0.2">
      <c r="A2661" s="5" t="s">
        <v>6258</v>
      </c>
      <c r="B2661" s="5" t="s">
        <v>45</v>
      </c>
      <c r="C2661" s="5" t="s">
        <v>6290</v>
      </c>
      <c r="D2661" s="5" t="s">
        <v>6291</v>
      </c>
      <c r="E2661" s="10" t="s">
        <v>57</v>
      </c>
      <c r="F2661" s="5" t="s">
        <v>6281</v>
      </c>
      <c r="I2661" s="11">
        <v>4</v>
      </c>
      <c r="K2661" s="10" t="s">
        <v>50</v>
      </c>
      <c r="L2661" s="5" t="s">
        <v>51</v>
      </c>
      <c r="M2661" s="5" t="s">
        <v>119</v>
      </c>
      <c r="N2661" s="5" t="s">
        <v>120</v>
      </c>
      <c r="O2661" s="12"/>
      <c r="S2661" s="13">
        <v>51902</v>
      </c>
      <c r="AC2661" s="16" t="str">
        <f t="shared" si="123"/>
        <v/>
      </c>
      <c r="AD2661" s="17">
        <f t="shared" si="124"/>
        <v>51902</v>
      </c>
      <c r="AE2661" s="17">
        <f t="shared" si="125"/>
        <v>0</v>
      </c>
      <c r="AF2661" s="10" t="s">
        <v>6292</v>
      </c>
      <c r="AG2661" s="5" t="s">
        <v>2418</v>
      </c>
      <c r="AH2661" s="5" t="s">
        <v>6278</v>
      </c>
      <c r="AI2661" s="5" t="s">
        <v>6293</v>
      </c>
      <c r="AJ2661" s="5" t="s">
        <v>6294</v>
      </c>
    </row>
    <row r="2662" spans="1:36" ht="10" customHeight="1" x14ac:dyDescent="0.2">
      <c r="A2662" s="5" t="s">
        <v>6258</v>
      </c>
      <c r="B2662" s="5" t="s">
        <v>45</v>
      </c>
      <c r="C2662" s="5" t="s">
        <v>6295</v>
      </c>
      <c r="D2662" s="5" t="s">
        <v>6296</v>
      </c>
      <c r="E2662" s="10" t="s">
        <v>57</v>
      </c>
      <c r="F2662" s="5" t="s">
        <v>6281</v>
      </c>
      <c r="I2662" s="11">
        <v>4</v>
      </c>
      <c r="K2662" s="10" t="s">
        <v>50</v>
      </c>
      <c r="L2662" s="5" t="s">
        <v>51</v>
      </c>
      <c r="M2662" s="5" t="s">
        <v>119</v>
      </c>
      <c r="N2662" s="5" t="s">
        <v>120</v>
      </c>
      <c r="O2662" s="12"/>
      <c r="S2662" s="13">
        <v>79260</v>
      </c>
      <c r="AC2662" s="16" t="str">
        <f t="shared" si="123"/>
        <v/>
      </c>
      <c r="AD2662" s="17">
        <f t="shared" si="124"/>
        <v>79260</v>
      </c>
      <c r="AE2662" s="17">
        <f t="shared" si="125"/>
        <v>0</v>
      </c>
      <c r="AF2662" s="10" t="s">
        <v>6297</v>
      </c>
      <c r="AG2662" s="5" t="s">
        <v>2418</v>
      </c>
      <c r="AH2662" s="5" t="s">
        <v>6278</v>
      </c>
    </row>
    <row r="2663" spans="1:36" ht="10" customHeight="1" x14ac:dyDescent="0.2">
      <c r="A2663" s="5" t="s">
        <v>6258</v>
      </c>
      <c r="B2663" s="5" t="s">
        <v>45</v>
      </c>
      <c r="C2663" s="5" t="s">
        <v>6298</v>
      </c>
      <c r="D2663" s="5" t="s">
        <v>6299</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6" t="str">
        <f t="shared" si="123"/>
        <v>ADD</v>
      </c>
      <c r="AD2663" s="17">
        <f t="shared" si="124"/>
        <v>36488</v>
      </c>
      <c r="AE2663" s="17">
        <f t="shared" si="125"/>
        <v>177708</v>
      </c>
      <c r="AF2663" s="10" t="s">
        <v>6300</v>
      </c>
      <c r="AG2663" s="5" t="s">
        <v>136</v>
      </c>
      <c r="AH2663" s="5" t="s">
        <v>6301</v>
      </c>
    </row>
    <row r="2664" spans="1:36" ht="10" customHeight="1" x14ac:dyDescent="0.2">
      <c r="A2664" s="5" t="s">
        <v>6258</v>
      </c>
      <c r="B2664" s="5" t="s">
        <v>45</v>
      </c>
      <c r="C2664" s="5" t="s">
        <v>6302</v>
      </c>
      <c r="D2664" s="5" t="s">
        <v>6303</v>
      </c>
      <c r="E2664" s="12"/>
      <c r="I2664" s="11">
        <v>4</v>
      </c>
      <c r="K2664" s="12"/>
      <c r="O2664" s="12"/>
      <c r="P2664" s="13">
        <v>2456</v>
      </c>
      <c r="Q2664" s="13">
        <v>2402</v>
      </c>
      <c r="S2664" s="13">
        <v>2417</v>
      </c>
      <c r="T2664" s="13">
        <v>0</v>
      </c>
      <c r="U2664" s="13">
        <v>2417</v>
      </c>
      <c r="X2664" s="13">
        <v>2417</v>
      </c>
      <c r="Y2664" s="13">
        <v>2417</v>
      </c>
      <c r="Z2664" s="13">
        <v>2259</v>
      </c>
      <c r="AB2664" s="13">
        <v>2259</v>
      </c>
      <c r="AC2664" s="16" t="str">
        <f t="shared" si="123"/>
        <v>ADD</v>
      </c>
      <c r="AD2664" s="17">
        <f t="shared" si="124"/>
        <v>2417</v>
      </c>
      <c r="AE2664" s="17">
        <f t="shared" si="125"/>
        <v>2259</v>
      </c>
      <c r="AF2664" s="10" t="s">
        <v>6304</v>
      </c>
      <c r="AG2664" s="5" t="s">
        <v>3290</v>
      </c>
      <c r="AH2664" s="5" t="s">
        <v>6305</v>
      </c>
    </row>
    <row r="2665" spans="1:36" ht="10" customHeight="1" x14ac:dyDescent="0.2">
      <c r="A2665" s="5" t="s">
        <v>6258</v>
      </c>
      <c r="B2665" s="5" t="s">
        <v>45</v>
      </c>
      <c r="C2665" s="5" t="s">
        <v>6306</v>
      </c>
      <c r="D2665" s="5" t="s">
        <v>6307</v>
      </c>
      <c r="E2665" s="12"/>
      <c r="I2665" s="11">
        <v>4</v>
      </c>
      <c r="K2665" s="10" t="s">
        <v>50</v>
      </c>
      <c r="L2665" s="5" t="s">
        <v>51</v>
      </c>
      <c r="M2665" s="5" t="s">
        <v>149</v>
      </c>
      <c r="N2665" s="5" t="s">
        <v>4909</v>
      </c>
      <c r="O2665" s="12"/>
      <c r="P2665" s="13">
        <v>102334</v>
      </c>
      <c r="Q2665" s="13">
        <v>81602</v>
      </c>
      <c r="S2665" s="13">
        <v>86884</v>
      </c>
      <c r="T2665" s="13">
        <v>36500</v>
      </c>
      <c r="U2665" s="13">
        <v>123384</v>
      </c>
      <c r="W2665" s="13">
        <v>62767</v>
      </c>
      <c r="X2665" s="13">
        <v>60617</v>
      </c>
      <c r="Y2665" s="13">
        <v>123384</v>
      </c>
      <c r="Z2665" s="13">
        <v>131315</v>
      </c>
      <c r="AB2665" s="13">
        <v>131315</v>
      </c>
      <c r="AC2665" s="16" t="str">
        <f t="shared" si="123"/>
        <v>ADD</v>
      </c>
      <c r="AD2665" s="17">
        <f t="shared" si="124"/>
        <v>123384</v>
      </c>
      <c r="AE2665" s="17">
        <f t="shared" si="125"/>
        <v>131315</v>
      </c>
      <c r="AF2665" s="10" t="s">
        <v>6308</v>
      </c>
      <c r="AG2665" s="5" t="s">
        <v>3346</v>
      </c>
      <c r="AH2665" s="5" t="s">
        <v>2745</v>
      </c>
    </row>
    <row r="2666" spans="1:36" ht="10" customHeight="1" x14ac:dyDescent="0.2">
      <c r="A2666" s="5" t="s">
        <v>6258</v>
      </c>
      <c r="B2666" s="5" t="s">
        <v>45</v>
      </c>
      <c r="C2666" s="5" t="s">
        <v>6309</v>
      </c>
      <c r="D2666" s="5" t="s">
        <v>6310</v>
      </c>
      <c r="E2666" s="12"/>
      <c r="I2666" s="11">
        <v>5</v>
      </c>
      <c r="K2666" s="10" t="s">
        <v>50</v>
      </c>
      <c r="L2666" s="5" t="s">
        <v>51</v>
      </c>
      <c r="M2666" s="5" t="s">
        <v>4859</v>
      </c>
      <c r="N2666" s="5" t="s">
        <v>4860</v>
      </c>
      <c r="O2666" s="12"/>
      <c r="P2666" s="13">
        <v>10522</v>
      </c>
      <c r="Q2666" s="13">
        <v>7352</v>
      </c>
      <c r="S2666" s="13">
        <v>19276</v>
      </c>
      <c r="T2666" s="13">
        <v>0</v>
      </c>
      <c r="U2666" s="13">
        <v>19276</v>
      </c>
      <c r="X2666" s="13">
        <v>19276</v>
      </c>
      <c r="Y2666" s="13">
        <v>19276</v>
      </c>
      <c r="Z2666" s="13">
        <v>766</v>
      </c>
      <c r="AB2666" s="13">
        <v>766</v>
      </c>
      <c r="AC2666" s="16" t="str">
        <f t="shared" si="123"/>
        <v>ADD</v>
      </c>
      <c r="AD2666" s="17">
        <f t="shared" si="124"/>
        <v>19276</v>
      </c>
      <c r="AE2666" s="17">
        <f t="shared" si="125"/>
        <v>766</v>
      </c>
      <c r="AF2666" s="10" t="s">
        <v>6311</v>
      </c>
      <c r="AG2666" s="5" t="s">
        <v>3868</v>
      </c>
      <c r="AH2666" s="5" t="s">
        <v>6312</v>
      </c>
    </row>
    <row r="2667" spans="1:36" ht="10" customHeight="1" x14ac:dyDescent="0.2">
      <c r="A2667" s="5" t="s">
        <v>6258</v>
      </c>
      <c r="B2667" s="5" t="s">
        <v>45</v>
      </c>
      <c r="C2667" s="5" t="s">
        <v>6313</v>
      </c>
      <c r="D2667" s="5" t="s">
        <v>6314</v>
      </c>
      <c r="E2667" s="12"/>
      <c r="I2667" s="11">
        <v>4</v>
      </c>
      <c r="K2667" s="12"/>
      <c r="O2667" s="12"/>
      <c r="P2667" s="13">
        <v>22757</v>
      </c>
      <c r="Q2667" s="13">
        <v>23440</v>
      </c>
      <c r="S2667" s="13">
        <v>22477</v>
      </c>
      <c r="T2667" s="13">
        <v>0</v>
      </c>
      <c r="U2667" s="13">
        <v>22477</v>
      </c>
      <c r="X2667" s="13">
        <v>22477</v>
      </c>
      <c r="Y2667" s="13">
        <v>22477</v>
      </c>
      <c r="Z2667" s="13">
        <v>22506</v>
      </c>
      <c r="AB2667" s="13">
        <v>22506</v>
      </c>
      <c r="AC2667" s="16" t="str">
        <f t="shared" si="123"/>
        <v>ADD</v>
      </c>
      <c r="AD2667" s="17">
        <f t="shared" si="124"/>
        <v>22477</v>
      </c>
      <c r="AE2667" s="17">
        <f t="shared" si="125"/>
        <v>22506</v>
      </c>
      <c r="AF2667" s="10" t="s">
        <v>6315</v>
      </c>
      <c r="AG2667" s="5" t="s">
        <v>3987</v>
      </c>
      <c r="AH2667" s="5" t="s">
        <v>6316</v>
      </c>
    </row>
    <row r="2668" spans="1:36" ht="10" customHeight="1" x14ac:dyDescent="0.2">
      <c r="A2668" s="5" t="s">
        <v>6258</v>
      </c>
      <c r="B2668" s="5" t="s">
        <v>45</v>
      </c>
      <c r="C2668" s="5" t="s">
        <v>6317</v>
      </c>
      <c r="D2668" s="5" t="s">
        <v>6318</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6" t="str">
        <f t="shared" si="123"/>
        <v>ADD</v>
      </c>
      <c r="AD2668" s="17">
        <f t="shared" si="124"/>
        <v>383062</v>
      </c>
      <c r="AE2668" s="17">
        <f t="shared" si="125"/>
        <v>330951</v>
      </c>
      <c r="AF2668" s="10" t="s">
        <v>6319</v>
      </c>
      <c r="AG2668" s="5" t="s">
        <v>4098</v>
      </c>
      <c r="AH2668" s="5" t="s">
        <v>6320</v>
      </c>
    </row>
    <row r="2669" spans="1:36" ht="10" customHeight="1" x14ac:dyDescent="0.2">
      <c r="A2669" s="5" t="s">
        <v>6258</v>
      </c>
      <c r="B2669" s="5" t="s">
        <v>45</v>
      </c>
      <c r="C2669" s="5" t="s">
        <v>60</v>
      </c>
      <c r="D2669" s="5" t="s">
        <v>6321</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6" t="str">
        <f t="shared" si="123"/>
        <v>ADD</v>
      </c>
      <c r="AD2669" s="17">
        <f t="shared" si="124"/>
        <v>52039</v>
      </c>
      <c r="AE2669" s="17">
        <f t="shared" si="125"/>
        <v>83297</v>
      </c>
      <c r="AF2669" s="10" t="s">
        <v>6322</v>
      </c>
      <c r="AG2669" s="5" t="s">
        <v>229</v>
      </c>
      <c r="AH2669" s="5" t="s">
        <v>6323</v>
      </c>
    </row>
    <row r="2670" spans="1:36" ht="10" customHeight="1" x14ac:dyDescent="0.2">
      <c r="A2670" s="5" t="s">
        <v>6258</v>
      </c>
      <c r="B2670" s="5" t="s">
        <v>45</v>
      </c>
      <c r="C2670" s="5" t="s">
        <v>6324</v>
      </c>
      <c r="D2670" s="5" t="s">
        <v>6325</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6" t="str">
        <f t="shared" si="123"/>
        <v>ADD</v>
      </c>
      <c r="AD2670" s="17">
        <f t="shared" si="124"/>
        <v>2551</v>
      </c>
      <c r="AE2670" s="17">
        <f t="shared" si="125"/>
        <v>15815</v>
      </c>
      <c r="AF2670" s="10" t="s">
        <v>6326</v>
      </c>
      <c r="AG2670" s="5" t="s">
        <v>243</v>
      </c>
      <c r="AH2670" s="5" t="s">
        <v>6327</v>
      </c>
    </row>
    <row r="2671" spans="1:36" ht="10" customHeight="1" x14ac:dyDescent="0.2">
      <c r="A2671" s="5" t="s">
        <v>6258</v>
      </c>
      <c r="B2671" s="5" t="s">
        <v>45</v>
      </c>
      <c r="C2671" s="5" t="s">
        <v>94</v>
      </c>
      <c r="D2671" s="5" t="s">
        <v>6328</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6" t="str">
        <f t="shared" si="123"/>
        <v>ADD</v>
      </c>
      <c r="AD2671" s="17">
        <f t="shared" si="124"/>
        <v>28169</v>
      </c>
      <c r="AE2671" s="17">
        <f t="shared" si="125"/>
        <v>26211</v>
      </c>
      <c r="AF2671" s="10" t="s">
        <v>6329</v>
      </c>
      <c r="AG2671" s="5" t="s">
        <v>252</v>
      </c>
      <c r="AH2671" s="5" t="s">
        <v>6330</v>
      </c>
    </row>
    <row r="2672" spans="1:36" ht="10" customHeight="1" x14ac:dyDescent="0.2">
      <c r="A2672" s="5" t="s">
        <v>6258</v>
      </c>
      <c r="B2672" s="5" t="s">
        <v>45</v>
      </c>
      <c r="C2672" s="5" t="s">
        <v>76</v>
      </c>
      <c r="D2672" s="5" t="s">
        <v>6331</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6" t="str">
        <f t="shared" si="123"/>
        <v>ADD</v>
      </c>
      <c r="AD2672" s="17">
        <f t="shared" si="124"/>
        <v>125542</v>
      </c>
      <c r="AE2672" s="17">
        <f t="shared" si="125"/>
        <v>213723</v>
      </c>
      <c r="AF2672" s="10" t="s">
        <v>6332</v>
      </c>
      <c r="AG2672" s="5" t="s">
        <v>6333</v>
      </c>
      <c r="AH2672" s="5" t="s">
        <v>6334</v>
      </c>
    </row>
    <row r="2673" spans="1:36" ht="10" customHeight="1" x14ac:dyDescent="0.2">
      <c r="A2673" s="5" t="s">
        <v>6258</v>
      </c>
      <c r="B2673" s="5" t="s">
        <v>45</v>
      </c>
      <c r="C2673" s="5" t="s">
        <v>6335</v>
      </c>
      <c r="D2673" s="5" t="s">
        <v>6336</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6" t="str">
        <f t="shared" si="123"/>
        <v>ADD</v>
      </c>
      <c r="AD2673" s="17">
        <f t="shared" si="124"/>
        <v>115267</v>
      </c>
      <c r="AE2673" s="17">
        <f t="shared" si="125"/>
        <v>58284</v>
      </c>
      <c r="AF2673" s="10" t="s">
        <v>6337</v>
      </c>
      <c r="AG2673" s="5" t="s">
        <v>6338</v>
      </c>
      <c r="AH2673" s="5" t="s">
        <v>6339</v>
      </c>
      <c r="AI2673" s="5" t="s">
        <v>6340</v>
      </c>
    </row>
    <row r="2674" spans="1:36" ht="10" customHeight="1" x14ac:dyDescent="0.2">
      <c r="A2674" s="5" t="s">
        <v>6258</v>
      </c>
      <c r="B2674" s="5" t="s">
        <v>45</v>
      </c>
      <c r="C2674" s="5" t="s">
        <v>6341</v>
      </c>
      <c r="D2674" s="5" t="s">
        <v>6342</v>
      </c>
      <c r="E2674" s="10" t="s">
        <v>57</v>
      </c>
      <c r="F2674" s="5" t="s">
        <v>6343</v>
      </c>
      <c r="I2674" s="11">
        <v>4</v>
      </c>
      <c r="K2674" s="10" t="s">
        <v>50</v>
      </c>
      <c r="L2674" s="5" t="s">
        <v>51</v>
      </c>
      <c r="M2674" s="5" t="s">
        <v>119</v>
      </c>
      <c r="N2674" s="5" t="s">
        <v>120</v>
      </c>
      <c r="O2674" s="12"/>
      <c r="S2674" s="13">
        <v>98145</v>
      </c>
      <c r="AC2674" s="16" t="str">
        <f t="shared" si="123"/>
        <v/>
      </c>
      <c r="AD2674" s="17">
        <f t="shared" si="124"/>
        <v>98145</v>
      </c>
      <c r="AE2674" s="17">
        <f t="shared" si="125"/>
        <v>0</v>
      </c>
      <c r="AF2674" s="10" t="s">
        <v>6344</v>
      </c>
      <c r="AG2674" s="5" t="s">
        <v>6338</v>
      </c>
      <c r="AH2674" s="5" t="s">
        <v>6339</v>
      </c>
      <c r="AJ2674" s="5" t="s">
        <v>6345</v>
      </c>
    </row>
    <row r="2675" spans="1:36" ht="10" customHeight="1" x14ac:dyDescent="0.2">
      <c r="A2675" s="5" t="s">
        <v>6258</v>
      </c>
      <c r="B2675" s="5" t="s">
        <v>45</v>
      </c>
      <c r="C2675" s="5" t="s">
        <v>6346</v>
      </c>
      <c r="D2675" s="5" t="s">
        <v>6347</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6" t="str">
        <f t="shared" si="123"/>
        <v>ADD</v>
      </c>
      <c r="AD2675" s="17">
        <f t="shared" si="124"/>
        <v>38039</v>
      </c>
      <c r="AE2675" s="17">
        <f t="shared" si="125"/>
        <v>72163</v>
      </c>
      <c r="AF2675" s="10" t="s">
        <v>6348</v>
      </c>
      <c r="AG2675" s="5" t="s">
        <v>6349</v>
      </c>
      <c r="AH2675" s="5" t="s">
        <v>6350</v>
      </c>
    </row>
    <row r="2676" spans="1:36" ht="10" customHeight="1" x14ac:dyDescent="0.2">
      <c r="A2676" s="5" t="s">
        <v>6258</v>
      </c>
      <c r="B2676" s="5" t="s">
        <v>45</v>
      </c>
      <c r="C2676" s="5" t="s">
        <v>209</v>
      </c>
      <c r="D2676" s="5" t="s">
        <v>6351</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6" t="str">
        <f t="shared" si="123"/>
        <v>ADD</v>
      </c>
      <c r="AD2676" s="17">
        <f t="shared" si="124"/>
        <v>5849</v>
      </c>
      <c r="AE2676" s="17">
        <f t="shared" si="125"/>
        <v>7440</v>
      </c>
      <c r="AF2676" s="10" t="s">
        <v>6352</v>
      </c>
      <c r="AG2676" s="5" t="s">
        <v>6353</v>
      </c>
      <c r="AH2676" s="5" t="s">
        <v>6354</v>
      </c>
      <c r="AI2676" s="5" t="s">
        <v>6355</v>
      </c>
    </row>
    <row r="2677" spans="1:36" ht="10" customHeight="1" x14ac:dyDescent="0.2">
      <c r="A2677" s="5" t="s">
        <v>6258</v>
      </c>
      <c r="B2677" s="5" t="s">
        <v>45</v>
      </c>
      <c r="C2677" s="5" t="s">
        <v>223</v>
      </c>
      <c r="D2677" s="5" t="s">
        <v>6356</v>
      </c>
      <c r="E2677" s="12"/>
      <c r="I2677" s="11">
        <v>4</v>
      </c>
      <c r="K2677" s="10" t="s">
        <v>50</v>
      </c>
      <c r="L2677" s="5" t="s">
        <v>51</v>
      </c>
      <c r="M2677" s="5" t="s">
        <v>119</v>
      </c>
      <c r="N2677" s="5" t="s">
        <v>4959</v>
      </c>
      <c r="O2677" s="12"/>
      <c r="P2677" s="13">
        <v>30000</v>
      </c>
      <c r="Q2677" s="13">
        <v>0</v>
      </c>
      <c r="S2677" s="13">
        <v>0</v>
      </c>
      <c r="T2677" s="13">
        <v>0</v>
      </c>
      <c r="U2677" s="13">
        <v>0</v>
      </c>
      <c r="AC2677" s="16" t="str">
        <f t="shared" si="123"/>
        <v>ADD</v>
      </c>
      <c r="AD2677" s="17">
        <f t="shared" si="124"/>
        <v>0</v>
      </c>
      <c r="AE2677" s="17">
        <f t="shared" si="125"/>
        <v>0</v>
      </c>
      <c r="AF2677" s="10" t="s">
        <v>6357</v>
      </c>
      <c r="AG2677" s="5" t="s">
        <v>6358</v>
      </c>
      <c r="AH2677" s="5" t="s">
        <v>6359</v>
      </c>
    </row>
    <row r="2678" spans="1:36" ht="10" customHeight="1" x14ac:dyDescent="0.2">
      <c r="A2678" s="5" t="s">
        <v>6258</v>
      </c>
      <c r="B2678" s="5" t="s">
        <v>45</v>
      </c>
      <c r="C2678" s="5" t="s">
        <v>5250</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6" t="str">
        <f t="shared" si="123"/>
        <v>ADD</v>
      </c>
      <c r="AD2678" s="17">
        <f t="shared" si="124"/>
        <v>20321</v>
      </c>
      <c r="AE2678" s="17">
        <f t="shared" si="125"/>
        <v>22515</v>
      </c>
      <c r="AF2678" s="10" t="s">
        <v>6360</v>
      </c>
      <c r="AG2678" s="5" t="s">
        <v>6361</v>
      </c>
      <c r="AH2678" s="5" t="s">
        <v>6362</v>
      </c>
      <c r="AI2678" s="5" t="s">
        <v>287</v>
      </c>
    </row>
    <row r="2679" spans="1:36" ht="10" customHeight="1" x14ac:dyDescent="0.2">
      <c r="A2679" s="5" t="s">
        <v>6258</v>
      </c>
      <c r="B2679" s="5" t="s">
        <v>45</v>
      </c>
      <c r="C2679" s="5" t="s">
        <v>5259</v>
      </c>
      <c r="D2679" s="5" t="s">
        <v>6363</v>
      </c>
      <c r="E2679" s="12"/>
      <c r="I2679" s="11">
        <v>4</v>
      </c>
      <c r="K2679" s="12"/>
      <c r="O2679" s="12"/>
      <c r="P2679" s="13">
        <v>19536</v>
      </c>
      <c r="Q2679" s="13">
        <v>16650</v>
      </c>
      <c r="S2679" s="13">
        <v>22355</v>
      </c>
      <c r="T2679" s="13">
        <v>0</v>
      </c>
      <c r="U2679" s="13">
        <v>22355</v>
      </c>
      <c r="X2679" s="13">
        <v>22355</v>
      </c>
      <c r="Y2679" s="13">
        <v>22355</v>
      </c>
      <c r="Z2679" s="13">
        <v>20575</v>
      </c>
      <c r="AB2679" s="13">
        <v>20575</v>
      </c>
      <c r="AC2679" s="16" t="str">
        <f t="shared" si="123"/>
        <v>ADD</v>
      </c>
      <c r="AD2679" s="17">
        <f t="shared" si="124"/>
        <v>22355</v>
      </c>
      <c r="AE2679" s="17">
        <f t="shared" si="125"/>
        <v>20575</v>
      </c>
      <c r="AF2679" s="10" t="s">
        <v>6364</v>
      </c>
      <c r="AG2679" s="5" t="s">
        <v>6365</v>
      </c>
      <c r="AH2679" s="5" t="s">
        <v>6366</v>
      </c>
      <c r="AI2679" s="5" t="s">
        <v>6367</v>
      </c>
    </row>
    <row r="2680" spans="1:36" ht="10" customHeight="1" x14ac:dyDescent="0.2">
      <c r="A2680" s="5" t="s">
        <v>6258</v>
      </c>
      <c r="B2680" s="5" t="s">
        <v>45</v>
      </c>
      <c r="C2680" s="5" t="s">
        <v>6368</v>
      </c>
      <c r="D2680" s="5" t="s">
        <v>6369</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6" t="str">
        <f t="shared" si="123"/>
        <v>ADD</v>
      </c>
      <c r="AD2680" s="17">
        <f t="shared" si="124"/>
        <v>20091</v>
      </c>
      <c r="AE2680" s="17">
        <f t="shared" si="125"/>
        <v>69425</v>
      </c>
      <c r="AF2680" s="10" t="s">
        <v>6370</v>
      </c>
      <c r="AG2680" s="5" t="s">
        <v>6371</v>
      </c>
      <c r="AH2680" s="5" t="s">
        <v>6372</v>
      </c>
    </row>
    <row r="2681" spans="1:36" ht="10" customHeight="1" x14ac:dyDescent="0.2">
      <c r="A2681" s="5" t="s">
        <v>6258</v>
      </c>
      <c r="B2681" s="5" t="s">
        <v>45</v>
      </c>
      <c r="C2681" s="5" t="s">
        <v>5340</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6" t="str">
        <f t="shared" si="123"/>
        <v>ADD</v>
      </c>
      <c r="AD2681" s="17">
        <f t="shared" si="124"/>
        <v>2607</v>
      </c>
      <c r="AE2681" s="17">
        <f t="shared" si="125"/>
        <v>2425</v>
      </c>
      <c r="AF2681" s="10" t="s">
        <v>6373</v>
      </c>
      <c r="AG2681" s="5" t="s">
        <v>6374</v>
      </c>
      <c r="AH2681" s="5" t="s">
        <v>6375</v>
      </c>
      <c r="AI2681" s="5" t="s">
        <v>6376</v>
      </c>
    </row>
    <row r="2682" spans="1:36" ht="10" customHeight="1" x14ac:dyDescent="0.2">
      <c r="A2682" s="5" t="s">
        <v>6258</v>
      </c>
      <c r="B2682" s="5" t="s">
        <v>45</v>
      </c>
      <c r="C2682" s="5" t="s">
        <v>6377</v>
      </c>
      <c r="D2682" s="5" t="s">
        <v>6378</v>
      </c>
      <c r="E2682" s="10" t="s">
        <v>48</v>
      </c>
      <c r="I2682" s="11" t="s">
        <v>6379</v>
      </c>
      <c r="K2682" s="12"/>
      <c r="O2682" s="12"/>
      <c r="P2682" s="13">
        <v>2839179</v>
      </c>
      <c r="Q2682" s="13">
        <v>2392190</v>
      </c>
      <c r="S2682" s="13">
        <v>2392620</v>
      </c>
      <c r="T2682" s="13">
        <v>0</v>
      </c>
      <c r="U2682" s="13">
        <v>2392620</v>
      </c>
      <c r="X2682" s="13">
        <v>2392620</v>
      </c>
      <c r="Y2682" s="13">
        <v>2392620</v>
      </c>
      <c r="Z2682" s="13">
        <v>2737140</v>
      </c>
      <c r="AB2682" s="13">
        <v>2737140</v>
      </c>
      <c r="AC2682" s="16" t="str">
        <f t="shared" si="123"/>
        <v>ADD</v>
      </c>
      <c r="AD2682" s="17">
        <f t="shared" si="124"/>
        <v>2392620</v>
      </c>
      <c r="AE2682" s="17">
        <f t="shared" si="125"/>
        <v>2737140</v>
      </c>
      <c r="AF2682" s="10" t="s">
        <v>6380</v>
      </c>
      <c r="AG2682" s="5" t="s">
        <v>6381</v>
      </c>
      <c r="AH2682" s="5" t="s">
        <v>6382</v>
      </c>
      <c r="AI2682" s="5" t="s">
        <v>6383</v>
      </c>
    </row>
    <row r="2683" spans="1:36" ht="10" customHeight="1" x14ac:dyDescent="0.2">
      <c r="A2683" s="5" t="s">
        <v>6258</v>
      </c>
      <c r="B2683" s="5" t="s">
        <v>45</v>
      </c>
      <c r="C2683" s="5" t="s">
        <v>6384</v>
      </c>
      <c r="D2683" s="5" t="s">
        <v>6385</v>
      </c>
      <c r="E2683" s="10" t="s">
        <v>57</v>
      </c>
      <c r="F2683" s="5" t="s">
        <v>6386</v>
      </c>
      <c r="I2683" s="11" t="s">
        <v>6379</v>
      </c>
      <c r="K2683" s="12"/>
      <c r="O2683" s="12"/>
      <c r="P2683" s="13">
        <v>1208571</v>
      </c>
      <c r="Q2683" s="13">
        <v>1168393</v>
      </c>
      <c r="S2683" s="13">
        <v>1306538</v>
      </c>
      <c r="AC2683" s="16" t="str">
        <f t="shared" si="123"/>
        <v/>
      </c>
      <c r="AD2683" s="17">
        <f t="shared" si="124"/>
        <v>1306538</v>
      </c>
      <c r="AE2683" s="17">
        <f t="shared" si="125"/>
        <v>0</v>
      </c>
      <c r="AF2683" s="10" t="s">
        <v>6387</v>
      </c>
      <c r="AG2683" s="5" t="s">
        <v>6381</v>
      </c>
      <c r="AH2683" s="5" t="s">
        <v>6382</v>
      </c>
      <c r="AI2683" s="5" t="s">
        <v>6383</v>
      </c>
    </row>
    <row r="2684" spans="1:36" ht="10" customHeight="1" x14ac:dyDescent="0.2">
      <c r="A2684" s="5" t="s">
        <v>6258</v>
      </c>
      <c r="B2684" s="5" t="s">
        <v>45</v>
      </c>
      <c r="C2684" s="5" t="s">
        <v>6388</v>
      </c>
      <c r="D2684" s="5" t="s">
        <v>6389</v>
      </c>
      <c r="E2684" s="10" t="s">
        <v>57</v>
      </c>
      <c r="F2684" s="5" t="s">
        <v>6386</v>
      </c>
      <c r="I2684" s="11" t="s">
        <v>6379</v>
      </c>
      <c r="K2684" s="12"/>
      <c r="O2684" s="12"/>
      <c r="P2684" s="13">
        <v>1630608</v>
      </c>
      <c r="Q2684" s="13">
        <v>1223797</v>
      </c>
      <c r="S2684" s="13">
        <v>1086082</v>
      </c>
      <c r="AC2684" s="16" t="str">
        <f t="shared" si="123"/>
        <v/>
      </c>
      <c r="AD2684" s="17">
        <f t="shared" si="124"/>
        <v>1086082</v>
      </c>
      <c r="AE2684" s="17">
        <f t="shared" si="125"/>
        <v>0</v>
      </c>
      <c r="AF2684" s="10" t="s">
        <v>6390</v>
      </c>
      <c r="AG2684" s="5" t="s">
        <v>6381</v>
      </c>
      <c r="AH2684" s="5" t="s">
        <v>6382</v>
      </c>
      <c r="AI2684" s="5" t="s">
        <v>6383</v>
      </c>
    </row>
    <row r="2685" spans="1:36" ht="10" customHeight="1" x14ac:dyDescent="0.2">
      <c r="A2685" s="5" t="s">
        <v>6258</v>
      </c>
      <c r="B2685" s="5" t="s">
        <v>45</v>
      </c>
      <c r="C2685" s="5" t="s">
        <v>6391</v>
      </c>
      <c r="D2685" s="5" t="s">
        <v>6392</v>
      </c>
      <c r="E2685" s="12"/>
      <c r="I2685" s="11">
        <v>6</v>
      </c>
      <c r="K2685" s="12"/>
      <c r="O2685" s="12"/>
      <c r="P2685" s="13">
        <v>2016</v>
      </c>
      <c r="Q2685" s="13">
        <v>0</v>
      </c>
      <c r="S2685" s="13">
        <v>0</v>
      </c>
      <c r="T2685" s="13">
        <v>0</v>
      </c>
      <c r="U2685" s="13">
        <v>0</v>
      </c>
      <c r="AC2685" s="16" t="str">
        <f t="shared" si="123"/>
        <v>ADD</v>
      </c>
      <c r="AD2685" s="17">
        <f t="shared" si="124"/>
        <v>0</v>
      </c>
      <c r="AE2685" s="17">
        <f t="shared" si="125"/>
        <v>0</v>
      </c>
      <c r="AF2685" s="10" t="s">
        <v>6393</v>
      </c>
      <c r="AG2685" s="5" t="s">
        <v>6394</v>
      </c>
      <c r="AH2685" s="5" t="s">
        <v>6395</v>
      </c>
      <c r="AI2685" s="5" t="s">
        <v>6392</v>
      </c>
    </row>
    <row r="2686" spans="1:36" ht="10" customHeight="1" x14ac:dyDescent="0.2">
      <c r="A2686" s="5" t="s">
        <v>6258</v>
      </c>
      <c r="B2686" s="5" t="s">
        <v>45</v>
      </c>
      <c r="C2686" s="5" t="s">
        <v>6396</v>
      </c>
      <c r="D2686" s="5" t="s">
        <v>6397</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6" t="str">
        <f t="shared" si="123"/>
        <v>ADD</v>
      </c>
      <c r="AD2686" s="17">
        <f t="shared" si="124"/>
        <v>474806</v>
      </c>
      <c r="AE2686" s="17">
        <f t="shared" si="125"/>
        <v>519821</v>
      </c>
      <c r="AF2686" s="10" t="s">
        <v>6398</v>
      </c>
      <c r="AG2686" s="5" t="s">
        <v>6399</v>
      </c>
      <c r="AH2686" s="5" t="s">
        <v>6400</v>
      </c>
      <c r="AI2686" s="5" t="s">
        <v>6397</v>
      </c>
    </row>
    <row r="2687" spans="1:36" ht="10" customHeight="1" x14ac:dyDescent="0.2">
      <c r="A2687" s="5" t="s">
        <v>6258</v>
      </c>
      <c r="B2687" s="5" t="s">
        <v>45</v>
      </c>
      <c r="C2687" s="5" t="s">
        <v>6401</v>
      </c>
      <c r="D2687" s="5" t="s">
        <v>6402</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6" t="str">
        <f t="shared" si="123"/>
        <v>ADD</v>
      </c>
      <c r="AD2687" s="17">
        <f t="shared" si="124"/>
        <v>7842</v>
      </c>
      <c r="AE2687" s="17">
        <f t="shared" si="125"/>
        <v>33013</v>
      </c>
      <c r="AF2687" s="10" t="s">
        <v>6403</v>
      </c>
      <c r="AG2687" s="5" t="s">
        <v>6404</v>
      </c>
      <c r="AH2687" s="5" t="s">
        <v>6405</v>
      </c>
    </row>
    <row r="2688" spans="1:36" ht="10" customHeight="1" x14ac:dyDescent="0.2">
      <c r="A2688" s="5" t="s">
        <v>6258</v>
      </c>
      <c r="B2688" s="5" t="s">
        <v>45</v>
      </c>
      <c r="C2688" s="5" t="s">
        <v>5170</v>
      </c>
      <c r="D2688" s="5" t="s">
        <v>6406</v>
      </c>
      <c r="E2688" s="12"/>
      <c r="I2688" s="11">
        <v>1</v>
      </c>
      <c r="J2688" s="5" t="s">
        <v>6407</v>
      </c>
      <c r="K2688" s="10" t="s">
        <v>50</v>
      </c>
      <c r="L2688" s="5" t="s">
        <v>4675</v>
      </c>
      <c r="M2688" s="5" t="s">
        <v>5416</v>
      </c>
      <c r="N2688" s="5" t="s">
        <v>5417</v>
      </c>
      <c r="O2688" s="12"/>
      <c r="P2688" s="13">
        <v>0</v>
      </c>
      <c r="Q2688" s="13">
        <v>0</v>
      </c>
      <c r="S2688" s="13">
        <v>0</v>
      </c>
      <c r="T2688" s="13">
        <v>1094000</v>
      </c>
      <c r="U2688" s="13">
        <v>1094000</v>
      </c>
      <c r="W2688" s="13">
        <v>1325714</v>
      </c>
      <c r="X2688" s="13">
        <v>0</v>
      </c>
      <c r="Y2688" s="13">
        <v>1325714</v>
      </c>
      <c r="Z2688" s="13">
        <v>121130</v>
      </c>
      <c r="AA2688" s="13">
        <v>50000</v>
      </c>
      <c r="AB2688" s="13">
        <v>171130</v>
      </c>
      <c r="AC2688" s="16" t="str">
        <f t="shared" si="123"/>
        <v>ADD</v>
      </c>
      <c r="AD2688" s="17">
        <f t="shared" si="124"/>
        <v>1325714</v>
      </c>
      <c r="AE2688" s="17">
        <f t="shared" si="125"/>
        <v>171130</v>
      </c>
      <c r="AF2688" s="10" t="s">
        <v>6408</v>
      </c>
    </row>
    <row r="2689" spans="1:36" ht="10" customHeight="1" x14ac:dyDescent="0.2">
      <c r="A2689" s="5" t="s">
        <v>6258</v>
      </c>
      <c r="B2689" s="5" t="s">
        <v>45</v>
      </c>
      <c r="C2689" s="5" t="s">
        <v>55</v>
      </c>
      <c r="D2689" s="5" t="s">
        <v>6409</v>
      </c>
      <c r="E2689" s="10" t="s">
        <v>48</v>
      </c>
      <c r="I2689" s="11">
        <v>1</v>
      </c>
      <c r="J2689" s="5" t="s">
        <v>6407</v>
      </c>
      <c r="K2689" s="12"/>
      <c r="O2689" s="12"/>
      <c r="P2689" s="13">
        <v>223529</v>
      </c>
      <c r="Q2689" s="13">
        <v>422832</v>
      </c>
      <c r="S2689" s="13">
        <v>51546</v>
      </c>
      <c r="T2689" s="13">
        <v>814969</v>
      </c>
      <c r="U2689" s="13">
        <v>866515</v>
      </c>
      <c r="W2689" s="13">
        <v>0</v>
      </c>
      <c r="X2689" s="13">
        <v>82086</v>
      </c>
      <c r="Y2689" s="13">
        <v>82086</v>
      </c>
      <c r="Z2689" s="13">
        <v>97746</v>
      </c>
      <c r="AB2689" s="13">
        <v>97746</v>
      </c>
      <c r="AC2689" s="16" t="str">
        <f t="shared" si="123"/>
        <v>ADD</v>
      </c>
      <c r="AD2689" s="17">
        <f t="shared" si="124"/>
        <v>82086</v>
      </c>
      <c r="AE2689" s="17">
        <f t="shared" si="125"/>
        <v>97746</v>
      </c>
      <c r="AF2689" s="10" t="s">
        <v>6410</v>
      </c>
      <c r="AG2689" s="5" t="s">
        <v>6411</v>
      </c>
      <c r="AH2689" s="5" t="s">
        <v>6412</v>
      </c>
    </row>
    <row r="2690" spans="1:36" ht="10" customHeight="1" x14ac:dyDescent="0.2">
      <c r="A2690" s="5" t="s">
        <v>6258</v>
      </c>
      <c r="B2690" s="5" t="s">
        <v>45</v>
      </c>
      <c r="C2690" s="5" t="s">
        <v>6413</v>
      </c>
      <c r="D2690" s="5" t="s">
        <v>6414</v>
      </c>
      <c r="E2690" s="10" t="s">
        <v>57</v>
      </c>
      <c r="F2690" s="5" t="s">
        <v>6415</v>
      </c>
      <c r="I2690" s="11">
        <v>1</v>
      </c>
      <c r="J2690" s="5" t="s">
        <v>6407</v>
      </c>
      <c r="K2690" s="12"/>
      <c r="O2690" s="12"/>
      <c r="P2690" s="13">
        <v>12032</v>
      </c>
      <c r="Q2690" s="13">
        <v>13618</v>
      </c>
      <c r="S2690" s="13">
        <v>14006</v>
      </c>
      <c r="AC2690" s="16" t="str">
        <f t="shared" si="123"/>
        <v/>
      </c>
      <c r="AD2690" s="17">
        <f t="shared" si="124"/>
        <v>14006</v>
      </c>
      <c r="AE2690" s="17">
        <f t="shared" si="125"/>
        <v>0</v>
      </c>
      <c r="AF2690" s="10" t="s">
        <v>6416</v>
      </c>
      <c r="AG2690" s="5" t="s">
        <v>6411</v>
      </c>
      <c r="AH2690" s="5" t="s">
        <v>6412</v>
      </c>
      <c r="AI2690" s="5" t="s">
        <v>6417</v>
      </c>
    </row>
    <row r="2691" spans="1:36" ht="10" customHeight="1" x14ac:dyDescent="0.2">
      <c r="A2691" s="5" t="s">
        <v>6258</v>
      </c>
      <c r="B2691" s="5" t="s">
        <v>45</v>
      </c>
      <c r="C2691" s="5" t="s">
        <v>6418</v>
      </c>
      <c r="D2691" s="5" t="s">
        <v>6419</v>
      </c>
      <c r="E2691" s="10" t="s">
        <v>57</v>
      </c>
      <c r="F2691" s="5" t="s">
        <v>6415</v>
      </c>
      <c r="I2691" s="11">
        <v>1</v>
      </c>
      <c r="J2691" s="5" t="s">
        <v>6407</v>
      </c>
      <c r="K2691" s="10" t="s">
        <v>50</v>
      </c>
      <c r="L2691" s="5" t="s">
        <v>239</v>
      </c>
      <c r="M2691" s="5" t="s">
        <v>6420</v>
      </c>
      <c r="O2691" s="12"/>
      <c r="P2691" s="13">
        <v>10078</v>
      </c>
      <c r="Q2691" s="13">
        <v>17407</v>
      </c>
      <c r="S2691" s="13">
        <v>7277</v>
      </c>
      <c r="AC2691" s="16" t="str">
        <f t="shared" si="123"/>
        <v/>
      </c>
      <c r="AD2691" s="17">
        <f t="shared" si="124"/>
        <v>7277</v>
      </c>
      <c r="AE2691" s="17">
        <f t="shared" si="125"/>
        <v>0</v>
      </c>
      <c r="AF2691" s="10" t="s">
        <v>6421</v>
      </c>
      <c r="AG2691" s="5" t="s">
        <v>6411</v>
      </c>
      <c r="AH2691" s="5" t="s">
        <v>6412</v>
      </c>
      <c r="AI2691" s="5" t="s">
        <v>6422</v>
      </c>
    </row>
    <row r="2692" spans="1:36" ht="10" customHeight="1" x14ac:dyDescent="0.2">
      <c r="A2692" s="5" t="s">
        <v>6258</v>
      </c>
      <c r="B2692" s="5" t="s">
        <v>45</v>
      </c>
      <c r="C2692" s="5" t="s">
        <v>6423</v>
      </c>
      <c r="D2692" s="5" t="s">
        <v>6424</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6" t="str">
        <f t="shared" si="123"/>
        <v>ADD</v>
      </c>
      <c r="AD2692" s="17">
        <f t="shared" si="124"/>
        <v>394998</v>
      </c>
      <c r="AE2692" s="17">
        <f t="shared" si="125"/>
        <v>492100</v>
      </c>
      <c r="AF2692" s="10" t="s">
        <v>6425</v>
      </c>
      <c r="AG2692" s="5" t="s">
        <v>6426</v>
      </c>
      <c r="AH2692" s="5" t="s">
        <v>6427</v>
      </c>
    </row>
    <row r="2693" spans="1:36" ht="10" customHeight="1" x14ac:dyDescent="0.2">
      <c r="A2693" s="5" t="s">
        <v>6258</v>
      </c>
      <c r="B2693" s="5" t="s">
        <v>45</v>
      </c>
      <c r="C2693" s="5" t="s">
        <v>4784</v>
      </c>
      <c r="D2693" s="5" t="s">
        <v>6428</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6" t="str">
        <f t="shared" si="123"/>
        <v>ADD</v>
      </c>
      <c r="AD2693" s="17">
        <f t="shared" si="124"/>
        <v>38880</v>
      </c>
      <c r="AE2693" s="17">
        <f t="shared" si="125"/>
        <v>30565</v>
      </c>
      <c r="AF2693" s="10" t="s">
        <v>6429</v>
      </c>
      <c r="AG2693" s="5" t="s">
        <v>6430</v>
      </c>
      <c r="AH2693" s="5" t="s">
        <v>6431</v>
      </c>
    </row>
    <row r="2694" spans="1:36" ht="10" customHeight="1" x14ac:dyDescent="0.2">
      <c r="A2694" s="5" t="s">
        <v>6258</v>
      </c>
      <c r="B2694" s="5" t="s">
        <v>45</v>
      </c>
      <c r="C2694" s="5" t="s">
        <v>6432</v>
      </c>
      <c r="D2694" s="5" t="s">
        <v>6433</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6"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6434</v>
      </c>
      <c r="AG2694" s="5" t="s">
        <v>6435</v>
      </c>
      <c r="AH2694" s="5" t="s">
        <v>6436</v>
      </c>
      <c r="AI2694" s="5" t="s">
        <v>6437</v>
      </c>
    </row>
    <row r="2695" spans="1:36" ht="10" customHeight="1" x14ac:dyDescent="0.2">
      <c r="A2695" s="5" t="s">
        <v>6258</v>
      </c>
      <c r="B2695" s="5" t="s">
        <v>45</v>
      </c>
      <c r="C2695" s="5" t="s">
        <v>6438</v>
      </c>
      <c r="D2695" s="5" t="s">
        <v>6439</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6" t="str">
        <f t="shared" si="126"/>
        <v>ADD</v>
      </c>
      <c r="AD2695" s="17">
        <f t="shared" si="127"/>
        <v>3790</v>
      </c>
      <c r="AE2695" s="17">
        <f t="shared" si="128"/>
        <v>1719</v>
      </c>
      <c r="AF2695" s="10" t="s">
        <v>6440</v>
      </c>
      <c r="AG2695" s="5" t="s">
        <v>6441</v>
      </c>
      <c r="AH2695" s="5" t="s">
        <v>6442</v>
      </c>
    </row>
    <row r="2696" spans="1:36" ht="10" customHeight="1" x14ac:dyDescent="0.2">
      <c r="A2696" s="5" t="s">
        <v>6258</v>
      </c>
      <c r="B2696" s="5" t="s">
        <v>45</v>
      </c>
      <c r="C2696" s="5" t="s">
        <v>6443</v>
      </c>
      <c r="D2696" s="5" t="s">
        <v>6444</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6" t="str">
        <f t="shared" si="126"/>
        <v>ADD</v>
      </c>
      <c r="AD2696" s="17">
        <f t="shared" si="127"/>
        <v>189458</v>
      </c>
      <c r="AE2696" s="17">
        <f t="shared" si="128"/>
        <v>315272</v>
      </c>
      <c r="AF2696" s="10" t="s">
        <v>6445</v>
      </c>
      <c r="AG2696" s="5" t="s">
        <v>6446</v>
      </c>
      <c r="AH2696" s="5" t="s">
        <v>6447</v>
      </c>
      <c r="AI2696" s="5" t="s">
        <v>6448</v>
      </c>
    </row>
    <row r="2697" spans="1:36" ht="10" customHeight="1" x14ac:dyDescent="0.2">
      <c r="A2697" s="5" t="s">
        <v>6258</v>
      </c>
      <c r="B2697" s="5" t="s">
        <v>45</v>
      </c>
      <c r="C2697" s="5" t="s">
        <v>379</v>
      </c>
      <c r="D2697" s="5" t="s">
        <v>6449</v>
      </c>
      <c r="E2697" s="12"/>
      <c r="I2697" s="11">
        <v>1</v>
      </c>
      <c r="J2697" s="5" t="s">
        <v>6407</v>
      </c>
      <c r="K2697" s="10" t="s">
        <v>50</v>
      </c>
      <c r="L2697" s="5" t="s">
        <v>4675</v>
      </c>
      <c r="M2697" s="5" t="s">
        <v>4676</v>
      </c>
      <c r="N2697" s="5" t="s">
        <v>6450</v>
      </c>
      <c r="O2697" s="12"/>
      <c r="P2697" s="13">
        <v>56815</v>
      </c>
      <c r="Q2697" s="13">
        <v>48780</v>
      </c>
      <c r="S2697" s="13">
        <v>54854</v>
      </c>
      <c r="T2697" s="13">
        <v>66421</v>
      </c>
      <c r="U2697" s="13">
        <v>121275</v>
      </c>
      <c r="W2697" s="13">
        <v>198921</v>
      </c>
      <c r="X2697" s="13">
        <v>7000</v>
      </c>
      <c r="Y2697" s="13">
        <v>205921</v>
      </c>
      <c r="Z2697" s="13">
        <v>110955</v>
      </c>
      <c r="AB2697" s="13">
        <v>110955</v>
      </c>
      <c r="AC2697" s="16" t="str">
        <f t="shared" si="126"/>
        <v>ADD</v>
      </c>
      <c r="AD2697" s="17">
        <f t="shared" si="127"/>
        <v>205921</v>
      </c>
      <c r="AE2697" s="17">
        <f t="shared" si="128"/>
        <v>110955</v>
      </c>
      <c r="AF2697" s="10" t="s">
        <v>6451</v>
      </c>
      <c r="AG2697" s="5" t="s">
        <v>6452</v>
      </c>
      <c r="AH2697" s="5" t="s">
        <v>6453</v>
      </c>
      <c r="AI2697" s="5" t="s">
        <v>6449</v>
      </c>
    </row>
    <row r="2698" spans="1:36" ht="10" customHeight="1" x14ac:dyDescent="0.2">
      <c r="A2698" s="5" t="s">
        <v>6258</v>
      </c>
      <c r="B2698" s="5" t="s">
        <v>45</v>
      </c>
      <c r="C2698" s="5" t="s">
        <v>425</v>
      </c>
      <c r="D2698" s="5" t="s">
        <v>6454</v>
      </c>
      <c r="E2698" s="12"/>
      <c r="I2698" s="11">
        <v>1</v>
      </c>
      <c r="J2698" s="5" t="s">
        <v>6407</v>
      </c>
      <c r="K2698" s="10" t="s">
        <v>50</v>
      </c>
      <c r="L2698" s="5" t="s">
        <v>4675</v>
      </c>
      <c r="M2698" s="5" t="s">
        <v>4676</v>
      </c>
      <c r="N2698" s="5" t="s">
        <v>6450</v>
      </c>
      <c r="O2698" s="12"/>
      <c r="P2698" s="13">
        <v>0</v>
      </c>
      <c r="Q2698" s="13">
        <v>0</v>
      </c>
      <c r="S2698" s="13">
        <v>0</v>
      </c>
      <c r="T2698" s="13">
        <v>3313</v>
      </c>
      <c r="U2698" s="13">
        <v>3313</v>
      </c>
      <c r="W2698" s="13">
        <v>3313</v>
      </c>
      <c r="X2698" s="13">
        <v>0</v>
      </c>
      <c r="Y2698" s="13">
        <v>3313</v>
      </c>
      <c r="Z2698" s="13">
        <v>135802</v>
      </c>
      <c r="AB2698" s="13">
        <v>135802</v>
      </c>
      <c r="AC2698" s="16" t="str">
        <f t="shared" si="126"/>
        <v>ADD</v>
      </c>
      <c r="AD2698" s="17">
        <f t="shared" si="127"/>
        <v>3313</v>
      </c>
      <c r="AE2698" s="17">
        <f t="shared" si="128"/>
        <v>135802</v>
      </c>
      <c r="AF2698" s="10" t="s">
        <v>6455</v>
      </c>
    </row>
    <row r="2699" spans="1:36" ht="10" customHeight="1" x14ac:dyDescent="0.2">
      <c r="A2699" s="5" t="s">
        <v>6258</v>
      </c>
      <c r="B2699" s="5" t="s">
        <v>45</v>
      </c>
      <c r="C2699" s="5" t="s">
        <v>444</v>
      </c>
      <c r="D2699" s="5" t="s">
        <v>6456</v>
      </c>
      <c r="E2699" s="12"/>
      <c r="I2699" s="11">
        <v>4</v>
      </c>
      <c r="K2699" s="10" t="s">
        <v>50</v>
      </c>
      <c r="L2699" s="5" t="s">
        <v>51</v>
      </c>
      <c r="M2699" s="5" t="s">
        <v>149</v>
      </c>
      <c r="N2699" s="5" t="s">
        <v>4903</v>
      </c>
      <c r="O2699" s="12"/>
      <c r="P2699" s="13">
        <v>3989</v>
      </c>
      <c r="Q2699" s="13">
        <v>56667</v>
      </c>
      <c r="S2699" s="13">
        <v>4079</v>
      </c>
      <c r="T2699" s="13">
        <v>0</v>
      </c>
      <c r="U2699" s="13">
        <v>4079</v>
      </c>
      <c r="X2699" s="13">
        <v>4079</v>
      </c>
      <c r="Y2699" s="13">
        <v>4079</v>
      </c>
      <c r="Z2699" s="13">
        <v>240</v>
      </c>
      <c r="AB2699" s="13">
        <v>240</v>
      </c>
      <c r="AC2699" s="16" t="str">
        <f t="shared" si="126"/>
        <v>ADD</v>
      </c>
      <c r="AD2699" s="17">
        <f t="shared" si="127"/>
        <v>4079</v>
      </c>
      <c r="AE2699" s="17">
        <f t="shared" si="128"/>
        <v>240</v>
      </c>
      <c r="AF2699" s="10" t="s">
        <v>6457</v>
      </c>
      <c r="AG2699" s="5" t="s">
        <v>6458</v>
      </c>
      <c r="AH2699" s="5" t="s">
        <v>6459</v>
      </c>
      <c r="AI2699" s="5" t="s">
        <v>6460</v>
      </c>
    </row>
    <row r="2700" spans="1:36" ht="10" customHeight="1" x14ac:dyDescent="0.2">
      <c r="A2700" s="5" t="s">
        <v>6461</v>
      </c>
      <c r="B2700" s="5" t="s">
        <v>45</v>
      </c>
      <c r="D2700" s="5" t="s">
        <v>6462</v>
      </c>
      <c r="E2700" s="10" t="s">
        <v>349</v>
      </c>
      <c r="K2700" s="12"/>
      <c r="O2700" s="12"/>
      <c r="P2700" s="13">
        <v>4152244</v>
      </c>
      <c r="Q2700" s="13">
        <v>3927280</v>
      </c>
      <c r="S2700" s="13">
        <v>4508845</v>
      </c>
      <c r="T2700" s="13">
        <v>11000</v>
      </c>
      <c r="U2700" s="13">
        <v>4519845</v>
      </c>
      <c r="AC2700" s="16" t="str">
        <f t="shared" si="126"/>
        <v>ALT</v>
      </c>
      <c r="AD2700" s="17">
        <f t="shared" si="127"/>
        <v>4519845</v>
      </c>
      <c r="AE2700" s="17">
        <f t="shared" si="128"/>
        <v>0</v>
      </c>
      <c r="AF2700" s="10" t="s">
        <v>6463</v>
      </c>
      <c r="AG2700" s="5" t="s">
        <v>6324</v>
      </c>
    </row>
    <row r="2701" spans="1:36" ht="10" customHeight="1" x14ac:dyDescent="0.2">
      <c r="A2701" s="5" t="s">
        <v>6461</v>
      </c>
      <c r="B2701" s="5" t="s">
        <v>45</v>
      </c>
      <c r="C2701" s="5" t="s">
        <v>6464</v>
      </c>
      <c r="D2701" s="5" t="s">
        <v>2909</v>
      </c>
      <c r="E2701" s="10" t="s">
        <v>349</v>
      </c>
      <c r="F2701" s="5" t="s">
        <v>6465</v>
      </c>
      <c r="I2701" s="11">
        <v>4</v>
      </c>
      <c r="K2701" s="12"/>
      <c r="O2701" s="12"/>
      <c r="P2701" s="13">
        <v>7262</v>
      </c>
      <c r="Q2701" s="13">
        <v>7402</v>
      </c>
      <c r="S2701" s="13">
        <v>0</v>
      </c>
      <c r="T2701" s="13">
        <v>0</v>
      </c>
      <c r="U2701" s="13">
        <v>0</v>
      </c>
      <c r="AC2701" s="16" t="str">
        <f t="shared" si="126"/>
        <v>ALT</v>
      </c>
      <c r="AD2701" s="17">
        <f t="shared" si="127"/>
        <v>0</v>
      </c>
      <c r="AE2701" s="17">
        <f t="shared" si="128"/>
        <v>0</v>
      </c>
      <c r="AF2701" s="10" t="s">
        <v>6466</v>
      </c>
      <c r="AG2701" s="5" t="s">
        <v>767</v>
      </c>
      <c r="AH2701" s="5" t="s">
        <v>6464</v>
      </c>
      <c r="AI2701" s="5" t="s">
        <v>6467</v>
      </c>
    </row>
    <row r="2702" spans="1:36" ht="10" customHeight="1" x14ac:dyDescent="0.2">
      <c r="A2702" s="5" t="s">
        <v>6461</v>
      </c>
      <c r="B2702" s="5" t="s">
        <v>45</v>
      </c>
      <c r="D2702" s="5" t="s">
        <v>6468</v>
      </c>
      <c r="E2702" s="10" t="s">
        <v>57</v>
      </c>
      <c r="F2702" s="5" t="s">
        <v>6469</v>
      </c>
      <c r="I2702" s="11">
        <v>4</v>
      </c>
      <c r="K2702" s="12"/>
      <c r="O2702" s="12"/>
      <c r="S2702" s="13">
        <v>0</v>
      </c>
      <c r="T2702" s="13">
        <v>0</v>
      </c>
      <c r="U2702" s="13">
        <v>0</v>
      </c>
      <c r="AC2702" s="16" t="str">
        <f t="shared" si="126"/>
        <v/>
      </c>
      <c r="AD2702" s="17">
        <f t="shared" si="127"/>
        <v>0</v>
      </c>
      <c r="AE2702" s="17">
        <f t="shared" si="128"/>
        <v>0</v>
      </c>
      <c r="AF2702" s="10" t="s">
        <v>6470</v>
      </c>
      <c r="AG2702" s="5" t="s">
        <v>834</v>
      </c>
      <c r="AH2702" s="5" t="s">
        <v>6464</v>
      </c>
      <c r="AI2702" s="5" t="s">
        <v>6467</v>
      </c>
      <c r="AJ2702" s="5" t="s">
        <v>6471</v>
      </c>
    </row>
    <row r="2703" spans="1:36" ht="10" customHeight="1" x14ac:dyDescent="0.2">
      <c r="A2703" s="5" t="s">
        <v>6461</v>
      </c>
      <c r="B2703" s="5" t="s">
        <v>45</v>
      </c>
      <c r="C2703" s="5" t="s">
        <v>6472</v>
      </c>
      <c r="D2703" s="5" t="s">
        <v>6473</v>
      </c>
      <c r="E2703" s="10" t="s">
        <v>48</v>
      </c>
      <c r="I2703" s="11">
        <v>4</v>
      </c>
      <c r="K2703" s="12"/>
      <c r="O2703" s="12"/>
      <c r="P2703" s="13">
        <v>133803</v>
      </c>
      <c r="Q2703" s="13">
        <v>134637</v>
      </c>
      <c r="S2703" s="13">
        <v>144425</v>
      </c>
      <c r="T2703" s="13">
        <v>0</v>
      </c>
      <c r="U2703" s="13">
        <v>144425</v>
      </c>
      <c r="Z2703" s="13">
        <v>142355</v>
      </c>
      <c r="AB2703" s="13">
        <v>142355</v>
      </c>
      <c r="AC2703" s="16" t="str">
        <f t="shared" si="126"/>
        <v>ADD</v>
      </c>
      <c r="AD2703" s="17">
        <f t="shared" si="127"/>
        <v>144425</v>
      </c>
      <c r="AE2703" s="17">
        <f t="shared" si="128"/>
        <v>142355</v>
      </c>
      <c r="AF2703" s="10" t="s">
        <v>6474</v>
      </c>
      <c r="AG2703" s="5" t="s">
        <v>6475</v>
      </c>
      <c r="AH2703" s="5" t="s">
        <v>6472</v>
      </c>
    </row>
    <row r="2704" spans="1:36" ht="10" customHeight="1" x14ac:dyDescent="0.2">
      <c r="A2704" s="5" t="s">
        <v>6461</v>
      </c>
      <c r="B2704" s="5" t="s">
        <v>45</v>
      </c>
      <c r="D2704" s="5" t="s">
        <v>6476</v>
      </c>
      <c r="E2704" s="10" t="s">
        <v>57</v>
      </c>
      <c r="F2704" s="5" t="s">
        <v>6477</v>
      </c>
      <c r="I2704" s="11">
        <v>4</v>
      </c>
      <c r="K2704" s="10" t="s">
        <v>50</v>
      </c>
      <c r="L2704" s="5" t="s">
        <v>51</v>
      </c>
      <c r="M2704" s="5" t="s">
        <v>119</v>
      </c>
      <c r="O2704" s="12"/>
      <c r="P2704" s="13">
        <v>26111</v>
      </c>
      <c r="Q2704" s="13">
        <v>33862</v>
      </c>
      <c r="S2704" s="13">
        <v>51809</v>
      </c>
      <c r="AC2704" s="16" t="str">
        <f t="shared" si="126"/>
        <v/>
      </c>
      <c r="AD2704" s="17">
        <f t="shared" si="127"/>
        <v>51809</v>
      </c>
      <c r="AE2704" s="17">
        <f t="shared" si="128"/>
        <v>0</v>
      </c>
      <c r="AF2704" s="10" t="s">
        <v>6478</v>
      </c>
      <c r="AG2704" s="5" t="s">
        <v>946</v>
      </c>
      <c r="AH2704" s="5" t="s">
        <v>6472</v>
      </c>
    </row>
    <row r="2705" spans="1:36" ht="10" customHeight="1" x14ac:dyDescent="0.2">
      <c r="A2705" s="5" t="s">
        <v>6461</v>
      </c>
      <c r="B2705" s="5" t="s">
        <v>45</v>
      </c>
      <c r="D2705" s="5" t="s">
        <v>6479</v>
      </c>
      <c r="E2705" s="10" t="s">
        <v>57</v>
      </c>
      <c r="F2705" s="5" t="s">
        <v>6477</v>
      </c>
      <c r="I2705" s="11">
        <v>4</v>
      </c>
      <c r="K2705" s="10" t="s">
        <v>50</v>
      </c>
      <c r="L2705" s="5" t="s">
        <v>51</v>
      </c>
      <c r="M2705" s="5" t="s">
        <v>119</v>
      </c>
      <c r="N2705" s="5" t="s">
        <v>120</v>
      </c>
      <c r="O2705" s="12"/>
      <c r="Q2705" s="13">
        <v>0</v>
      </c>
      <c r="S2705" s="13">
        <v>0</v>
      </c>
      <c r="T2705" s="13">
        <v>0</v>
      </c>
      <c r="U2705" s="13">
        <v>0</v>
      </c>
      <c r="AC2705" s="16" t="str">
        <f t="shared" si="126"/>
        <v/>
      </c>
      <c r="AD2705" s="17">
        <f t="shared" si="127"/>
        <v>0</v>
      </c>
      <c r="AE2705" s="17">
        <f t="shared" si="128"/>
        <v>0</v>
      </c>
      <c r="AF2705" s="10" t="s">
        <v>6480</v>
      </c>
      <c r="AG2705" s="5" t="s">
        <v>1093</v>
      </c>
      <c r="AH2705" s="5" t="s">
        <v>6472</v>
      </c>
      <c r="AJ2705" s="5" t="s">
        <v>6481</v>
      </c>
    </row>
    <row r="2706" spans="1:36" ht="10" customHeight="1" x14ac:dyDescent="0.2">
      <c r="A2706" s="5" t="s">
        <v>6461</v>
      </c>
      <c r="B2706" s="5" t="s">
        <v>45</v>
      </c>
      <c r="D2706" s="5" t="s">
        <v>6482</v>
      </c>
      <c r="E2706" s="10" t="s">
        <v>57</v>
      </c>
      <c r="F2706" s="5" t="s">
        <v>6477</v>
      </c>
      <c r="I2706" s="11">
        <v>4</v>
      </c>
      <c r="K2706" s="10" t="s">
        <v>50</v>
      </c>
      <c r="L2706" s="5" t="s">
        <v>51</v>
      </c>
      <c r="M2706" s="5" t="s">
        <v>119</v>
      </c>
      <c r="N2706" s="5" t="s">
        <v>120</v>
      </c>
      <c r="O2706" s="12"/>
      <c r="Q2706" s="13">
        <v>11092</v>
      </c>
      <c r="S2706" s="13">
        <v>9093</v>
      </c>
      <c r="T2706" s="13">
        <v>0</v>
      </c>
      <c r="U2706" s="13">
        <v>0</v>
      </c>
      <c r="AC2706" s="16" t="str">
        <f t="shared" si="126"/>
        <v/>
      </c>
      <c r="AD2706" s="17">
        <f t="shared" si="127"/>
        <v>0</v>
      </c>
      <c r="AE2706" s="17">
        <f t="shared" si="128"/>
        <v>0</v>
      </c>
      <c r="AF2706" s="10" t="s">
        <v>6483</v>
      </c>
      <c r="AG2706" s="5" t="s">
        <v>1133</v>
      </c>
      <c r="AH2706" s="5" t="s">
        <v>6472</v>
      </c>
      <c r="AJ2706" s="5" t="s">
        <v>6484</v>
      </c>
    </row>
    <row r="2707" spans="1:36" ht="10" customHeight="1" x14ac:dyDescent="0.2">
      <c r="A2707" s="5" t="s">
        <v>6461</v>
      </c>
      <c r="B2707" s="5" t="s">
        <v>45</v>
      </c>
      <c r="D2707" s="5" t="s">
        <v>6485</v>
      </c>
      <c r="E2707" s="10" t="s">
        <v>57</v>
      </c>
      <c r="F2707" s="5" t="s">
        <v>6477</v>
      </c>
      <c r="I2707" s="11">
        <v>4</v>
      </c>
      <c r="K2707" s="10" t="s">
        <v>50</v>
      </c>
      <c r="L2707" s="5" t="s">
        <v>51</v>
      </c>
      <c r="M2707" s="5" t="s">
        <v>119</v>
      </c>
      <c r="N2707" s="5" t="s">
        <v>120</v>
      </c>
      <c r="O2707" s="12"/>
      <c r="Q2707" s="13">
        <v>17326</v>
      </c>
      <c r="S2707" s="13">
        <v>4127</v>
      </c>
      <c r="T2707" s="13">
        <v>3704</v>
      </c>
      <c r="U2707" s="13">
        <v>0</v>
      </c>
      <c r="AC2707" s="16" t="str">
        <f t="shared" si="126"/>
        <v/>
      </c>
      <c r="AD2707" s="17">
        <f t="shared" si="127"/>
        <v>0</v>
      </c>
      <c r="AE2707" s="17">
        <f t="shared" si="128"/>
        <v>0</v>
      </c>
      <c r="AF2707" s="10" t="s">
        <v>6486</v>
      </c>
      <c r="AG2707" s="5" t="s">
        <v>1170</v>
      </c>
      <c r="AH2707" s="5" t="s">
        <v>6472</v>
      </c>
      <c r="AJ2707" s="5" t="s">
        <v>6487</v>
      </c>
    </row>
    <row r="2708" spans="1:36" ht="10" customHeight="1" x14ac:dyDescent="0.2">
      <c r="A2708" s="5" t="s">
        <v>6461</v>
      </c>
      <c r="B2708" s="5" t="s">
        <v>45</v>
      </c>
      <c r="D2708" s="5" t="s">
        <v>6488</v>
      </c>
      <c r="E2708" s="10" t="s">
        <v>57</v>
      </c>
      <c r="F2708" s="5" t="s">
        <v>6477</v>
      </c>
      <c r="I2708" s="11">
        <v>4</v>
      </c>
      <c r="K2708" s="10" t="s">
        <v>50</v>
      </c>
      <c r="L2708" s="5" t="s">
        <v>51</v>
      </c>
      <c r="M2708" s="5" t="s">
        <v>119</v>
      </c>
      <c r="N2708" s="5" t="s">
        <v>120</v>
      </c>
      <c r="O2708" s="12"/>
      <c r="Q2708" s="13">
        <v>17366</v>
      </c>
      <c r="S2708" s="13">
        <v>21419</v>
      </c>
      <c r="T2708" s="13">
        <v>10713</v>
      </c>
      <c r="U2708" s="13">
        <v>0</v>
      </c>
      <c r="AC2708" s="16" t="str">
        <f t="shared" si="126"/>
        <v/>
      </c>
      <c r="AD2708" s="17">
        <f t="shared" si="127"/>
        <v>0</v>
      </c>
      <c r="AE2708" s="17">
        <f t="shared" si="128"/>
        <v>0</v>
      </c>
      <c r="AF2708" s="10" t="s">
        <v>6489</v>
      </c>
      <c r="AG2708" s="5" t="s">
        <v>1207</v>
      </c>
      <c r="AH2708" s="5" t="s">
        <v>6472</v>
      </c>
      <c r="AJ2708" s="5" t="s">
        <v>6490</v>
      </c>
    </row>
    <row r="2709" spans="1:36" ht="10" customHeight="1" x14ac:dyDescent="0.2">
      <c r="A2709" s="5" t="s">
        <v>6461</v>
      </c>
      <c r="B2709" s="5" t="s">
        <v>45</v>
      </c>
      <c r="D2709" s="5" t="s">
        <v>6491</v>
      </c>
      <c r="E2709" s="10" t="s">
        <v>57</v>
      </c>
      <c r="F2709" s="5" t="s">
        <v>6477</v>
      </c>
      <c r="I2709" s="11">
        <v>4</v>
      </c>
      <c r="K2709" s="10" t="s">
        <v>50</v>
      </c>
      <c r="L2709" s="5" t="s">
        <v>51</v>
      </c>
      <c r="M2709" s="5" t="s">
        <v>119</v>
      </c>
      <c r="N2709" s="5" t="s">
        <v>120</v>
      </c>
      <c r="O2709" s="12"/>
      <c r="Q2709" s="13">
        <v>61908</v>
      </c>
      <c r="S2709" s="13">
        <v>66136</v>
      </c>
      <c r="T2709" s="13">
        <v>78199</v>
      </c>
      <c r="U2709" s="13">
        <v>0</v>
      </c>
      <c r="AC2709" s="16" t="str">
        <f t="shared" si="126"/>
        <v/>
      </c>
      <c r="AD2709" s="17">
        <f t="shared" si="127"/>
        <v>0</v>
      </c>
      <c r="AE2709" s="17">
        <f t="shared" si="128"/>
        <v>0</v>
      </c>
      <c r="AF2709" s="10" t="s">
        <v>6492</v>
      </c>
      <c r="AG2709" s="5" t="s">
        <v>1243</v>
      </c>
      <c r="AH2709" s="5" t="s">
        <v>6472</v>
      </c>
      <c r="AJ2709" s="5" t="s">
        <v>6493</v>
      </c>
    </row>
    <row r="2710" spans="1:36" ht="10" customHeight="1" x14ac:dyDescent="0.2">
      <c r="A2710" s="5" t="s">
        <v>6461</v>
      </c>
      <c r="B2710" s="5" t="s">
        <v>45</v>
      </c>
      <c r="C2710" s="5" t="s">
        <v>6494</v>
      </c>
      <c r="D2710" s="5" t="s">
        <v>6495</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6" t="str">
        <f t="shared" si="126"/>
        <v>ADD</v>
      </c>
      <c r="AD2710" s="17">
        <f t="shared" si="127"/>
        <v>498597</v>
      </c>
      <c r="AE2710" s="17">
        <f t="shared" si="128"/>
        <v>454161</v>
      </c>
      <c r="AF2710" s="10" t="s">
        <v>6496</v>
      </c>
      <c r="AG2710" s="5" t="s">
        <v>1290</v>
      </c>
      <c r="AH2710" s="5" t="s">
        <v>6494</v>
      </c>
      <c r="AI2710" s="5" t="s">
        <v>6497</v>
      </c>
    </row>
    <row r="2711" spans="1:36" ht="10" customHeight="1" x14ac:dyDescent="0.2">
      <c r="A2711" s="5" t="s">
        <v>6461</v>
      </c>
      <c r="B2711" s="5" t="s">
        <v>45</v>
      </c>
      <c r="D2711" s="5" t="s">
        <v>6498</v>
      </c>
      <c r="E2711" s="10" t="s">
        <v>57</v>
      </c>
      <c r="F2711" s="5" t="s">
        <v>6499</v>
      </c>
      <c r="I2711" s="11">
        <v>4</v>
      </c>
      <c r="K2711" s="10" t="s">
        <v>50</v>
      </c>
      <c r="L2711" s="5" t="s">
        <v>51</v>
      </c>
      <c r="M2711" s="5" t="s">
        <v>52</v>
      </c>
      <c r="N2711" s="5" t="s">
        <v>88</v>
      </c>
      <c r="O2711" s="12"/>
      <c r="P2711" s="13">
        <v>12313</v>
      </c>
      <c r="Q2711" s="13">
        <v>12559</v>
      </c>
      <c r="S2711" s="13">
        <v>12813</v>
      </c>
      <c r="AC2711" s="16" t="str">
        <f t="shared" si="126"/>
        <v/>
      </c>
      <c r="AD2711" s="17">
        <f t="shared" si="127"/>
        <v>12813</v>
      </c>
      <c r="AE2711" s="17">
        <f t="shared" si="128"/>
        <v>0</v>
      </c>
      <c r="AF2711" s="10" t="s">
        <v>6500</v>
      </c>
      <c r="AG2711" s="5" t="s">
        <v>1387</v>
      </c>
      <c r="AH2711" s="5" t="s">
        <v>6494</v>
      </c>
    </row>
    <row r="2712" spans="1:36" ht="10" customHeight="1" x14ac:dyDescent="0.2">
      <c r="A2712" s="5" t="s">
        <v>6461</v>
      </c>
      <c r="B2712" s="5" t="s">
        <v>45</v>
      </c>
      <c r="D2712" s="5" t="s">
        <v>6501</v>
      </c>
      <c r="E2712" s="10" t="s">
        <v>57</v>
      </c>
      <c r="F2712" s="5" t="s">
        <v>6499</v>
      </c>
      <c r="I2712" s="11">
        <v>4</v>
      </c>
      <c r="K2712" s="10" t="s">
        <v>50</v>
      </c>
      <c r="L2712" s="5" t="s">
        <v>51</v>
      </c>
      <c r="M2712" s="5" t="s">
        <v>52</v>
      </c>
      <c r="N2712" s="5" t="s">
        <v>4752</v>
      </c>
      <c r="O2712" s="12"/>
      <c r="P2712" s="13">
        <v>5250</v>
      </c>
      <c r="Q2712" s="13">
        <v>0</v>
      </c>
      <c r="S2712" s="13">
        <v>0</v>
      </c>
      <c r="AC2712" s="16" t="str">
        <f t="shared" si="126"/>
        <v/>
      </c>
      <c r="AD2712" s="17">
        <f t="shared" si="127"/>
        <v>0</v>
      </c>
      <c r="AE2712" s="17">
        <f t="shared" si="128"/>
        <v>0</v>
      </c>
      <c r="AF2712" s="10" t="s">
        <v>6502</v>
      </c>
      <c r="AG2712" s="5" t="s">
        <v>1421</v>
      </c>
      <c r="AH2712" s="5" t="s">
        <v>6494</v>
      </c>
    </row>
    <row r="2713" spans="1:36" ht="10" customHeight="1" x14ac:dyDescent="0.2">
      <c r="A2713" s="5" t="s">
        <v>6461</v>
      </c>
      <c r="B2713" s="5" t="s">
        <v>45</v>
      </c>
      <c r="D2713" s="5" t="s">
        <v>6503</v>
      </c>
      <c r="E2713" s="10" t="s">
        <v>57</v>
      </c>
      <c r="F2713" s="5" t="s">
        <v>6499</v>
      </c>
      <c r="I2713" s="11">
        <v>4</v>
      </c>
      <c r="K2713" s="10" t="s">
        <v>50</v>
      </c>
      <c r="L2713" s="5" t="s">
        <v>51</v>
      </c>
      <c r="M2713" s="5" t="s">
        <v>52</v>
      </c>
      <c r="O2713" s="12"/>
      <c r="P2713" s="13">
        <v>24387</v>
      </c>
      <c r="Q2713" s="13">
        <v>22486</v>
      </c>
      <c r="S2713" s="13">
        <v>19193</v>
      </c>
      <c r="AC2713" s="16" t="str">
        <f t="shared" si="126"/>
        <v/>
      </c>
      <c r="AD2713" s="17">
        <f t="shared" si="127"/>
        <v>19193</v>
      </c>
      <c r="AE2713" s="17">
        <f t="shared" si="128"/>
        <v>0</v>
      </c>
      <c r="AF2713" s="10" t="s">
        <v>6504</v>
      </c>
      <c r="AG2713" s="5" t="s">
        <v>81</v>
      </c>
      <c r="AH2713" s="5" t="s">
        <v>6494</v>
      </c>
    </row>
    <row r="2714" spans="1:36" ht="10" customHeight="1" x14ac:dyDescent="0.2">
      <c r="A2714" s="5" t="s">
        <v>6461</v>
      </c>
      <c r="B2714" s="5" t="s">
        <v>45</v>
      </c>
      <c r="D2714" s="5" t="s">
        <v>6505</v>
      </c>
      <c r="E2714" s="10" t="s">
        <v>57</v>
      </c>
      <c r="F2714" s="5" t="s">
        <v>6499</v>
      </c>
      <c r="I2714" s="11">
        <v>4</v>
      </c>
      <c r="K2714" s="10" t="s">
        <v>50</v>
      </c>
      <c r="L2714" s="5" t="s">
        <v>51</v>
      </c>
      <c r="M2714" s="5" t="s">
        <v>52</v>
      </c>
      <c r="O2714" s="12"/>
      <c r="P2714" s="13">
        <v>4549</v>
      </c>
      <c r="Q2714" s="13">
        <v>7266</v>
      </c>
      <c r="S2714" s="13">
        <v>4732</v>
      </c>
      <c r="AC2714" s="16" t="str">
        <f t="shared" si="126"/>
        <v/>
      </c>
      <c r="AD2714" s="17">
        <f t="shared" si="127"/>
        <v>4732</v>
      </c>
      <c r="AE2714" s="17">
        <f t="shared" si="128"/>
        <v>0</v>
      </c>
      <c r="AF2714" s="10" t="s">
        <v>6506</v>
      </c>
      <c r="AG2714" s="5" t="s">
        <v>6154</v>
      </c>
      <c r="AH2714" s="5" t="s">
        <v>6494</v>
      </c>
    </row>
    <row r="2715" spans="1:36" ht="10" customHeight="1" x14ac:dyDescent="0.2">
      <c r="A2715" s="5" t="s">
        <v>6461</v>
      </c>
      <c r="B2715" s="5" t="s">
        <v>45</v>
      </c>
      <c r="D2715" s="5" t="s">
        <v>6507</v>
      </c>
      <c r="E2715" s="10" t="s">
        <v>57</v>
      </c>
      <c r="F2715" s="5" t="s">
        <v>6499</v>
      </c>
      <c r="I2715" s="11">
        <v>4</v>
      </c>
      <c r="K2715" s="10" t="s">
        <v>50</v>
      </c>
      <c r="L2715" s="5" t="s">
        <v>51</v>
      </c>
      <c r="M2715" s="5" t="s">
        <v>52</v>
      </c>
      <c r="N2715" s="5" t="s">
        <v>4752</v>
      </c>
      <c r="O2715" s="12"/>
      <c r="P2715" s="13">
        <v>20453</v>
      </c>
      <c r="Q2715" s="13">
        <v>41245</v>
      </c>
      <c r="S2715" s="13">
        <v>42070</v>
      </c>
      <c r="AC2715" s="16" t="str">
        <f t="shared" si="126"/>
        <v/>
      </c>
      <c r="AD2715" s="17">
        <f t="shared" si="127"/>
        <v>42070</v>
      </c>
      <c r="AE2715" s="17">
        <f t="shared" si="128"/>
        <v>0</v>
      </c>
      <c r="AF2715" s="10" t="s">
        <v>6508</v>
      </c>
      <c r="AG2715" s="5" t="s">
        <v>1470</v>
      </c>
      <c r="AH2715" s="5" t="s">
        <v>6494</v>
      </c>
    </row>
    <row r="2716" spans="1:36" ht="10" customHeight="1" x14ac:dyDescent="0.2">
      <c r="A2716" s="5" t="s">
        <v>6461</v>
      </c>
      <c r="B2716" s="5" t="s">
        <v>45</v>
      </c>
      <c r="D2716" s="5" t="s">
        <v>6509</v>
      </c>
      <c r="E2716" s="10" t="s">
        <v>57</v>
      </c>
      <c r="F2716" s="5" t="s">
        <v>6499</v>
      </c>
      <c r="I2716" s="11">
        <v>4</v>
      </c>
      <c r="K2716" s="10" t="s">
        <v>50</v>
      </c>
      <c r="L2716" s="5" t="s">
        <v>51</v>
      </c>
      <c r="M2716" s="5" t="s">
        <v>52</v>
      </c>
      <c r="N2716" s="5" t="s">
        <v>88</v>
      </c>
      <c r="O2716" s="12"/>
      <c r="P2716" s="13">
        <v>67683</v>
      </c>
      <c r="Q2716" s="13">
        <v>22124</v>
      </c>
      <c r="S2716" s="13">
        <v>71424</v>
      </c>
      <c r="AC2716" s="16" t="str">
        <f t="shared" si="126"/>
        <v/>
      </c>
      <c r="AD2716" s="17">
        <f t="shared" si="127"/>
        <v>71424</v>
      </c>
      <c r="AE2716" s="17">
        <f t="shared" si="128"/>
        <v>0</v>
      </c>
      <c r="AF2716" s="10" t="s">
        <v>6510</v>
      </c>
      <c r="AG2716" s="5" t="s">
        <v>1582</v>
      </c>
      <c r="AH2716" s="5" t="s">
        <v>6494</v>
      </c>
    </row>
    <row r="2717" spans="1:36" ht="10" customHeight="1" x14ac:dyDescent="0.2">
      <c r="A2717" s="5" t="s">
        <v>6461</v>
      </c>
      <c r="B2717" s="5" t="s">
        <v>45</v>
      </c>
      <c r="D2717" s="5" t="s">
        <v>6511</v>
      </c>
      <c r="E2717" s="10" t="s">
        <v>57</v>
      </c>
      <c r="F2717" s="5" t="s">
        <v>6499</v>
      </c>
      <c r="I2717" s="11">
        <v>4</v>
      </c>
      <c r="K2717" s="10" t="s">
        <v>50</v>
      </c>
      <c r="L2717" s="5" t="s">
        <v>51</v>
      </c>
      <c r="M2717" s="5" t="s">
        <v>52</v>
      </c>
      <c r="N2717" s="5" t="s">
        <v>88</v>
      </c>
      <c r="O2717" s="12"/>
      <c r="P2717" s="13">
        <v>26767</v>
      </c>
      <c r="Q2717" s="13">
        <v>2592</v>
      </c>
      <c r="S2717" s="13">
        <v>0</v>
      </c>
      <c r="AC2717" s="16" t="str">
        <f t="shared" si="126"/>
        <v/>
      </c>
      <c r="AD2717" s="17">
        <f t="shared" si="127"/>
        <v>0</v>
      </c>
      <c r="AE2717" s="17">
        <f t="shared" si="128"/>
        <v>0</v>
      </c>
      <c r="AF2717" s="10" t="s">
        <v>6512</v>
      </c>
      <c r="AG2717" s="5" t="s">
        <v>1653</v>
      </c>
      <c r="AH2717" s="5" t="s">
        <v>6494</v>
      </c>
    </row>
    <row r="2718" spans="1:36" ht="10" customHeight="1" x14ac:dyDescent="0.2">
      <c r="A2718" s="5" t="s">
        <v>6461</v>
      </c>
      <c r="B2718" s="5" t="s">
        <v>45</v>
      </c>
      <c r="D2718" s="5" t="s">
        <v>6513</v>
      </c>
      <c r="E2718" s="10" t="s">
        <v>57</v>
      </c>
      <c r="F2718" s="5" t="s">
        <v>6499</v>
      </c>
      <c r="I2718" s="11">
        <v>4</v>
      </c>
      <c r="K2718" s="10" t="s">
        <v>50</v>
      </c>
      <c r="L2718" s="5" t="s">
        <v>51</v>
      </c>
      <c r="M2718" s="5" t="s">
        <v>52</v>
      </c>
      <c r="N2718" s="5" t="s">
        <v>88</v>
      </c>
      <c r="O2718" s="12"/>
      <c r="P2718" s="13">
        <v>13826</v>
      </c>
      <c r="Q2718" s="13">
        <v>3845</v>
      </c>
      <c r="S2718" s="13">
        <v>0</v>
      </c>
      <c r="AC2718" s="16" t="str">
        <f t="shared" si="126"/>
        <v/>
      </c>
      <c r="AD2718" s="17">
        <f t="shared" si="127"/>
        <v>0</v>
      </c>
      <c r="AE2718" s="17">
        <f t="shared" si="128"/>
        <v>0</v>
      </c>
      <c r="AF2718" s="10" t="s">
        <v>6514</v>
      </c>
      <c r="AG2718" s="5" t="s">
        <v>1690</v>
      </c>
      <c r="AH2718" s="5" t="s">
        <v>6494</v>
      </c>
    </row>
    <row r="2719" spans="1:36" ht="10" customHeight="1" x14ac:dyDescent="0.2">
      <c r="A2719" s="5" t="s">
        <v>6461</v>
      </c>
      <c r="B2719" s="5" t="s">
        <v>45</v>
      </c>
      <c r="D2719" s="5" t="s">
        <v>6515</v>
      </c>
      <c r="E2719" s="10" t="s">
        <v>57</v>
      </c>
      <c r="F2719" s="5" t="s">
        <v>6499</v>
      </c>
      <c r="I2719" s="11">
        <v>4</v>
      </c>
      <c r="K2719" s="10" t="s">
        <v>50</v>
      </c>
      <c r="L2719" s="5" t="s">
        <v>51</v>
      </c>
      <c r="M2719" s="5" t="s">
        <v>52</v>
      </c>
      <c r="N2719" s="5" t="s">
        <v>88</v>
      </c>
      <c r="O2719" s="12"/>
      <c r="P2719" s="13">
        <v>60338</v>
      </c>
      <c r="Q2719" s="13">
        <v>75975</v>
      </c>
      <c r="S2719" s="13">
        <v>69171</v>
      </c>
      <c r="AC2719" s="16" t="str">
        <f t="shared" si="126"/>
        <v/>
      </c>
      <c r="AD2719" s="17">
        <f t="shared" si="127"/>
        <v>69171</v>
      </c>
      <c r="AE2719" s="17">
        <f t="shared" si="128"/>
        <v>0</v>
      </c>
      <c r="AF2719" s="10" t="s">
        <v>6516</v>
      </c>
      <c r="AG2719" s="5" t="s">
        <v>1726</v>
      </c>
      <c r="AH2719" s="5" t="s">
        <v>6494</v>
      </c>
    </row>
    <row r="2720" spans="1:36" ht="10" customHeight="1" x14ac:dyDescent="0.2">
      <c r="A2720" s="5" t="s">
        <v>6461</v>
      </c>
      <c r="B2720" s="5" t="s">
        <v>45</v>
      </c>
      <c r="D2720" s="5" t="s">
        <v>6517</v>
      </c>
      <c r="E2720" s="10" t="s">
        <v>57</v>
      </c>
      <c r="F2720" s="5" t="s">
        <v>6499</v>
      </c>
      <c r="I2720" s="11">
        <v>4</v>
      </c>
      <c r="K2720" s="10" t="s">
        <v>50</v>
      </c>
      <c r="L2720" s="5" t="s">
        <v>51</v>
      </c>
      <c r="M2720" s="5" t="s">
        <v>52</v>
      </c>
      <c r="N2720" s="5" t="s">
        <v>4752</v>
      </c>
      <c r="O2720" s="12"/>
      <c r="P2720" s="13">
        <v>22872</v>
      </c>
      <c r="Q2720" s="13">
        <v>35389</v>
      </c>
      <c r="S2720" s="13">
        <v>46823</v>
      </c>
      <c r="AC2720" s="16" t="str">
        <f t="shared" si="126"/>
        <v/>
      </c>
      <c r="AD2720" s="17">
        <f t="shared" si="127"/>
        <v>46823</v>
      </c>
      <c r="AE2720" s="17">
        <f t="shared" si="128"/>
        <v>0</v>
      </c>
      <c r="AF2720" s="10" t="s">
        <v>6518</v>
      </c>
      <c r="AG2720" s="5" t="s">
        <v>1773</v>
      </c>
      <c r="AH2720" s="5" t="s">
        <v>6494</v>
      </c>
    </row>
    <row r="2721" spans="1:35" ht="10" customHeight="1" x14ac:dyDescent="0.2">
      <c r="A2721" s="5" t="s">
        <v>6461</v>
      </c>
      <c r="B2721" s="5" t="s">
        <v>45</v>
      </c>
      <c r="D2721" s="5" t="s">
        <v>6519</v>
      </c>
      <c r="E2721" s="10" t="s">
        <v>57</v>
      </c>
      <c r="F2721" s="5" t="s">
        <v>6499</v>
      </c>
      <c r="I2721" s="11">
        <v>4</v>
      </c>
      <c r="K2721" s="10" t="s">
        <v>50</v>
      </c>
      <c r="L2721" s="5" t="s">
        <v>51</v>
      </c>
      <c r="M2721" s="5" t="s">
        <v>52</v>
      </c>
      <c r="N2721" s="5" t="s">
        <v>88</v>
      </c>
      <c r="O2721" s="12"/>
      <c r="P2721" s="13">
        <v>8419</v>
      </c>
      <c r="Q2721" s="13">
        <v>7896</v>
      </c>
      <c r="S2721" s="13">
        <v>10296</v>
      </c>
      <c r="AC2721" s="16" t="str">
        <f t="shared" si="126"/>
        <v/>
      </c>
      <c r="AD2721" s="17">
        <f t="shared" si="127"/>
        <v>10296</v>
      </c>
      <c r="AE2721" s="17">
        <f t="shared" si="128"/>
        <v>0</v>
      </c>
      <c r="AF2721" s="10" t="s">
        <v>6520</v>
      </c>
      <c r="AG2721" s="5" t="s">
        <v>5137</v>
      </c>
      <c r="AH2721" s="5" t="s">
        <v>6494</v>
      </c>
    </row>
    <row r="2722" spans="1:35" ht="10" customHeight="1" x14ac:dyDescent="0.2">
      <c r="A2722" s="5" t="s">
        <v>6461</v>
      </c>
      <c r="B2722" s="5" t="s">
        <v>45</v>
      </c>
      <c r="C2722" s="5" t="s">
        <v>6521</v>
      </c>
      <c r="D2722" s="5" t="s">
        <v>6522</v>
      </c>
      <c r="E2722" s="10" t="s">
        <v>349</v>
      </c>
      <c r="F2722" s="5" t="s">
        <v>6523</v>
      </c>
      <c r="I2722" s="11">
        <v>4</v>
      </c>
      <c r="K2722" s="12"/>
      <c r="O2722" s="12"/>
      <c r="P2722" s="13">
        <v>23436</v>
      </c>
      <c r="Q2722" s="13">
        <v>14247</v>
      </c>
      <c r="S2722" s="13">
        <v>0</v>
      </c>
      <c r="T2722" s="13">
        <v>0</v>
      </c>
      <c r="U2722" s="13">
        <v>0</v>
      </c>
      <c r="AC2722" s="16" t="str">
        <f t="shared" si="126"/>
        <v>ALT</v>
      </c>
      <c r="AD2722" s="17">
        <f t="shared" si="127"/>
        <v>0</v>
      </c>
      <c r="AE2722" s="17">
        <f t="shared" si="128"/>
        <v>0</v>
      </c>
      <c r="AF2722" s="10" t="s">
        <v>6524</v>
      </c>
      <c r="AG2722" s="5" t="s">
        <v>1820</v>
      </c>
      <c r="AH2722" s="5" t="s">
        <v>6521</v>
      </c>
    </row>
    <row r="2723" spans="1:35" ht="10" customHeight="1" x14ac:dyDescent="0.2">
      <c r="A2723" s="5" t="s">
        <v>6461</v>
      </c>
      <c r="B2723" s="5" t="s">
        <v>45</v>
      </c>
      <c r="C2723" s="5" t="s">
        <v>6525</v>
      </c>
      <c r="D2723" s="5" t="s">
        <v>6526</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6" t="str">
        <f t="shared" si="126"/>
        <v>ADD</v>
      </c>
      <c r="AD2723" s="17">
        <f t="shared" si="127"/>
        <v>56482</v>
      </c>
      <c r="AE2723" s="17">
        <f t="shared" si="128"/>
        <v>68881</v>
      </c>
      <c r="AF2723" s="10" t="s">
        <v>6527</v>
      </c>
      <c r="AG2723" s="5" t="s">
        <v>1916</v>
      </c>
      <c r="AH2723" s="5" t="s">
        <v>6525</v>
      </c>
    </row>
    <row r="2724" spans="1:35" ht="10" customHeight="1" x14ac:dyDescent="0.2">
      <c r="A2724" s="5" t="s">
        <v>6461</v>
      </c>
      <c r="B2724" s="5" t="s">
        <v>45</v>
      </c>
      <c r="C2724" s="5" t="s">
        <v>6528</v>
      </c>
      <c r="D2724" s="5" t="s">
        <v>6529</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6" t="str">
        <f t="shared" si="126"/>
        <v>ADD</v>
      </c>
      <c r="AD2724" s="17">
        <f t="shared" si="127"/>
        <v>14915</v>
      </c>
      <c r="AE2724" s="17">
        <f t="shared" si="128"/>
        <v>14857</v>
      </c>
      <c r="AF2724" s="10" t="s">
        <v>6530</v>
      </c>
      <c r="AG2724" s="5" t="s">
        <v>4806</v>
      </c>
      <c r="AH2724" s="5" t="s">
        <v>6528</v>
      </c>
    </row>
    <row r="2725" spans="1:35" ht="10" customHeight="1" x14ac:dyDescent="0.2">
      <c r="A2725" s="5" t="s">
        <v>6461</v>
      </c>
      <c r="B2725" s="5" t="s">
        <v>45</v>
      </c>
      <c r="C2725" s="5" t="s">
        <v>6531</v>
      </c>
      <c r="D2725" s="5" t="s">
        <v>6532</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6" t="str">
        <f t="shared" si="126"/>
        <v>ADD</v>
      </c>
      <c r="AD2725" s="17">
        <f t="shared" si="127"/>
        <v>363312</v>
      </c>
      <c r="AE2725" s="17">
        <f t="shared" si="128"/>
        <v>490548</v>
      </c>
      <c r="AF2725" s="10" t="s">
        <v>6533</v>
      </c>
      <c r="AG2725" s="5" t="s">
        <v>2306</v>
      </c>
      <c r="AH2725" s="5" t="s">
        <v>6531</v>
      </c>
      <c r="AI2725" s="5" t="s">
        <v>6534</v>
      </c>
    </row>
    <row r="2726" spans="1:35" ht="10" customHeight="1" x14ac:dyDescent="0.2">
      <c r="A2726" s="5" t="s">
        <v>6461</v>
      </c>
      <c r="B2726" s="5" t="s">
        <v>45</v>
      </c>
      <c r="C2726" s="5" t="s">
        <v>6535</v>
      </c>
      <c r="D2726" s="5" t="s">
        <v>6536</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6" t="str">
        <f t="shared" si="126"/>
        <v>ADD</v>
      </c>
      <c r="AD2726" s="17">
        <f t="shared" si="127"/>
        <v>31169</v>
      </c>
      <c r="AE2726" s="17">
        <f t="shared" si="128"/>
        <v>72190</v>
      </c>
      <c r="AF2726" s="10" t="s">
        <v>6537</v>
      </c>
      <c r="AG2726" s="5" t="s">
        <v>2350</v>
      </c>
      <c r="AH2726" s="5" t="s">
        <v>6535</v>
      </c>
      <c r="AI2726" s="5" t="s">
        <v>6536</v>
      </c>
    </row>
    <row r="2727" spans="1:35" ht="10" customHeight="1" x14ac:dyDescent="0.2">
      <c r="A2727" s="5" t="s">
        <v>6461</v>
      </c>
      <c r="B2727" s="5" t="s">
        <v>45</v>
      </c>
      <c r="D2727" s="5" t="s">
        <v>6538</v>
      </c>
      <c r="E2727" s="10" t="s">
        <v>57</v>
      </c>
      <c r="F2727" s="5" t="s">
        <v>6539</v>
      </c>
      <c r="I2727" s="11">
        <v>4</v>
      </c>
      <c r="K2727" s="10" t="s">
        <v>190</v>
      </c>
      <c r="L2727" s="5" t="s">
        <v>51</v>
      </c>
      <c r="M2727" s="5" t="s">
        <v>214</v>
      </c>
      <c r="N2727" s="5" t="s">
        <v>215</v>
      </c>
      <c r="O2727" s="12"/>
      <c r="P2727" s="13">
        <v>15712</v>
      </c>
      <c r="Q2727" s="13">
        <v>17262</v>
      </c>
      <c r="S2727" s="13">
        <v>12516</v>
      </c>
      <c r="AC2727" s="16" t="str">
        <f t="shared" si="126"/>
        <v/>
      </c>
      <c r="AD2727" s="17">
        <f t="shared" si="127"/>
        <v>12516</v>
      </c>
      <c r="AE2727" s="17">
        <f t="shared" si="128"/>
        <v>0</v>
      </c>
      <c r="AF2727" s="10" t="s">
        <v>6540</v>
      </c>
      <c r="AG2727" s="5" t="s">
        <v>2396</v>
      </c>
      <c r="AH2727" s="5" t="s">
        <v>6535</v>
      </c>
    </row>
    <row r="2728" spans="1:35" ht="10" customHeight="1" x14ac:dyDescent="0.2">
      <c r="A2728" s="5" t="s">
        <v>6461</v>
      </c>
      <c r="B2728" s="5" t="s">
        <v>45</v>
      </c>
      <c r="D2728" s="5" t="s">
        <v>6541</v>
      </c>
      <c r="E2728" s="10" t="s">
        <v>57</v>
      </c>
      <c r="F2728" s="5" t="s">
        <v>6539</v>
      </c>
      <c r="I2728" s="11">
        <v>4</v>
      </c>
      <c r="K2728" s="10" t="s">
        <v>190</v>
      </c>
      <c r="L2728" s="5" t="s">
        <v>51</v>
      </c>
      <c r="M2728" s="5" t="s">
        <v>214</v>
      </c>
      <c r="N2728" s="5" t="s">
        <v>215</v>
      </c>
      <c r="O2728" s="12"/>
      <c r="P2728" s="13">
        <v>2000</v>
      </c>
      <c r="Q2728" s="13">
        <v>2085</v>
      </c>
      <c r="S2728" s="13">
        <v>2092</v>
      </c>
      <c r="AC2728" s="16" t="str">
        <f t="shared" si="126"/>
        <v/>
      </c>
      <c r="AD2728" s="17">
        <f t="shared" si="127"/>
        <v>2092</v>
      </c>
      <c r="AE2728" s="17">
        <f t="shared" si="128"/>
        <v>0</v>
      </c>
      <c r="AF2728" s="10" t="s">
        <v>6542</v>
      </c>
      <c r="AG2728" s="5" t="s">
        <v>2440</v>
      </c>
      <c r="AH2728" s="5" t="s">
        <v>6535</v>
      </c>
    </row>
    <row r="2729" spans="1:35" ht="10" customHeight="1" x14ac:dyDescent="0.2">
      <c r="A2729" s="5" t="s">
        <v>6461</v>
      </c>
      <c r="B2729" s="5" t="s">
        <v>45</v>
      </c>
      <c r="D2729" s="5" t="s">
        <v>6543</v>
      </c>
      <c r="E2729" s="10" t="s">
        <v>57</v>
      </c>
      <c r="F2729" s="5" t="s">
        <v>6539</v>
      </c>
      <c r="I2729" s="11">
        <v>4</v>
      </c>
      <c r="K2729" s="10" t="s">
        <v>190</v>
      </c>
      <c r="L2729" s="5" t="s">
        <v>51</v>
      </c>
      <c r="M2729" s="5" t="s">
        <v>214</v>
      </c>
      <c r="N2729" s="5" t="s">
        <v>215</v>
      </c>
      <c r="O2729" s="12"/>
      <c r="P2729" s="13">
        <v>9107</v>
      </c>
      <c r="Q2729" s="13">
        <v>21963</v>
      </c>
      <c r="S2729" s="13">
        <v>0</v>
      </c>
      <c r="AC2729" s="16" t="str">
        <f t="shared" si="126"/>
        <v/>
      </c>
      <c r="AD2729" s="17">
        <f t="shared" si="127"/>
        <v>0</v>
      </c>
      <c r="AE2729" s="17">
        <f t="shared" si="128"/>
        <v>0</v>
      </c>
      <c r="AF2729" s="10" t="s">
        <v>6544</v>
      </c>
      <c r="AG2729" s="5" t="s">
        <v>6545</v>
      </c>
      <c r="AH2729" s="5" t="s">
        <v>6535</v>
      </c>
    </row>
    <row r="2730" spans="1:35" ht="10" customHeight="1" x14ac:dyDescent="0.2">
      <c r="A2730" s="5" t="s">
        <v>6461</v>
      </c>
      <c r="B2730" s="5" t="s">
        <v>45</v>
      </c>
      <c r="C2730" s="5" t="s">
        <v>6546</v>
      </c>
      <c r="D2730" s="5" t="s">
        <v>6547</v>
      </c>
      <c r="E2730" s="10" t="s">
        <v>48</v>
      </c>
      <c r="I2730" s="11">
        <v>4</v>
      </c>
      <c r="K2730" s="12"/>
      <c r="O2730" s="12"/>
      <c r="P2730" s="13">
        <v>325996</v>
      </c>
      <c r="Q2730" s="13">
        <v>182011</v>
      </c>
      <c r="S2730" s="13">
        <v>461380</v>
      </c>
      <c r="T2730" s="13">
        <v>0</v>
      </c>
      <c r="U2730" s="13">
        <v>461380</v>
      </c>
      <c r="Z2730" s="13">
        <v>653483</v>
      </c>
      <c r="AB2730" s="13">
        <v>653483</v>
      </c>
      <c r="AC2730" s="16" t="str">
        <f t="shared" si="126"/>
        <v>ADD</v>
      </c>
      <c r="AD2730" s="17">
        <f t="shared" si="127"/>
        <v>461380</v>
      </c>
      <c r="AE2730" s="17">
        <f t="shared" si="128"/>
        <v>653483</v>
      </c>
      <c r="AF2730" s="10" t="s">
        <v>6548</v>
      </c>
      <c r="AG2730" s="5" t="s">
        <v>6549</v>
      </c>
      <c r="AH2730" s="5" t="s">
        <v>6546</v>
      </c>
    </row>
    <row r="2731" spans="1:35" ht="10" customHeight="1" x14ac:dyDescent="0.2">
      <c r="A2731" s="5" t="s">
        <v>6461</v>
      </c>
      <c r="B2731" s="5" t="s">
        <v>45</v>
      </c>
      <c r="D2731" s="5" t="s">
        <v>6550</v>
      </c>
      <c r="E2731" s="10" t="s">
        <v>57</v>
      </c>
      <c r="F2731" s="5" t="s">
        <v>6551</v>
      </c>
      <c r="I2731" s="11">
        <v>4</v>
      </c>
      <c r="K2731" s="12"/>
      <c r="O2731" s="12"/>
      <c r="P2731" s="13">
        <v>191</v>
      </c>
      <c r="Q2731" s="13">
        <v>588</v>
      </c>
      <c r="S2731" s="13">
        <v>928</v>
      </c>
      <c r="AC2731" s="16" t="str">
        <f t="shared" si="126"/>
        <v/>
      </c>
      <c r="AD2731" s="17">
        <f t="shared" si="127"/>
        <v>928</v>
      </c>
      <c r="AE2731" s="17">
        <f t="shared" si="128"/>
        <v>0</v>
      </c>
      <c r="AF2731" s="10" t="s">
        <v>6552</v>
      </c>
      <c r="AG2731" s="5" t="s">
        <v>2712</v>
      </c>
      <c r="AH2731" s="5" t="s">
        <v>6546</v>
      </c>
    </row>
    <row r="2732" spans="1:35" ht="10" customHeight="1" x14ac:dyDescent="0.2">
      <c r="A2732" s="5" t="s">
        <v>6461</v>
      </c>
      <c r="B2732" s="5" t="s">
        <v>45</v>
      </c>
      <c r="D2732" s="5" t="s">
        <v>6553</v>
      </c>
      <c r="E2732" s="10" t="s">
        <v>57</v>
      </c>
      <c r="F2732" s="5" t="s">
        <v>6551</v>
      </c>
      <c r="I2732" s="11">
        <v>4</v>
      </c>
      <c r="K2732" s="12"/>
      <c r="O2732" s="12"/>
      <c r="P2732" s="13">
        <v>3230</v>
      </c>
      <c r="Q2732" s="13">
        <v>4320</v>
      </c>
      <c r="S2732" s="13">
        <v>13051</v>
      </c>
      <c r="AC2732" s="16" t="str">
        <f t="shared" si="126"/>
        <v/>
      </c>
      <c r="AD2732" s="17">
        <f t="shared" si="127"/>
        <v>13051</v>
      </c>
      <c r="AE2732" s="17">
        <f t="shared" si="128"/>
        <v>0</v>
      </c>
      <c r="AF2732" s="10" t="s">
        <v>6554</v>
      </c>
      <c r="AG2732" s="5" t="s">
        <v>2740</v>
      </c>
      <c r="AH2732" s="5" t="s">
        <v>6546</v>
      </c>
    </row>
    <row r="2733" spans="1:35" ht="10" customHeight="1" x14ac:dyDescent="0.2">
      <c r="A2733" s="5" t="s">
        <v>6461</v>
      </c>
      <c r="B2733" s="5" t="s">
        <v>45</v>
      </c>
      <c r="D2733" s="5" t="s">
        <v>6555</v>
      </c>
      <c r="E2733" s="10" t="s">
        <v>57</v>
      </c>
      <c r="F2733" s="5" t="s">
        <v>6551</v>
      </c>
      <c r="I2733" s="11">
        <v>4</v>
      </c>
      <c r="K2733" s="12"/>
      <c r="O2733" s="12"/>
      <c r="P2733" s="13">
        <v>21439</v>
      </c>
      <c r="Q2733" s="13">
        <v>22576</v>
      </c>
      <c r="S2733" s="13">
        <v>64386</v>
      </c>
      <c r="AC2733" s="16" t="str">
        <f t="shared" si="126"/>
        <v/>
      </c>
      <c r="AD2733" s="17">
        <f t="shared" si="127"/>
        <v>64386</v>
      </c>
      <c r="AE2733" s="17">
        <f t="shared" si="128"/>
        <v>0</v>
      </c>
      <c r="AF2733" s="10" t="s">
        <v>6556</v>
      </c>
      <c r="AG2733" s="5" t="s">
        <v>2771</v>
      </c>
      <c r="AH2733" s="5" t="s">
        <v>6546</v>
      </c>
    </row>
    <row r="2734" spans="1:35" ht="10" customHeight="1" x14ac:dyDescent="0.2">
      <c r="A2734" s="5" t="s">
        <v>6461</v>
      </c>
      <c r="B2734" s="5" t="s">
        <v>45</v>
      </c>
      <c r="D2734" s="5" t="s">
        <v>6557</v>
      </c>
      <c r="E2734" s="10" t="s">
        <v>57</v>
      </c>
      <c r="F2734" s="5" t="s">
        <v>6551</v>
      </c>
      <c r="I2734" s="11">
        <v>4</v>
      </c>
      <c r="K2734" s="12"/>
      <c r="O2734" s="12"/>
      <c r="P2734" s="13">
        <v>247393</v>
      </c>
      <c r="Q2734" s="13">
        <v>77570</v>
      </c>
      <c r="S2734" s="13">
        <v>165894</v>
      </c>
      <c r="AC2734" s="16" t="str">
        <f t="shared" si="126"/>
        <v/>
      </c>
      <c r="AD2734" s="17">
        <f t="shared" si="127"/>
        <v>165894</v>
      </c>
      <c r="AE2734" s="17">
        <f t="shared" si="128"/>
        <v>0</v>
      </c>
      <c r="AF2734" s="10" t="s">
        <v>6558</v>
      </c>
      <c r="AG2734" s="5" t="s">
        <v>6559</v>
      </c>
      <c r="AH2734" s="5" t="s">
        <v>6546</v>
      </c>
      <c r="AI2734" s="5" t="s">
        <v>6560</v>
      </c>
    </row>
    <row r="2735" spans="1:35" ht="10" customHeight="1" x14ac:dyDescent="0.2">
      <c r="A2735" s="5" t="s">
        <v>6461</v>
      </c>
      <c r="B2735" s="5" t="s">
        <v>45</v>
      </c>
      <c r="D2735" s="5" t="s">
        <v>6561</v>
      </c>
      <c r="E2735" s="10" t="s">
        <v>57</v>
      </c>
      <c r="F2735" s="5" t="s">
        <v>6551</v>
      </c>
      <c r="I2735" s="11">
        <v>4</v>
      </c>
      <c r="K2735" s="10" t="s">
        <v>50</v>
      </c>
      <c r="L2735" s="5" t="s">
        <v>51</v>
      </c>
      <c r="M2735" s="5" t="s">
        <v>119</v>
      </c>
      <c r="O2735" s="12"/>
      <c r="P2735" s="13">
        <v>0</v>
      </c>
      <c r="Q2735" s="13">
        <v>0</v>
      </c>
      <c r="S2735" s="13">
        <v>44552</v>
      </c>
      <c r="AC2735" s="16" t="str">
        <f t="shared" si="126"/>
        <v/>
      </c>
      <c r="AD2735" s="17">
        <f t="shared" si="127"/>
        <v>44552</v>
      </c>
      <c r="AE2735" s="17">
        <f t="shared" si="128"/>
        <v>0</v>
      </c>
      <c r="AF2735" s="10" t="s">
        <v>6562</v>
      </c>
      <c r="AG2735" s="5" t="s">
        <v>2952</v>
      </c>
      <c r="AH2735" s="5" t="s">
        <v>6546</v>
      </c>
      <c r="AI2735" s="5" t="s">
        <v>6560</v>
      </c>
    </row>
    <row r="2736" spans="1:35" ht="10" customHeight="1" x14ac:dyDescent="0.2">
      <c r="A2736" s="5" t="s">
        <v>6461</v>
      </c>
      <c r="B2736" s="5" t="s">
        <v>45</v>
      </c>
      <c r="C2736" s="5" t="s">
        <v>6563</v>
      </c>
      <c r="D2736" s="5" t="s">
        <v>6564</v>
      </c>
      <c r="E2736" s="10" t="s">
        <v>48</v>
      </c>
      <c r="I2736" s="11">
        <v>4</v>
      </c>
      <c r="K2736" s="12"/>
      <c r="O2736" s="12"/>
      <c r="P2736" s="13">
        <v>367452</v>
      </c>
      <c r="Q2736" s="13">
        <v>362099</v>
      </c>
      <c r="S2736" s="13">
        <v>379908</v>
      </c>
      <c r="T2736" s="13">
        <v>0</v>
      </c>
      <c r="U2736" s="13">
        <v>379908</v>
      </c>
      <c r="Z2736" s="13">
        <v>701667</v>
      </c>
      <c r="AB2736" s="13">
        <v>701667</v>
      </c>
      <c r="AC2736" s="16" t="str">
        <f t="shared" si="126"/>
        <v>ADD</v>
      </c>
      <c r="AD2736" s="17">
        <f t="shared" si="127"/>
        <v>379908</v>
      </c>
      <c r="AE2736" s="17">
        <f t="shared" si="128"/>
        <v>701667</v>
      </c>
      <c r="AF2736" s="10" t="s">
        <v>6565</v>
      </c>
      <c r="AG2736" s="5" t="s">
        <v>3001</v>
      </c>
      <c r="AH2736" s="5" t="s">
        <v>6563</v>
      </c>
      <c r="AI2736" s="5" t="s">
        <v>6564</v>
      </c>
    </row>
    <row r="2737" spans="1:35" ht="10" customHeight="1" x14ac:dyDescent="0.2">
      <c r="A2737" s="5" t="s">
        <v>6461</v>
      </c>
      <c r="B2737" s="5" t="s">
        <v>45</v>
      </c>
      <c r="D2737" s="5" t="s">
        <v>6566</v>
      </c>
      <c r="E2737" s="10" t="s">
        <v>57</v>
      </c>
      <c r="F2737" s="5" t="s">
        <v>6567</v>
      </c>
      <c r="I2737" s="11">
        <v>4</v>
      </c>
      <c r="K2737" s="12"/>
      <c r="O2737" s="12"/>
      <c r="P2737" s="13">
        <v>143451</v>
      </c>
      <c r="Q2737" s="13">
        <v>72055</v>
      </c>
      <c r="S2737" s="13">
        <v>61161</v>
      </c>
      <c r="AC2737" s="16" t="str">
        <f t="shared" si="126"/>
        <v/>
      </c>
      <c r="AD2737" s="17">
        <f t="shared" si="127"/>
        <v>61161</v>
      </c>
      <c r="AE2737" s="17">
        <f t="shared" si="128"/>
        <v>0</v>
      </c>
      <c r="AF2737" s="10" t="s">
        <v>6568</v>
      </c>
      <c r="AG2737" s="5" t="s">
        <v>6569</v>
      </c>
      <c r="AH2737" s="5" t="s">
        <v>6563</v>
      </c>
    </row>
    <row r="2738" spans="1:35" ht="10" customHeight="1" x14ac:dyDescent="0.2">
      <c r="A2738" s="5" t="s">
        <v>6461</v>
      </c>
      <c r="B2738" s="5" t="s">
        <v>45</v>
      </c>
      <c r="D2738" s="5" t="s">
        <v>6570</v>
      </c>
      <c r="E2738" s="10" t="s">
        <v>57</v>
      </c>
      <c r="F2738" s="5" t="s">
        <v>6567</v>
      </c>
      <c r="I2738" s="11">
        <v>4</v>
      </c>
      <c r="K2738" s="12"/>
      <c r="O2738" s="12"/>
      <c r="P2738" s="13">
        <v>12109</v>
      </c>
      <c r="Q2738" s="13">
        <v>8831</v>
      </c>
      <c r="S2738" s="13">
        <v>9918</v>
      </c>
      <c r="AC2738" s="16" t="str">
        <f t="shared" si="126"/>
        <v/>
      </c>
      <c r="AD2738" s="17">
        <f t="shared" si="127"/>
        <v>9918</v>
      </c>
      <c r="AE2738" s="17">
        <f t="shared" si="128"/>
        <v>0</v>
      </c>
      <c r="AF2738" s="10" t="s">
        <v>6571</v>
      </c>
      <c r="AG2738" s="5" t="s">
        <v>6572</v>
      </c>
      <c r="AH2738" s="5" t="s">
        <v>6563</v>
      </c>
      <c r="AI2738" s="5" t="s">
        <v>6573</v>
      </c>
    </row>
    <row r="2739" spans="1:35" ht="10" customHeight="1" x14ac:dyDescent="0.2">
      <c r="A2739" s="5" t="s">
        <v>6461</v>
      </c>
      <c r="B2739" s="5" t="s">
        <v>45</v>
      </c>
      <c r="D2739" s="5" t="s">
        <v>6574</v>
      </c>
      <c r="E2739" s="10" t="s">
        <v>57</v>
      </c>
      <c r="F2739" s="5" t="s">
        <v>6567</v>
      </c>
      <c r="I2739" s="11">
        <v>4</v>
      </c>
      <c r="K2739" s="12"/>
      <c r="O2739" s="12"/>
      <c r="P2739" s="13">
        <v>0</v>
      </c>
      <c r="Q2739" s="13">
        <v>159913</v>
      </c>
      <c r="S2739" s="13">
        <v>164055</v>
      </c>
      <c r="AC2739" s="16" t="str">
        <f t="shared" si="126"/>
        <v/>
      </c>
      <c r="AD2739" s="17">
        <f t="shared" si="127"/>
        <v>164055</v>
      </c>
      <c r="AE2739" s="17">
        <f t="shared" si="128"/>
        <v>0</v>
      </c>
      <c r="AF2739" s="10" t="s">
        <v>6575</v>
      </c>
      <c r="AG2739" s="5" t="s">
        <v>3364</v>
      </c>
      <c r="AH2739" s="5" t="s">
        <v>6563</v>
      </c>
      <c r="AI2739" s="5" t="s">
        <v>1490</v>
      </c>
    </row>
    <row r="2740" spans="1:35" ht="10" customHeight="1" x14ac:dyDescent="0.2">
      <c r="A2740" s="5" t="s">
        <v>6461</v>
      </c>
      <c r="B2740" s="5" t="s">
        <v>45</v>
      </c>
      <c r="D2740" s="5" t="s">
        <v>6576</v>
      </c>
      <c r="E2740" s="10" t="s">
        <v>57</v>
      </c>
      <c r="F2740" s="5" t="s">
        <v>6567</v>
      </c>
      <c r="I2740" s="11">
        <v>4</v>
      </c>
      <c r="K2740" s="12"/>
      <c r="O2740" s="12"/>
      <c r="AC2740" s="16" t="str">
        <f t="shared" si="126"/>
        <v/>
      </c>
      <c r="AD2740" s="17">
        <f t="shared" si="127"/>
        <v>0</v>
      </c>
      <c r="AE2740" s="17">
        <f t="shared" si="128"/>
        <v>0</v>
      </c>
      <c r="AF2740" s="10" t="s">
        <v>6577</v>
      </c>
      <c r="AG2740" s="5" t="s">
        <v>3013</v>
      </c>
      <c r="AH2740" s="5" t="s">
        <v>6563</v>
      </c>
    </row>
    <row r="2741" spans="1:35" ht="10" customHeight="1" x14ac:dyDescent="0.2">
      <c r="A2741" s="5" t="s">
        <v>6461</v>
      </c>
      <c r="B2741" s="5" t="s">
        <v>45</v>
      </c>
      <c r="C2741" s="5" t="s">
        <v>6578</v>
      </c>
      <c r="D2741" s="5" t="s">
        <v>6579</v>
      </c>
      <c r="E2741" s="12"/>
      <c r="I2741" s="11">
        <v>4</v>
      </c>
      <c r="K2741" s="12"/>
      <c r="O2741" s="12"/>
      <c r="P2741" s="13">
        <v>4079</v>
      </c>
      <c r="Q2741" s="13">
        <v>4680</v>
      </c>
      <c r="S2741" s="13">
        <v>13008</v>
      </c>
      <c r="T2741" s="13">
        <v>0</v>
      </c>
      <c r="U2741" s="13">
        <v>13008</v>
      </c>
      <c r="Z2741" s="13">
        <v>8652</v>
      </c>
      <c r="AB2741" s="13">
        <v>8652</v>
      </c>
      <c r="AC2741" s="16" t="str">
        <f t="shared" si="126"/>
        <v>ADD</v>
      </c>
      <c r="AD2741" s="17">
        <f t="shared" si="127"/>
        <v>13008</v>
      </c>
      <c r="AE2741" s="17">
        <f t="shared" si="128"/>
        <v>8652</v>
      </c>
      <c r="AF2741" s="10" t="s">
        <v>6580</v>
      </c>
      <c r="AG2741" s="5" t="s">
        <v>3446</v>
      </c>
      <c r="AH2741" s="5" t="s">
        <v>6578</v>
      </c>
      <c r="AI2741" s="5" t="s">
        <v>6581</v>
      </c>
    </row>
    <row r="2742" spans="1:35" ht="10" customHeight="1" x14ac:dyDescent="0.2">
      <c r="A2742" s="5" t="s">
        <v>6461</v>
      </c>
      <c r="B2742" s="5" t="s">
        <v>45</v>
      </c>
      <c r="C2742" s="5" t="s">
        <v>6582</v>
      </c>
      <c r="D2742" s="5" t="s">
        <v>6583</v>
      </c>
      <c r="E2742" s="10" t="s">
        <v>48</v>
      </c>
      <c r="I2742" s="11">
        <v>4</v>
      </c>
      <c r="K2742" s="12"/>
      <c r="O2742" s="12"/>
      <c r="P2742" s="13">
        <v>37652</v>
      </c>
      <c r="Q2742" s="13">
        <v>26644</v>
      </c>
      <c r="S2742" s="13">
        <v>26648</v>
      </c>
      <c r="T2742" s="13">
        <v>0</v>
      </c>
      <c r="U2742" s="13">
        <v>26648</v>
      </c>
      <c r="Z2742" s="13">
        <v>33932</v>
      </c>
      <c r="AB2742" s="13">
        <v>33932</v>
      </c>
      <c r="AC2742" s="16" t="str">
        <f t="shared" si="126"/>
        <v>ADD</v>
      </c>
      <c r="AD2742" s="17">
        <f t="shared" si="127"/>
        <v>26648</v>
      </c>
      <c r="AE2742" s="17">
        <f t="shared" si="128"/>
        <v>33932</v>
      </c>
      <c r="AF2742" s="10" t="s">
        <v>6584</v>
      </c>
      <c r="AG2742" s="5" t="s">
        <v>152</v>
      </c>
      <c r="AH2742" s="5" t="s">
        <v>6582</v>
      </c>
    </row>
    <row r="2743" spans="1:35" ht="10" customHeight="1" x14ac:dyDescent="0.2">
      <c r="A2743" s="5" t="s">
        <v>6461</v>
      </c>
      <c r="B2743" s="5" t="s">
        <v>45</v>
      </c>
      <c r="C2743" s="5" t="s">
        <v>6585</v>
      </c>
      <c r="D2743" s="5" t="s">
        <v>6586</v>
      </c>
      <c r="E2743" s="12"/>
      <c r="I2743" s="11">
        <v>6</v>
      </c>
      <c r="K2743" s="12"/>
      <c r="O2743" s="12"/>
      <c r="P2743" s="13">
        <v>14105</v>
      </c>
      <c r="Q2743" s="13">
        <v>13614</v>
      </c>
      <c r="S2743" s="13">
        <v>7972</v>
      </c>
      <c r="T2743" s="13">
        <v>0</v>
      </c>
      <c r="U2743" s="13">
        <v>7972</v>
      </c>
      <c r="Z2743" s="13">
        <v>10108</v>
      </c>
      <c r="AB2743" s="13">
        <v>10108</v>
      </c>
      <c r="AC2743" s="16" t="str">
        <f t="shared" si="126"/>
        <v>ADD</v>
      </c>
      <c r="AD2743" s="17">
        <f t="shared" si="127"/>
        <v>7972</v>
      </c>
      <c r="AE2743" s="17">
        <f t="shared" si="128"/>
        <v>10108</v>
      </c>
      <c r="AF2743" s="10" t="s">
        <v>6587</v>
      </c>
      <c r="AG2743" s="5" t="s">
        <v>3683</v>
      </c>
      <c r="AH2743" s="5" t="s">
        <v>6585</v>
      </c>
    </row>
    <row r="2744" spans="1:35" ht="10" customHeight="1" x14ac:dyDescent="0.2">
      <c r="A2744" s="5" t="s">
        <v>6461</v>
      </c>
      <c r="B2744" s="5" t="s">
        <v>45</v>
      </c>
      <c r="C2744" s="5" t="s">
        <v>6588</v>
      </c>
      <c r="D2744" s="5" t="s">
        <v>6589</v>
      </c>
      <c r="E2744" s="12"/>
      <c r="I2744" s="11">
        <v>4</v>
      </c>
      <c r="K2744" s="12"/>
      <c r="O2744" s="12"/>
      <c r="P2744" s="13">
        <v>50115</v>
      </c>
      <c r="Q2744" s="13">
        <v>68458</v>
      </c>
      <c r="S2744" s="13">
        <v>58739</v>
      </c>
      <c r="T2744" s="13">
        <v>0</v>
      </c>
      <c r="U2744" s="13">
        <v>58739</v>
      </c>
      <c r="Z2744" s="13">
        <v>52758</v>
      </c>
      <c r="AB2744" s="13">
        <v>52758</v>
      </c>
      <c r="AC2744" s="16" t="str">
        <f t="shared" si="126"/>
        <v>ADD</v>
      </c>
      <c r="AD2744" s="17">
        <f t="shared" si="127"/>
        <v>58739</v>
      </c>
      <c r="AE2744" s="17">
        <f t="shared" si="128"/>
        <v>52758</v>
      </c>
      <c r="AF2744" s="10" t="s">
        <v>6590</v>
      </c>
      <c r="AG2744" s="5" t="s">
        <v>3919</v>
      </c>
      <c r="AH2744" s="5" t="s">
        <v>6588</v>
      </c>
      <c r="AI2744" s="5" t="s">
        <v>6591</v>
      </c>
    </row>
    <row r="2745" spans="1:35" ht="10" customHeight="1" x14ac:dyDescent="0.2">
      <c r="A2745" s="5" t="s">
        <v>6461</v>
      </c>
      <c r="B2745" s="5" t="s">
        <v>45</v>
      </c>
      <c r="C2745" s="5" t="s">
        <v>6592</v>
      </c>
      <c r="D2745" s="5" t="s">
        <v>6593</v>
      </c>
      <c r="E2745" s="12"/>
      <c r="I2745" s="11">
        <v>4</v>
      </c>
      <c r="K2745" s="12"/>
      <c r="O2745" s="12"/>
      <c r="P2745" s="13">
        <v>3915</v>
      </c>
      <c r="Q2745" s="13">
        <v>3645</v>
      </c>
      <c r="S2745" s="13">
        <v>3489</v>
      </c>
      <c r="T2745" s="13">
        <v>0</v>
      </c>
      <c r="U2745" s="13">
        <v>3489</v>
      </c>
      <c r="Z2745" s="13">
        <v>16167</v>
      </c>
      <c r="AB2745" s="13">
        <v>16167</v>
      </c>
      <c r="AC2745" s="16" t="str">
        <f t="shared" si="126"/>
        <v>ADD</v>
      </c>
      <c r="AD2745" s="17">
        <f t="shared" si="127"/>
        <v>3489</v>
      </c>
      <c r="AE2745" s="17">
        <f t="shared" si="128"/>
        <v>16167</v>
      </c>
      <c r="AF2745" s="10" t="s">
        <v>6594</v>
      </c>
      <c r="AG2745" s="5" t="s">
        <v>178</v>
      </c>
      <c r="AH2745" s="5" t="s">
        <v>6592</v>
      </c>
      <c r="AI2745" s="5" t="s">
        <v>6593</v>
      </c>
    </row>
    <row r="2746" spans="1:35" ht="10" customHeight="1" x14ac:dyDescent="0.2">
      <c r="A2746" s="5" t="s">
        <v>6461</v>
      </c>
      <c r="B2746" s="5" t="s">
        <v>45</v>
      </c>
      <c r="C2746" s="5" t="s">
        <v>6595</v>
      </c>
      <c r="D2746" s="5" t="s">
        <v>6596</v>
      </c>
      <c r="E2746" s="12"/>
      <c r="I2746" s="11">
        <v>4</v>
      </c>
      <c r="K2746" s="12"/>
      <c r="O2746" s="12"/>
      <c r="P2746" s="13">
        <v>16803</v>
      </c>
      <c r="Q2746" s="13">
        <v>16812</v>
      </c>
      <c r="S2746" s="13">
        <v>16426</v>
      </c>
      <c r="T2746" s="13">
        <v>0</v>
      </c>
      <c r="U2746" s="13">
        <v>16426</v>
      </c>
      <c r="Z2746" s="13">
        <v>14879</v>
      </c>
      <c r="AB2746" s="13">
        <v>14879</v>
      </c>
      <c r="AC2746" s="16" t="str">
        <f t="shared" si="126"/>
        <v>ADD</v>
      </c>
      <c r="AD2746" s="17">
        <f t="shared" si="127"/>
        <v>16426</v>
      </c>
      <c r="AE2746" s="17">
        <f t="shared" si="128"/>
        <v>14879</v>
      </c>
      <c r="AF2746" s="10" t="s">
        <v>6597</v>
      </c>
      <c r="AG2746" s="5" t="s">
        <v>4086</v>
      </c>
      <c r="AH2746" s="5" t="s">
        <v>6595</v>
      </c>
      <c r="AI2746" s="5" t="s">
        <v>6598</v>
      </c>
    </row>
    <row r="2747" spans="1:35" ht="10" customHeight="1" x14ac:dyDescent="0.2">
      <c r="A2747" s="5" t="s">
        <v>6461</v>
      </c>
      <c r="B2747" s="5" t="s">
        <v>45</v>
      </c>
      <c r="C2747" s="5" t="s">
        <v>6599</v>
      </c>
      <c r="D2747" s="5" t="s">
        <v>6600</v>
      </c>
      <c r="E2747" s="12"/>
      <c r="I2747" s="11">
        <v>4</v>
      </c>
      <c r="K2747" s="12"/>
      <c r="O2747" s="12"/>
      <c r="P2747" s="13">
        <v>37294</v>
      </c>
      <c r="Q2747" s="13">
        <v>37964</v>
      </c>
      <c r="S2747" s="13">
        <v>45701</v>
      </c>
      <c r="T2747" s="13">
        <v>0</v>
      </c>
      <c r="U2747" s="13">
        <v>45701</v>
      </c>
      <c r="Z2747" s="13">
        <v>43097</v>
      </c>
      <c r="AB2747" s="13">
        <v>43097</v>
      </c>
      <c r="AC2747" s="16" t="str">
        <f t="shared" si="126"/>
        <v>ADD</v>
      </c>
      <c r="AD2747" s="17">
        <f t="shared" si="127"/>
        <v>45701</v>
      </c>
      <c r="AE2747" s="17">
        <f t="shared" si="128"/>
        <v>43097</v>
      </c>
      <c r="AF2747" s="10" t="s">
        <v>6601</v>
      </c>
      <c r="AG2747" s="5" t="s">
        <v>4098</v>
      </c>
      <c r="AH2747" s="5" t="s">
        <v>6599</v>
      </c>
      <c r="AI2747" s="5" t="s">
        <v>6600</v>
      </c>
    </row>
    <row r="2748" spans="1:35" ht="10" customHeight="1" x14ac:dyDescent="0.2">
      <c r="A2748" s="5" t="s">
        <v>6461</v>
      </c>
      <c r="B2748" s="5" t="s">
        <v>45</v>
      </c>
      <c r="C2748" s="5" t="s">
        <v>6602</v>
      </c>
      <c r="D2748" s="5" t="s">
        <v>6603</v>
      </c>
      <c r="E2748" s="12"/>
      <c r="I2748" s="11">
        <v>4</v>
      </c>
      <c r="K2748" s="12"/>
      <c r="O2748" s="12"/>
      <c r="P2748" s="13">
        <v>2748</v>
      </c>
      <c r="Q2748" s="13">
        <v>3803</v>
      </c>
      <c r="S2748" s="13">
        <v>304</v>
      </c>
      <c r="T2748" s="13">
        <v>0</v>
      </c>
      <c r="U2748" s="13">
        <v>304</v>
      </c>
      <c r="Z2748" s="13">
        <v>289</v>
      </c>
      <c r="AB2748" s="13">
        <v>289</v>
      </c>
      <c r="AC2748" s="16" t="str">
        <f t="shared" si="126"/>
        <v>ADD</v>
      </c>
      <c r="AD2748" s="17">
        <f t="shared" si="127"/>
        <v>304</v>
      </c>
      <c r="AE2748" s="17">
        <f t="shared" si="128"/>
        <v>289</v>
      </c>
      <c r="AF2748" s="10" t="s">
        <v>6604</v>
      </c>
      <c r="AG2748" s="5" t="s">
        <v>4194</v>
      </c>
      <c r="AH2748" s="5" t="s">
        <v>6602</v>
      </c>
      <c r="AI2748" s="5" t="s">
        <v>6603</v>
      </c>
    </row>
    <row r="2749" spans="1:35" ht="10" customHeight="1" x14ac:dyDescent="0.2">
      <c r="A2749" s="5" t="s">
        <v>6461</v>
      </c>
      <c r="B2749" s="5" t="s">
        <v>45</v>
      </c>
      <c r="C2749" s="5" t="s">
        <v>6605</v>
      </c>
      <c r="D2749" s="5" t="s">
        <v>6347</v>
      </c>
      <c r="E2749" s="10" t="s">
        <v>349</v>
      </c>
      <c r="F2749" s="5" t="s">
        <v>6606</v>
      </c>
      <c r="I2749" s="11">
        <v>4</v>
      </c>
      <c r="K2749" s="10" t="s">
        <v>50</v>
      </c>
      <c r="L2749" s="5" t="s">
        <v>51</v>
      </c>
      <c r="M2749" s="5" t="s">
        <v>52</v>
      </c>
      <c r="N2749" s="5" t="s">
        <v>4752</v>
      </c>
      <c r="O2749" s="12"/>
      <c r="P2749" s="13">
        <v>6433</v>
      </c>
      <c r="Q2749" s="13">
        <v>0</v>
      </c>
      <c r="S2749" s="13">
        <v>0</v>
      </c>
      <c r="T2749" s="13">
        <v>0</v>
      </c>
      <c r="U2749" s="13">
        <v>0</v>
      </c>
      <c r="AC2749" s="16" t="str">
        <f t="shared" si="126"/>
        <v>ALT</v>
      </c>
      <c r="AD2749" s="17">
        <f t="shared" si="127"/>
        <v>0</v>
      </c>
      <c r="AE2749" s="17">
        <f t="shared" si="128"/>
        <v>0</v>
      </c>
      <c r="AF2749" s="10" t="s">
        <v>6607</v>
      </c>
      <c r="AG2749" s="5" t="s">
        <v>229</v>
      </c>
      <c r="AH2749" s="5" t="s">
        <v>6605</v>
      </c>
      <c r="AI2749" s="5" t="s">
        <v>6608</v>
      </c>
    </row>
    <row r="2750" spans="1:35" ht="10" customHeight="1" x14ac:dyDescent="0.2">
      <c r="A2750" s="5" t="s">
        <v>6461</v>
      </c>
      <c r="B2750" s="5" t="s">
        <v>45</v>
      </c>
      <c r="C2750" s="5" t="s">
        <v>6609</v>
      </c>
      <c r="D2750" s="5" t="s">
        <v>6610</v>
      </c>
      <c r="E2750" s="12"/>
      <c r="I2750" s="11">
        <v>4</v>
      </c>
      <c r="K2750" s="12"/>
      <c r="O2750" s="12"/>
      <c r="P2750" s="13">
        <v>88114</v>
      </c>
      <c r="Q2750" s="13">
        <v>90586</v>
      </c>
      <c r="S2750" s="13">
        <v>97262</v>
      </c>
      <c r="T2750" s="13">
        <v>0</v>
      </c>
      <c r="U2750" s="13">
        <v>97262</v>
      </c>
      <c r="Z2750" s="13">
        <v>83057</v>
      </c>
      <c r="AB2750" s="13">
        <v>83057</v>
      </c>
      <c r="AC2750" s="16" t="str">
        <f t="shared" si="126"/>
        <v>ADD</v>
      </c>
      <c r="AD2750" s="17">
        <f t="shared" si="127"/>
        <v>97262</v>
      </c>
      <c r="AE2750" s="17">
        <f t="shared" si="128"/>
        <v>83057</v>
      </c>
      <c r="AF2750" s="10" t="s">
        <v>6611</v>
      </c>
      <c r="AG2750" s="5" t="s">
        <v>236</v>
      </c>
      <c r="AH2750" s="5" t="s">
        <v>6609</v>
      </c>
    </row>
    <row r="2751" spans="1:35" ht="10" customHeight="1" x14ac:dyDescent="0.2">
      <c r="A2751" s="5" t="s">
        <v>6461</v>
      </c>
      <c r="B2751" s="5" t="s">
        <v>45</v>
      </c>
      <c r="C2751" s="5" t="s">
        <v>6612</v>
      </c>
      <c r="D2751" s="5" t="s">
        <v>6613</v>
      </c>
      <c r="E2751" s="10" t="s">
        <v>48</v>
      </c>
      <c r="I2751" s="11">
        <v>4</v>
      </c>
      <c r="K2751" s="12"/>
      <c r="O2751" s="12"/>
      <c r="P2751" s="13">
        <v>88309</v>
      </c>
      <c r="Q2751" s="13">
        <v>75508</v>
      </c>
      <c r="S2751" s="13">
        <v>72104</v>
      </c>
      <c r="T2751" s="13">
        <v>0</v>
      </c>
      <c r="U2751" s="13">
        <v>72104</v>
      </c>
      <c r="Z2751" s="13">
        <v>62581</v>
      </c>
      <c r="AB2751" s="13">
        <v>62581</v>
      </c>
      <c r="AC2751" s="16" t="str">
        <f t="shared" si="126"/>
        <v>ADD</v>
      </c>
      <c r="AD2751" s="17">
        <f t="shared" si="127"/>
        <v>72104</v>
      </c>
      <c r="AE2751" s="17">
        <f t="shared" si="128"/>
        <v>62581</v>
      </c>
      <c r="AF2751" s="10" t="s">
        <v>6614</v>
      </c>
      <c r="AG2751" s="5" t="s">
        <v>6615</v>
      </c>
      <c r="AH2751" s="5" t="s">
        <v>6612</v>
      </c>
    </row>
    <row r="2752" spans="1:35" ht="10" customHeight="1" x14ac:dyDescent="0.2">
      <c r="A2752" s="5" t="s">
        <v>6461</v>
      </c>
      <c r="B2752" s="5" t="s">
        <v>45</v>
      </c>
      <c r="D2752" s="5" t="s">
        <v>6616</v>
      </c>
      <c r="E2752" s="10" t="s">
        <v>57</v>
      </c>
      <c r="F2752" s="5" t="s">
        <v>6617</v>
      </c>
      <c r="I2752" s="11">
        <v>4</v>
      </c>
      <c r="K2752" s="12"/>
      <c r="O2752" s="12"/>
      <c r="P2752" s="13">
        <v>55806</v>
      </c>
      <c r="Q2752" s="13">
        <v>58751</v>
      </c>
      <c r="S2752" s="13">
        <v>44281</v>
      </c>
      <c r="AC2752" s="16" t="str">
        <f t="shared" si="126"/>
        <v/>
      </c>
      <c r="AD2752" s="17">
        <f t="shared" si="127"/>
        <v>44281</v>
      </c>
      <c r="AE2752" s="17">
        <f t="shared" si="128"/>
        <v>0</v>
      </c>
      <c r="AF2752" s="10" t="s">
        <v>6618</v>
      </c>
      <c r="AG2752" s="5" t="s">
        <v>6619</v>
      </c>
      <c r="AH2752" s="5" t="s">
        <v>6612</v>
      </c>
    </row>
    <row r="2753" spans="1:35" ht="10" customHeight="1" x14ac:dyDescent="0.2">
      <c r="A2753" s="5" t="s">
        <v>6461</v>
      </c>
      <c r="B2753" s="5" t="s">
        <v>45</v>
      </c>
      <c r="D2753" s="5" t="s">
        <v>6620</v>
      </c>
      <c r="E2753" s="10" t="s">
        <v>57</v>
      </c>
      <c r="F2753" s="5" t="s">
        <v>6617</v>
      </c>
      <c r="I2753" s="11">
        <v>4</v>
      </c>
      <c r="K2753" s="12"/>
      <c r="O2753" s="12"/>
      <c r="P2753" s="13">
        <v>12095</v>
      </c>
      <c r="Q2753" s="13">
        <v>1856</v>
      </c>
      <c r="S2753" s="13">
        <v>952</v>
      </c>
      <c r="AC2753" s="16" t="str">
        <f t="shared" si="126"/>
        <v/>
      </c>
      <c r="AD2753" s="17">
        <f t="shared" si="127"/>
        <v>952</v>
      </c>
      <c r="AE2753" s="17">
        <f t="shared" si="128"/>
        <v>0</v>
      </c>
      <c r="AF2753" s="10" t="s">
        <v>6621</v>
      </c>
      <c r="AG2753" s="5" t="s">
        <v>6358</v>
      </c>
      <c r="AH2753" s="5" t="s">
        <v>6612</v>
      </c>
    </row>
    <row r="2754" spans="1:35" ht="10" customHeight="1" x14ac:dyDescent="0.2">
      <c r="A2754" s="5" t="s">
        <v>6461</v>
      </c>
      <c r="B2754" s="5" t="s">
        <v>45</v>
      </c>
      <c r="C2754" s="5" t="s">
        <v>6622</v>
      </c>
      <c r="D2754" s="5" t="s">
        <v>6623</v>
      </c>
      <c r="E2754" s="10" t="s">
        <v>48</v>
      </c>
      <c r="I2754" s="11">
        <v>4</v>
      </c>
      <c r="K2754" s="12"/>
      <c r="O2754" s="12"/>
      <c r="P2754" s="13">
        <v>59195</v>
      </c>
      <c r="Q2754" s="13">
        <v>59602</v>
      </c>
      <c r="S2754" s="13">
        <v>52171</v>
      </c>
      <c r="T2754" s="13">
        <v>0</v>
      </c>
      <c r="U2754" s="13">
        <v>52171</v>
      </c>
      <c r="Z2754" s="13">
        <v>35620</v>
      </c>
      <c r="AB2754" s="13">
        <v>35620</v>
      </c>
      <c r="AC2754" s="16" t="str">
        <f t="shared" si="126"/>
        <v>ADD</v>
      </c>
      <c r="AD2754" s="17">
        <f t="shared" si="127"/>
        <v>52171</v>
      </c>
      <c r="AE2754" s="17">
        <f t="shared" si="128"/>
        <v>35620</v>
      </c>
      <c r="AF2754" s="10" t="s">
        <v>6624</v>
      </c>
      <c r="AG2754" s="5" t="s">
        <v>6365</v>
      </c>
      <c r="AH2754" s="5" t="s">
        <v>6622</v>
      </c>
    </row>
    <row r="2755" spans="1:35" ht="10" customHeight="1" x14ac:dyDescent="0.2">
      <c r="A2755" s="5" t="s">
        <v>6461</v>
      </c>
      <c r="B2755" s="5" t="s">
        <v>45</v>
      </c>
      <c r="D2755" s="5" t="s">
        <v>6625</v>
      </c>
      <c r="E2755" s="10" t="s">
        <v>57</v>
      </c>
      <c r="F2755" s="5" t="s">
        <v>6626</v>
      </c>
      <c r="I2755" s="11">
        <v>4</v>
      </c>
      <c r="K2755" s="12"/>
      <c r="O2755" s="12"/>
      <c r="P2755" s="13">
        <v>631</v>
      </c>
      <c r="Q2755" s="13">
        <v>781</v>
      </c>
      <c r="S2755" s="13">
        <v>0</v>
      </c>
      <c r="AC2755" s="16" t="str">
        <f t="shared" si="126"/>
        <v/>
      </c>
      <c r="AD2755" s="17">
        <f t="shared" si="127"/>
        <v>0</v>
      </c>
      <c r="AE2755" s="17">
        <f t="shared" si="128"/>
        <v>0</v>
      </c>
      <c r="AF2755" s="10" t="s">
        <v>6627</v>
      </c>
      <c r="AG2755" s="5" t="s">
        <v>6628</v>
      </c>
      <c r="AH2755" s="5" t="s">
        <v>6622</v>
      </c>
      <c r="AI2755" s="5" t="s">
        <v>6629</v>
      </c>
    </row>
    <row r="2756" spans="1:35" ht="10" customHeight="1" x14ac:dyDescent="0.2">
      <c r="A2756" s="5" t="s">
        <v>6461</v>
      </c>
      <c r="B2756" s="5" t="s">
        <v>45</v>
      </c>
      <c r="D2756" s="5" t="s">
        <v>6630</v>
      </c>
      <c r="E2756" s="10" t="s">
        <v>57</v>
      </c>
      <c r="F2756" s="5" t="s">
        <v>6626</v>
      </c>
      <c r="I2756" s="11">
        <v>4</v>
      </c>
      <c r="K2756" s="10" t="s">
        <v>50</v>
      </c>
      <c r="L2756" s="5" t="s">
        <v>51</v>
      </c>
      <c r="M2756" s="5" t="s">
        <v>119</v>
      </c>
      <c r="N2756" s="5" t="s">
        <v>4959</v>
      </c>
      <c r="O2756" s="12"/>
      <c r="P2756" s="13">
        <v>5111</v>
      </c>
      <c r="Q2756" s="13">
        <v>3336</v>
      </c>
      <c r="S2756" s="13">
        <v>3761</v>
      </c>
      <c r="AC2756" s="16" t="str">
        <f t="shared" si="126"/>
        <v/>
      </c>
      <c r="AD2756" s="17">
        <f t="shared" si="127"/>
        <v>3761</v>
      </c>
      <c r="AE2756" s="17">
        <f t="shared" si="128"/>
        <v>0</v>
      </c>
      <c r="AF2756" s="10" t="s">
        <v>6631</v>
      </c>
      <c r="AG2756" s="5" t="s">
        <v>6371</v>
      </c>
      <c r="AH2756" s="5" t="s">
        <v>6622</v>
      </c>
      <c r="AI2756" s="5" t="s">
        <v>6632</v>
      </c>
    </row>
    <row r="2757" spans="1:35" ht="10" customHeight="1" x14ac:dyDescent="0.2">
      <c r="A2757" s="5" t="s">
        <v>6461</v>
      </c>
      <c r="B2757" s="5" t="s">
        <v>45</v>
      </c>
      <c r="D2757" s="5" t="s">
        <v>6633</v>
      </c>
      <c r="E2757" s="10" t="s">
        <v>57</v>
      </c>
      <c r="F2757" s="5" t="s">
        <v>6626</v>
      </c>
      <c r="I2757" s="11">
        <v>4</v>
      </c>
      <c r="K2757" s="10" t="s">
        <v>50</v>
      </c>
      <c r="L2757" s="5" t="s">
        <v>51</v>
      </c>
      <c r="M2757" s="5" t="s">
        <v>119</v>
      </c>
      <c r="N2757" s="5" t="s">
        <v>120</v>
      </c>
      <c r="O2757" s="12"/>
      <c r="P2757" s="13">
        <v>700</v>
      </c>
      <c r="Q2757" s="13">
        <v>800</v>
      </c>
      <c r="S2757" s="13">
        <v>380</v>
      </c>
      <c r="AC2757" s="16" t="str">
        <f t="shared" si="126"/>
        <v/>
      </c>
      <c r="AD2757" s="17">
        <f t="shared" si="127"/>
        <v>380</v>
      </c>
      <c r="AE2757" s="17">
        <f t="shared" si="128"/>
        <v>0</v>
      </c>
      <c r="AF2757" s="10" t="s">
        <v>6634</v>
      </c>
      <c r="AG2757" s="5" t="s">
        <v>6635</v>
      </c>
      <c r="AH2757" s="5" t="s">
        <v>6622</v>
      </c>
    </row>
    <row r="2758" spans="1:35" ht="10" customHeight="1" x14ac:dyDescent="0.2">
      <c r="A2758" s="5" t="s">
        <v>6461</v>
      </c>
      <c r="B2758" s="5" t="s">
        <v>45</v>
      </c>
      <c r="C2758" s="5" t="s">
        <v>6636</v>
      </c>
      <c r="D2758" s="5" t="s">
        <v>6637</v>
      </c>
      <c r="E2758" s="12"/>
      <c r="I2758" s="11">
        <v>4</v>
      </c>
      <c r="K2758" s="12"/>
      <c r="O2758" s="12"/>
      <c r="P2758" s="13">
        <v>3341</v>
      </c>
      <c r="Q2758" s="13">
        <v>7287</v>
      </c>
      <c r="S2758" s="13">
        <v>5105</v>
      </c>
      <c r="T2758" s="13">
        <v>0</v>
      </c>
      <c r="U2758" s="13">
        <v>5105</v>
      </c>
      <c r="Z2758" s="13">
        <v>2976</v>
      </c>
      <c r="AB2758" s="13">
        <v>2976</v>
      </c>
      <c r="AC2758" s="16"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6638</v>
      </c>
      <c r="AG2758" s="5" t="s">
        <v>6639</v>
      </c>
      <c r="AH2758" s="5" t="s">
        <v>6636</v>
      </c>
      <c r="AI2758" s="5" t="s">
        <v>6640</v>
      </c>
    </row>
    <row r="2759" spans="1:35" ht="10" customHeight="1" x14ac:dyDescent="0.2">
      <c r="A2759" s="5" t="s">
        <v>6461</v>
      </c>
      <c r="B2759" s="5" t="s">
        <v>45</v>
      </c>
      <c r="C2759" s="5" t="s">
        <v>6641</v>
      </c>
      <c r="D2759" s="5" t="s">
        <v>6642</v>
      </c>
      <c r="E2759" s="12"/>
      <c r="I2759" s="11">
        <v>4</v>
      </c>
      <c r="K2759" s="12"/>
      <c r="O2759" s="12"/>
      <c r="P2759" s="13">
        <v>34724</v>
      </c>
      <c r="Q2759" s="13">
        <v>42326</v>
      </c>
      <c r="S2759" s="13">
        <v>60058</v>
      </c>
      <c r="T2759" s="13">
        <v>0</v>
      </c>
      <c r="U2759" s="13">
        <v>60058</v>
      </c>
      <c r="Z2759" s="13">
        <v>54487</v>
      </c>
      <c r="AB2759" s="13">
        <v>54487</v>
      </c>
      <c r="AC2759" s="16" t="str">
        <f t="shared" si="129"/>
        <v>ADD</v>
      </c>
      <c r="AD2759" s="17">
        <f t="shared" si="130"/>
        <v>60058</v>
      </c>
      <c r="AE2759" s="17">
        <f t="shared" si="131"/>
        <v>54487</v>
      </c>
      <c r="AF2759" s="10" t="s">
        <v>6643</v>
      </c>
      <c r="AG2759" s="5" t="s">
        <v>6644</v>
      </c>
      <c r="AH2759" s="5" t="s">
        <v>6641</v>
      </c>
      <c r="AI2759" s="5" t="s">
        <v>6642</v>
      </c>
    </row>
    <row r="2760" spans="1:35" ht="10" customHeight="1" x14ac:dyDescent="0.2">
      <c r="A2760" s="5" t="s">
        <v>6461</v>
      </c>
      <c r="B2760" s="5" t="s">
        <v>45</v>
      </c>
      <c r="C2760" s="5" t="s">
        <v>6645</v>
      </c>
      <c r="D2760" s="5" t="s">
        <v>6646</v>
      </c>
      <c r="E2760" s="10" t="s">
        <v>349</v>
      </c>
      <c r="F2760" s="5" t="s">
        <v>6647</v>
      </c>
      <c r="I2760" s="11">
        <v>4</v>
      </c>
      <c r="K2760" s="12"/>
      <c r="O2760" s="12"/>
      <c r="P2760" s="13">
        <v>7905</v>
      </c>
      <c r="Q2760" s="13">
        <v>7809</v>
      </c>
      <c r="S2760" s="13">
        <v>0</v>
      </c>
      <c r="T2760" s="13">
        <v>0</v>
      </c>
      <c r="U2760" s="13">
        <v>0</v>
      </c>
      <c r="AC2760" s="16" t="str">
        <f t="shared" si="129"/>
        <v>ALT</v>
      </c>
      <c r="AD2760" s="17">
        <f t="shared" si="130"/>
        <v>0</v>
      </c>
      <c r="AE2760" s="17">
        <f t="shared" si="131"/>
        <v>0</v>
      </c>
      <c r="AF2760" s="10" t="s">
        <v>6648</v>
      </c>
      <c r="AG2760" s="5" t="s">
        <v>6649</v>
      </c>
      <c r="AH2760" s="5" t="s">
        <v>6645</v>
      </c>
      <c r="AI2760" s="5" t="s">
        <v>6650</v>
      </c>
    </row>
    <row r="2761" spans="1:35" ht="10" customHeight="1" x14ac:dyDescent="0.2">
      <c r="A2761" s="5" t="s">
        <v>6461</v>
      </c>
      <c r="B2761" s="5" t="s">
        <v>45</v>
      </c>
      <c r="C2761" s="5" t="s">
        <v>6651</v>
      </c>
      <c r="D2761" s="5" t="s">
        <v>6652</v>
      </c>
      <c r="E2761" s="12"/>
      <c r="I2761" s="11">
        <v>4</v>
      </c>
      <c r="K2761" s="12"/>
      <c r="O2761" s="12"/>
      <c r="P2761" s="13">
        <v>51415</v>
      </c>
      <c r="Q2761" s="13">
        <v>65113</v>
      </c>
      <c r="S2761" s="13">
        <v>64901</v>
      </c>
      <c r="T2761" s="13">
        <v>0</v>
      </c>
      <c r="U2761" s="13">
        <v>64901</v>
      </c>
      <c r="Z2761" s="13">
        <v>48262</v>
      </c>
      <c r="AB2761" s="13">
        <v>48262</v>
      </c>
      <c r="AC2761" s="16" t="str">
        <f t="shared" si="129"/>
        <v>ADD</v>
      </c>
      <c r="AD2761" s="17">
        <f t="shared" si="130"/>
        <v>64901</v>
      </c>
      <c r="AE2761" s="17">
        <f t="shared" si="131"/>
        <v>48262</v>
      </c>
      <c r="AF2761" s="10" t="s">
        <v>6653</v>
      </c>
      <c r="AG2761" s="5" t="s">
        <v>6654</v>
      </c>
      <c r="AH2761" s="5" t="s">
        <v>6651</v>
      </c>
      <c r="AI2761" s="5" t="s">
        <v>6655</v>
      </c>
    </row>
    <row r="2762" spans="1:35" ht="10" customHeight="1" x14ac:dyDescent="0.2">
      <c r="A2762" s="5" t="s">
        <v>6461</v>
      </c>
      <c r="B2762" s="5" t="s">
        <v>45</v>
      </c>
      <c r="C2762" s="5" t="s">
        <v>6656</v>
      </c>
      <c r="D2762" s="5" t="s">
        <v>6657</v>
      </c>
      <c r="E2762" s="12"/>
      <c r="I2762" s="11">
        <v>4</v>
      </c>
      <c r="K2762" s="12"/>
      <c r="O2762" s="12"/>
      <c r="P2762" s="13">
        <v>16317</v>
      </c>
      <c r="Q2762" s="13">
        <v>16946</v>
      </c>
      <c r="S2762" s="13">
        <v>12112</v>
      </c>
      <c r="T2762" s="13">
        <v>0</v>
      </c>
      <c r="U2762" s="13">
        <v>12112</v>
      </c>
      <c r="Z2762" s="13">
        <v>11824</v>
      </c>
      <c r="AB2762" s="13">
        <v>11824</v>
      </c>
      <c r="AC2762" s="16" t="str">
        <f t="shared" si="129"/>
        <v>ADD</v>
      </c>
      <c r="AD2762" s="17">
        <f t="shared" si="130"/>
        <v>12112</v>
      </c>
      <c r="AE2762" s="17">
        <f t="shared" si="131"/>
        <v>11824</v>
      </c>
      <c r="AF2762" s="10" t="s">
        <v>6658</v>
      </c>
      <c r="AG2762" s="5" t="s">
        <v>6399</v>
      </c>
      <c r="AH2762" s="5" t="s">
        <v>6656</v>
      </c>
    </row>
    <row r="2763" spans="1:35" ht="10" customHeight="1" x14ac:dyDescent="0.2">
      <c r="A2763" s="5" t="s">
        <v>6461</v>
      </c>
      <c r="B2763" s="5" t="s">
        <v>45</v>
      </c>
      <c r="C2763" s="5" t="s">
        <v>6659</v>
      </c>
      <c r="D2763" s="5" t="s">
        <v>386</v>
      </c>
      <c r="E2763" s="10" t="s">
        <v>48</v>
      </c>
      <c r="I2763" s="11">
        <v>4</v>
      </c>
      <c r="K2763" s="12"/>
      <c r="O2763" s="12"/>
      <c r="P2763" s="13">
        <v>467278</v>
      </c>
      <c r="Q2763" s="13">
        <v>440207</v>
      </c>
      <c r="S2763" s="13">
        <v>534324</v>
      </c>
      <c r="T2763" s="13">
        <v>0</v>
      </c>
      <c r="U2763" s="13">
        <v>534324</v>
      </c>
      <c r="Z2763" s="13">
        <v>493046</v>
      </c>
      <c r="AB2763" s="13">
        <v>493046</v>
      </c>
      <c r="AC2763" s="16" t="str">
        <f t="shared" si="129"/>
        <v>ADD</v>
      </c>
      <c r="AD2763" s="17">
        <f t="shared" si="130"/>
        <v>534324</v>
      </c>
      <c r="AE2763" s="17">
        <f t="shared" si="131"/>
        <v>493046</v>
      </c>
      <c r="AF2763" s="10" t="s">
        <v>6660</v>
      </c>
      <c r="AG2763" s="5" t="s">
        <v>6661</v>
      </c>
      <c r="AH2763" s="5" t="s">
        <v>6659</v>
      </c>
    </row>
    <row r="2764" spans="1:35" ht="10" customHeight="1" x14ac:dyDescent="0.2">
      <c r="A2764" s="5" t="s">
        <v>6461</v>
      </c>
      <c r="B2764" s="5" t="s">
        <v>45</v>
      </c>
      <c r="C2764" s="5" t="s">
        <v>6662</v>
      </c>
      <c r="D2764" s="5" t="s">
        <v>3537</v>
      </c>
      <c r="E2764" s="12"/>
      <c r="I2764" s="11">
        <v>6</v>
      </c>
      <c r="K2764" s="12"/>
      <c r="O2764" s="12"/>
      <c r="P2764" s="13">
        <v>15903</v>
      </c>
      <c r="Q2764" s="13">
        <v>38688</v>
      </c>
      <c r="S2764" s="13">
        <v>31289</v>
      </c>
      <c r="T2764" s="13">
        <v>0</v>
      </c>
      <c r="U2764" s="13">
        <v>31289</v>
      </c>
      <c r="Z2764" s="13">
        <v>38000</v>
      </c>
      <c r="AB2764" s="13">
        <v>38000</v>
      </c>
      <c r="AC2764" s="16" t="str">
        <f t="shared" si="129"/>
        <v>ADD</v>
      </c>
      <c r="AD2764" s="17">
        <f t="shared" si="130"/>
        <v>31289</v>
      </c>
      <c r="AE2764" s="17">
        <f t="shared" si="131"/>
        <v>38000</v>
      </c>
      <c r="AF2764" s="10" t="s">
        <v>6663</v>
      </c>
      <c r="AG2764" s="5" t="s">
        <v>6411</v>
      </c>
      <c r="AH2764" s="5" t="s">
        <v>6662</v>
      </c>
    </row>
    <row r="2765" spans="1:35" ht="10" customHeight="1" x14ac:dyDescent="0.2">
      <c r="A2765" s="5" t="s">
        <v>6461</v>
      </c>
      <c r="B2765" s="5" t="s">
        <v>45</v>
      </c>
      <c r="C2765" s="5" t="s">
        <v>6664</v>
      </c>
      <c r="D2765" s="5" t="s">
        <v>6665</v>
      </c>
      <c r="E2765" s="12"/>
      <c r="I2765" s="11">
        <v>4</v>
      </c>
      <c r="K2765" s="12"/>
      <c r="O2765" s="12"/>
      <c r="P2765" s="13">
        <v>48175</v>
      </c>
      <c r="Q2765" s="13">
        <v>50654</v>
      </c>
      <c r="S2765" s="13">
        <v>46281</v>
      </c>
      <c r="T2765" s="13">
        <v>0</v>
      </c>
      <c r="U2765" s="13">
        <v>46281</v>
      </c>
      <c r="Z2765" s="13">
        <v>43028</v>
      </c>
      <c r="AB2765" s="13">
        <v>43028</v>
      </c>
      <c r="AC2765" s="16" t="str">
        <f t="shared" si="129"/>
        <v>ADD</v>
      </c>
      <c r="AD2765" s="17">
        <f t="shared" si="130"/>
        <v>46281</v>
      </c>
      <c r="AE2765" s="17">
        <f t="shared" si="131"/>
        <v>43028</v>
      </c>
      <c r="AF2765" s="10" t="s">
        <v>6666</v>
      </c>
      <c r="AG2765" s="5" t="s">
        <v>6667</v>
      </c>
      <c r="AH2765" s="5" t="s">
        <v>6664</v>
      </c>
      <c r="AI2765" s="5" t="s">
        <v>6665</v>
      </c>
    </row>
    <row r="2766" spans="1:35" ht="10" customHeight="1" x14ac:dyDescent="0.2">
      <c r="A2766" s="5" t="s">
        <v>6461</v>
      </c>
      <c r="B2766" s="5" t="s">
        <v>45</v>
      </c>
      <c r="C2766" s="5" t="s">
        <v>6668</v>
      </c>
      <c r="D2766" s="5" t="s">
        <v>6669</v>
      </c>
      <c r="E2766" s="12"/>
      <c r="I2766" s="11">
        <v>6</v>
      </c>
      <c r="K2766" s="12"/>
      <c r="O2766" s="12"/>
      <c r="P2766" s="13">
        <v>25744</v>
      </c>
      <c r="Q2766" s="13">
        <v>32005</v>
      </c>
      <c r="S2766" s="13">
        <v>33395</v>
      </c>
      <c r="T2766" s="13">
        <v>0</v>
      </c>
      <c r="U2766" s="13">
        <v>33395</v>
      </c>
      <c r="Z2766" s="13">
        <v>31462</v>
      </c>
      <c r="AB2766" s="13">
        <v>31462</v>
      </c>
      <c r="AC2766" s="16" t="str">
        <f t="shared" si="129"/>
        <v>ADD</v>
      </c>
      <c r="AD2766" s="17">
        <f t="shared" si="130"/>
        <v>33395</v>
      </c>
      <c r="AE2766" s="17">
        <f t="shared" si="131"/>
        <v>31462</v>
      </c>
      <c r="AF2766" s="10" t="s">
        <v>6670</v>
      </c>
      <c r="AG2766" s="5" t="s">
        <v>6671</v>
      </c>
      <c r="AH2766" s="5" t="s">
        <v>6668</v>
      </c>
    </row>
    <row r="2767" spans="1:35" ht="10" customHeight="1" x14ac:dyDescent="0.2">
      <c r="A2767" s="5" t="s">
        <v>6461</v>
      </c>
      <c r="B2767" s="5" t="s">
        <v>45</v>
      </c>
      <c r="C2767" s="5" t="s">
        <v>6672</v>
      </c>
      <c r="D2767" s="5" t="s">
        <v>6673</v>
      </c>
      <c r="E2767" s="12"/>
      <c r="I2767" s="11">
        <v>4</v>
      </c>
      <c r="K2767" s="12"/>
      <c r="O2767" s="12"/>
      <c r="P2767" s="13">
        <v>19757</v>
      </c>
      <c r="Q2767" s="13">
        <v>24361</v>
      </c>
      <c r="S2767" s="13">
        <v>13205</v>
      </c>
      <c r="T2767" s="13">
        <v>0</v>
      </c>
      <c r="U2767" s="13">
        <v>13205</v>
      </c>
      <c r="Z2767" s="13">
        <v>5822</v>
      </c>
      <c r="AB2767" s="13">
        <v>5822</v>
      </c>
      <c r="AC2767" s="16" t="str">
        <f t="shared" si="129"/>
        <v>ADD</v>
      </c>
      <c r="AD2767" s="17">
        <f t="shared" si="130"/>
        <v>13205</v>
      </c>
      <c r="AE2767" s="17">
        <f t="shared" si="131"/>
        <v>5822</v>
      </c>
      <c r="AF2767" s="10" t="s">
        <v>6674</v>
      </c>
      <c r="AG2767" s="5" t="s">
        <v>6675</v>
      </c>
      <c r="AH2767" s="5" t="s">
        <v>6672</v>
      </c>
      <c r="AI2767" s="5" t="s">
        <v>6676</v>
      </c>
    </row>
    <row r="2768" spans="1:35" ht="10" customHeight="1" x14ac:dyDescent="0.2">
      <c r="A2768" s="5" t="s">
        <v>6461</v>
      </c>
      <c r="B2768" s="5" t="s">
        <v>45</v>
      </c>
      <c r="C2768" s="5" t="s">
        <v>6677</v>
      </c>
      <c r="D2768" s="5" t="s">
        <v>6678</v>
      </c>
      <c r="E2768" s="12"/>
      <c r="I2768" s="11">
        <v>6</v>
      </c>
      <c r="K2768" s="12"/>
      <c r="O2768" s="12"/>
      <c r="P2768" s="13">
        <v>6641</v>
      </c>
      <c r="Q2768" s="13">
        <v>6709</v>
      </c>
      <c r="S2768" s="13">
        <v>11493</v>
      </c>
      <c r="T2768" s="13">
        <v>0</v>
      </c>
      <c r="U2768" s="13">
        <v>11493</v>
      </c>
      <c r="Z2768" s="13">
        <v>6454</v>
      </c>
      <c r="AB2768" s="13">
        <v>6454</v>
      </c>
      <c r="AC2768" s="16" t="str">
        <f t="shared" si="129"/>
        <v>ADD</v>
      </c>
      <c r="AD2768" s="17">
        <f t="shared" si="130"/>
        <v>11493</v>
      </c>
      <c r="AE2768" s="17">
        <f t="shared" si="131"/>
        <v>6454</v>
      </c>
      <c r="AF2768" s="10" t="s">
        <v>6679</v>
      </c>
      <c r="AG2768" s="5" t="s">
        <v>4818</v>
      </c>
      <c r="AH2768" s="5" t="s">
        <v>6677</v>
      </c>
    </row>
    <row r="2769" spans="1:35" ht="10" customHeight="1" x14ac:dyDescent="0.2">
      <c r="A2769" s="5" t="s">
        <v>6461</v>
      </c>
      <c r="B2769" s="5" t="s">
        <v>45</v>
      </c>
      <c r="C2769" s="5" t="s">
        <v>6680</v>
      </c>
      <c r="D2769" s="5" t="s">
        <v>6681</v>
      </c>
      <c r="E2769" s="12"/>
      <c r="I2769" s="11">
        <v>6</v>
      </c>
      <c r="K2769" s="12"/>
      <c r="O2769" s="12"/>
      <c r="P2769" s="13">
        <v>4279</v>
      </c>
      <c r="Q2769" s="13">
        <v>4081</v>
      </c>
      <c r="S2769" s="13">
        <v>3687</v>
      </c>
      <c r="T2769" s="13">
        <v>0</v>
      </c>
      <c r="U2769" s="13">
        <v>3687</v>
      </c>
      <c r="Z2769" s="13">
        <v>3435</v>
      </c>
      <c r="AB2769" s="13">
        <v>3435</v>
      </c>
      <c r="AC2769" s="16" t="str">
        <f t="shared" si="129"/>
        <v>ADD</v>
      </c>
      <c r="AD2769" s="17">
        <f t="shared" si="130"/>
        <v>3687</v>
      </c>
      <c r="AE2769" s="17">
        <f t="shared" si="131"/>
        <v>3435</v>
      </c>
      <c r="AF2769" s="10" t="s">
        <v>6682</v>
      </c>
      <c r="AG2769" s="5" t="s">
        <v>6683</v>
      </c>
      <c r="AH2769" s="5" t="s">
        <v>6680</v>
      </c>
      <c r="AI2769" s="5" t="s">
        <v>6684</v>
      </c>
    </row>
    <row r="2770" spans="1:35" ht="10" customHeight="1" x14ac:dyDescent="0.2">
      <c r="A2770" s="5" t="s">
        <v>6461</v>
      </c>
      <c r="B2770" s="5" t="s">
        <v>45</v>
      </c>
      <c r="C2770" s="5" t="s">
        <v>6685</v>
      </c>
      <c r="D2770" s="5" t="s">
        <v>6686</v>
      </c>
      <c r="E2770" s="10" t="s">
        <v>48</v>
      </c>
      <c r="I2770" s="11">
        <v>4</v>
      </c>
      <c r="K2770" s="12"/>
      <c r="O2770" s="12"/>
      <c r="P2770" s="13">
        <v>279545</v>
      </c>
      <c r="Q2770" s="13">
        <v>222607</v>
      </c>
      <c r="S2770" s="13">
        <v>249656</v>
      </c>
      <c r="T2770" s="13">
        <v>0</v>
      </c>
      <c r="U2770" s="13">
        <v>249656</v>
      </c>
      <c r="Z2770" s="13">
        <v>338946</v>
      </c>
      <c r="AB2770" s="13">
        <v>338946</v>
      </c>
      <c r="AC2770" s="16" t="str">
        <f t="shared" si="129"/>
        <v>ADD</v>
      </c>
      <c r="AD2770" s="17">
        <f t="shared" si="130"/>
        <v>249656</v>
      </c>
      <c r="AE2770" s="17">
        <f t="shared" si="131"/>
        <v>338946</v>
      </c>
      <c r="AF2770" s="10" t="s">
        <v>6687</v>
      </c>
      <c r="AG2770" s="5" t="s">
        <v>6688</v>
      </c>
      <c r="AH2770" s="5" t="s">
        <v>6685</v>
      </c>
    </row>
    <row r="2771" spans="1:35" ht="10" customHeight="1" x14ac:dyDescent="0.2">
      <c r="A2771" s="5" t="s">
        <v>6461</v>
      </c>
      <c r="B2771" s="5" t="s">
        <v>45</v>
      </c>
      <c r="D2771" s="5" t="s">
        <v>6689</v>
      </c>
      <c r="E2771" s="10" t="s">
        <v>57</v>
      </c>
      <c r="F2771" s="5" t="s">
        <v>6690</v>
      </c>
      <c r="I2771" s="11">
        <v>4</v>
      </c>
      <c r="K2771" s="12"/>
      <c r="O2771" s="12"/>
      <c r="P2771" s="13">
        <v>110652</v>
      </c>
      <c r="Q2771" s="13">
        <v>61816</v>
      </c>
      <c r="S2771" s="13">
        <v>43181</v>
      </c>
      <c r="AC2771" s="16" t="str">
        <f t="shared" si="129"/>
        <v/>
      </c>
      <c r="AD2771" s="17">
        <f t="shared" si="130"/>
        <v>43181</v>
      </c>
      <c r="AE2771" s="17">
        <f t="shared" si="131"/>
        <v>0</v>
      </c>
      <c r="AF2771" s="10" t="s">
        <v>6691</v>
      </c>
      <c r="AG2771" s="5" t="s">
        <v>6692</v>
      </c>
      <c r="AH2771" s="5" t="s">
        <v>6685</v>
      </c>
    </row>
    <row r="2772" spans="1:35" ht="10" customHeight="1" x14ac:dyDescent="0.2">
      <c r="A2772" s="5" t="s">
        <v>6461</v>
      </c>
      <c r="B2772" s="5" t="s">
        <v>45</v>
      </c>
      <c r="D2772" s="5" t="s">
        <v>6693</v>
      </c>
      <c r="E2772" s="10" t="s">
        <v>57</v>
      </c>
      <c r="F2772" s="5" t="s">
        <v>6690</v>
      </c>
      <c r="I2772" s="11">
        <v>4</v>
      </c>
      <c r="K2772" s="12"/>
      <c r="O2772" s="12"/>
      <c r="P2772" s="13">
        <v>1016</v>
      </c>
      <c r="Q2772" s="13">
        <v>3135</v>
      </c>
      <c r="S2772" s="13">
        <v>947</v>
      </c>
      <c r="AC2772" s="16" t="str">
        <f t="shared" si="129"/>
        <v/>
      </c>
      <c r="AD2772" s="17">
        <f t="shared" si="130"/>
        <v>947</v>
      </c>
      <c r="AE2772" s="17">
        <f t="shared" si="131"/>
        <v>0</v>
      </c>
      <c r="AF2772" s="10" t="s">
        <v>6694</v>
      </c>
      <c r="AG2772" s="5" t="s">
        <v>6695</v>
      </c>
      <c r="AH2772" s="5" t="s">
        <v>6685</v>
      </c>
    </row>
    <row r="2773" spans="1:35" ht="10" customHeight="1" x14ac:dyDescent="0.2">
      <c r="A2773" s="5" t="s">
        <v>6461</v>
      </c>
      <c r="B2773" s="5" t="s">
        <v>45</v>
      </c>
      <c r="D2773" s="5" t="s">
        <v>6696</v>
      </c>
      <c r="E2773" s="10" t="s">
        <v>57</v>
      </c>
      <c r="F2773" s="5" t="s">
        <v>6690</v>
      </c>
      <c r="I2773" s="11">
        <v>4</v>
      </c>
      <c r="K2773" s="10" t="s">
        <v>50</v>
      </c>
      <c r="L2773" s="5" t="s">
        <v>51</v>
      </c>
      <c r="M2773" s="5" t="s">
        <v>119</v>
      </c>
      <c r="O2773" s="12"/>
      <c r="P2773" s="13">
        <v>43886</v>
      </c>
      <c r="Q2773" s="13">
        <v>33315</v>
      </c>
      <c r="S2773" s="13">
        <v>33517</v>
      </c>
      <c r="AC2773" s="16" t="str">
        <f t="shared" si="129"/>
        <v/>
      </c>
      <c r="AD2773" s="17">
        <f t="shared" si="130"/>
        <v>33517</v>
      </c>
      <c r="AE2773" s="17">
        <f t="shared" si="131"/>
        <v>0</v>
      </c>
      <c r="AF2773" s="10" t="s">
        <v>6697</v>
      </c>
      <c r="AG2773" s="5" t="s">
        <v>6698</v>
      </c>
      <c r="AH2773" s="5" t="s">
        <v>6685</v>
      </c>
    </row>
    <row r="2774" spans="1:35" ht="10" customHeight="1" x14ac:dyDescent="0.2">
      <c r="A2774" s="5" t="s">
        <v>6461</v>
      </c>
      <c r="B2774" s="5" t="s">
        <v>45</v>
      </c>
      <c r="D2774" s="5" t="s">
        <v>6699</v>
      </c>
      <c r="E2774" s="10" t="s">
        <v>57</v>
      </c>
      <c r="F2774" s="5" t="s">
        <v>6690</v>
      </c>
      <c r="I2774" s="11">
        <v>4</v>
      </c>
      <c r="K2774" s="10" t="s">
        <v>50</v>
      </c>
      <c r="L2774" s="5" t="s">
        <v>51</v>
      </c>
      <c r="M2774" s="5" t="s">
        <v>119</v>
      </c>
      <c r="N2774" s="5" t="s">
        <v>120</v>
      </c>
      <c r="O2774" s="12"/>
      <c r="P2774" s="13">
        <v>35312</v>
      </c>
      <c r="Q2774" s="13">
        <v>39629</v>
      </c>
      <c r="S2774" s="13">
        <v>82765</v>
      </c>
      <c r="AC2774" s="16" t="str">
        <f t="shared" si="129"/>
        <v/>
      </c>
      <c r="AD2774" s="17">
        <f t="shared" si="130"/>
        <v>82765</v>
      </c>
      <c r="AE2774" s="17">
        <f t="shared" si="131"/>
        <v>0</v>
      </c>
      <c r="AF2774" s="10" t="s">
        <v>6700</v>
      </c>
      <c r="AG2774" s="5" t="s">
        <v>6701</v>
      </c>
      <c r="AH2774" s="5" t="s">
        <v>6685</v>
      </c>
      <c r="AI2774" s="5" t="s">
        <v>6702</v>
      </c>
    </row>
    <row r="2775" spans="1:35" ht="10" customHeight="1" x14ac:dyDescent="0.2">
      <c r="A2775" s="5" t="s">
        <v>6461</v>
      </c>
      <c r="B2775" s="5" t="s">
        <v>45</v>
      </c>
      <c r="D2775" s="5" t="s">
        <v>6703</v>
      </c>
      <c r="E2775" s="10" t="s">
        <v>57</v>
      </c>
      <c r="F2775" s="5" t="s">
        <v>6690</v>
      </c>
      <c r="I2775" s="11">
        <v>4</v>
      </c>
      <c r="K2775" s="10" t="s">
        <v>50</v>
      </c>
      <c r="L2775" s="5" t="s">
        <v>51</v>
      </c>
      <c r="M2775" s="5" t="s">
        <v>119</v>
      </c>
      <c r="O2775" s="12"/>
      <c r="P2775" s="13">
        <v>16970</v>
      </c>
      <c r="Q2775" s="13">
        <v>27420</v>
      </c>
      <c r="S2775" s="13">
        <v>26631</v>
      </c>
      <c r="AC2775" s="16" t="str">
        <f t="shared" si="129"/>
        <v/>
      </c>
      <c r="AD2775" s="17">
        <f t="shared" si="130"/>
        <v>26631</v>
      </c>
      <c r="AE2775" s="17">
        <f t="shared" si="131"/>
        <v>0</v>
      </c>
      <c r="AF2775" s="10" t="s">
        <v>6704</v>
      </c>
      <c r="AG2775" s="5" t="s">
        <v>6705</v>
      </c>
      <c r="AH2775" s="5" t="s">
        <v>6685</v>
      </c>
    </row>
    <row r="2776" spans="1:35" ht="10" customHeight="1" x14ac:dyDescent="0.2">
      <c r="A2776" s="5" t="s">
        <v>6461</v>
      </c>
      <c r="B2776" s="5" t="s">
        <v>45</v>
      </c>
      <c r="C2776" s="5" t="s">
        <v>6706</v>
      </c>
      <c r="D2776" s="5" t="s">
        <v>6707</v>
      </c>
      <c r="E2776" s="12"/>
      <c r="I2776" s="11">
        <v>4</v>
      </c>
      <c r="K2776" s="12"/>
      <c r="O2776" s="12"/>
      <c r="P2776" s="13">
        <v>68327</v>
      </c>
      <c r="Q2776" s="13">
        <v>104119</v>
      </c>
      <c r="S2776" s="13">
        <v>106583</v>
      </c>
      <c r="T2776" s="13">
        <v>0</v>
      </c>
      <c r="U2776" s="13">
        <v>106583</v>
      </c>
      <c r="Z2776" s="13">
        <v>125661</v>
      </c>
      <c r="AB2776" s="13">
        <v>125661</v>
      </c>
      <c r="AC2776" s="16" t="str">
        <f t="shared" si="129"/>
        <v>ADD</v>
      </c>
      <c r="AD2776" s="17">
        <f t="shared" si="130"/>
        <v>106583</v>
      </c>
      <c r="AE2776" s="17">
        <f t="shared" si="131"/>
        <v>125661</v>
      </c>
      <c r="AF2776" s="10" t="s">
        <v>6708</v>
      </c>
      <c r="AG2776" s="5" t="s">
        <v>6709</v>
      </c>
      <c r="AH2776" s="5" t="s">
        <v>6706</v>
      </c>
      <c r="AI2776" s="5" t="s">
        <v>6710</v>
      </c>
    </row>
    <row r="2777" spans="1:35" ht="10" customHeight="1" x14ac:dyDescent="0.2">
      <c r="A2777" s="5" t="s">
        <v>6461</v>
      </c>
      <c r="B2777" s="5" t="s">
        <v>45</v>
      </c>
      <c r="C2777" s="5" t="s">
        <v>147</v>
      </c>
      <c r="D2777" s="5" t="s">
        <v>6711</v>
      </c>
      <c r="E2777" s="12"/>
      <c r="I2777" s="11">
        <v>4</v>
      </c>
      <c r="K2777" s="12"/>
      <c r="O2777" s="12"/>
      <c r="P2777" s="13">
        <v>28574</v>
      </c>
      <c r="Q2777" s="13">
        <v>24602</v>
      </c>
      <c r="S2777" s="13">
        <v>20900</v>
      </c>
      <c r="T2777" s="13">
        <v>0</v>
      </c>
      <c r="U2777" s="13">
        <v>20900</v>
      </c>
      <c r="Z2777" s="13">
        <v>50350</v>
      </c>
      <c r="AB2777" s="13">
        <v>50350</v>
      </c>
      <c r="AC2777" s="16" t="str">
        <f t="shared" si="129"/>
        <v>ADD</v>
      </c>
      <c r="AD2777" s="17">
        <f t="shared" si="130"/>
        <v>20900</v>
      </c>
      <c r="AE2777" s="17">
        <f t="shared" si="131"/>
        <v>50350</v>
      </c>
      <c r="AF2777" s="10" t="s">
        <v>6712</v>
      </c>
      <c r="AG2777" s="5" t="s">
        <v>6713</v>
      </c>
      <c r="AH2777" s="5" t="s">
        <v>147</v>
      </c>
    </row>
    <row r="2778" spans="1:35" ht="10" customHeight="1" x14ac:dyDescent="0.2">
      <c r="A2778" s="5" t="s">
        <v>6461</v>
      </c>
      <c r="B2778" s="5" t="s">
        <v>45</v>
      </c>
      <c r="C2778" s="5" t="s">
        <v>180</v>
      </c>
      <c r="D2778" s="5" t="s">
        <v>6714</v>
      </c>
      <c r="E2778" s="10" t="s">
        <v>48</v>
      </c>
      <c r="I2778" s="11">
        <v>4</v>
      </c>
      <c r="K2778" s="12"/>
      <c r="O2778" s="12"/>
      <c r="P2778" s="13">
        <v>103352</v>
      </c>
      <c r="Q2778" s="13">
        <v>103546</v>
      </c>
      <c r="S2778" s="13">
        <v>162075</v>
      </c>
      <c r="T2778" s="13">
        <v>0</v>
      </c>
      <c r="U2778" s="13">
        <v>162075</v>
      </c>
      <c r="Z2778" s="13">
        <v>156605</v>
      </c>
      <c r="AB2778" s="13">
        <v>156605</v>
      </c>
      <c r="AC2778" s="16" t="str">
        <f t="shared" si="129"/>
        <v>ADD</v>
      </c>
      <c r="AD2778" s="17">
        <f t="shared" si="130"/>
        <v>162075</v>
      </c>
      <c r="AE2778" s="17">
        <f t="shared" si="131"/>
        <v>156605</v>
      </c>
      <c r="AF2778" s="10" t="s">
        <v>6715</v>
      </c>
      <c r="AG2778" s="5" t="s">
        <v>6716</v>
      </c>
      <c r="AH2778" s="5" t="s">
        <v>180</v>
      </c>
      <c r="AI2778" s="5" t="s">
        <v>6714</v>
      </c>
    </row>
    <row r="2779" spans="1:35" ht="10" customHeight="1" x14ac:dyDescent="0.2">
      <c r="A2779" s="5" t="s">
        <v>6461</v>
      </c>
      <c r="B2779" s="5" t="s">
        <v>45</v>
      </c>
      <c r="D2779" s="5" t="s">
        <v>6717</v>
      </c>
      <c r="E2779" s="10" t="s">
        <v>57</v>
      </c>
      <c r="F2779" s="5" t="s">
        <v>6718</v>
      </c>
      <c r="I2779" s="11">
        <v>4</v>
      </c>
      <c r="K2779" s="12"/>
      <c r="O2779" s="12"/>
      <c r="P2779" s="13">
        <v>58940</v>
      </c>
      <c r="Q2779" s="13">
        <v>59583</v>
      </c>
      <c r="S2779" s="13">
        <v>113571</v>
      </c>
      <c r="AC2779" s="16" t="str">
        <f t="shared" si="129"/>
        <v/>
      </c>
      <c r="AD2779" s="17">
        <f t="shared" si="130"/>
        <v>113571</v>
      </c>
      <c r="AE2779" s="17">
        <f t="shared" si="131"/>
        <v>0</v>
      </c>
      <c r="AF2779" s="10" t="s">
        <v>6719</v>
      </c>
      <c r="AG2779" s="5" t="s">
        <v>6720</v>
      </c>
      <c r="AH2779" s="5" t="s">
        <v>180</v>
      </c>
    </row>
    <row r="2780" spans="1:35" ht="10" customHeight="1" x14ac:dyDescent="0.2">
      <c r="A2780" s="5" t="s">
        <v>6461</v>
      </c>
      <c r="B2780" s="5" t="s">
        <v>45</v>
      </c>
      <c r="D2780" s="5" t="s">
        <v>6721</v>
      </c>
      <c r="E2780" s="10" t="s">
        <v>57</v>
      </c>
      <c r="F2780" s="5" t="s">
        <v>6718</v>
      </c>
      <c r="I2780" s="11">
        <v>4</v>
      </c>
      <c r="K2780" s="12"/>
      <c r="O2780" s="12"/>
      <c r="P2780" s="13">
        <v>28396</v>
      </c>
      <c r="Q2780" s="13">
        <v>29859</v>
      </c>
      <c r="S2780" s="13">
        <v>37232</v>
      </c>
      <c r="AC2780" s="16" t="str">
        <f t="shared" si="129"/>
        <v/>
      </c>
      <c r="AD2780" s="17">
        <f t="shared" si="130"/>
        <v>37232</v>
      </c>
      <c r="AE2780" s="17">
        <f t="shared" si="131"/>
        <v>0</v>
      </c>
      <c r="AF2780" s="10" t="s">
        <v>6722</v>
      </c>
      <c r="AG2780" s="5" t="s">
        <v>6723</v>
      </c>
      <c r="AH2780" s="5" t="s">
        <v>180</v>
      </c>
      <c r="AI2780" s="5" t="s">
        <v>6724</v>
      </c>
    </row>
    <row r="2781" spans="1:35" ht="10" customHeight="1" x14ac:dyDescent="0.2">
      <c r="A2781" s="5" t="s">
        <v>6461</v>
      </c>
      <c r="B2781" s="5" t="s">
        <v>45</v>
      </c>
      <c r="D2781" s="5" t="s">
        <v>6725</v>
      </c>
      <c r="E2781" s="10" t="s">
        <v>57</v>
      </c>
      <c r="F2781" s="5" t="s">
        <v>6718</v>
      </c>
      <c r="I2781" s="11">
        <v>4</v>
      </c>
      <c r="K2781" s="12"/>
      <c r="O2781" s="12"/>
      <c r="P2781" s="13">
        <v>9031</v>
      </c>
      <c r="Q2781" s="13">
        <v>7382</v>
      </c>
      <c r="S2781" s="13">
        <v>4847</v>
      </c>
      <c r="AC2781" s="16" t="str">
        <f t="shared" si="129"/>
        <v/>
      </c>
      <c r="AD2781" s="17">
        <f t="shared" si="130"/>
        <v>4847</v>
      </c>
      <c r="AE2781" s="17">
        <f t="shared" si="131"/>
        <v>0</v>
      </c>
      <c r="AF2781" s="10" t="s">
        <v>6726</v>
      </c>
      <c r="AG2781" s="5" t="s">
        <v>6727</v>
      </c>
      <c r="AH2781" s="5" t="s">
        <v>180</v>
      </c>
      <c r="AI2781" s="5" t="s">
        <v>6728</v>
      </c>
    </row>
    <row r="2782" spans="1:35" ht="10" customHeight="1" x14ac:dyDescent="0.2">
      <c r="A2782" s="5" t="s">
        <v>6461</v>
      </c>
      <c r="B2782" s="5" t="s">
        <v>45</v>
      </c>
      <c r="D2782" s="5" t="s">
        <v>6729</v>
      </c>
      <c r="E2782" s="10" t="s">
        <v>57</v>
      </c>
      <c r="F2782" s="5" t="s">
        <v>6718</v>
      </c>
      <c r="I2782" s="11">
        <v>4</v>
      </c>
      <c r="K2782" s="10" t="s">
        <v>50</v>
      </c>
      <c r="L2782" s="5" t="s">
        <v>51</v>
      </c>
      <c r="M2782" s="5" t="s">
        <v>149</v>
      </c>
      <c r="O2782" s="12"/>
      <c r="P2782" s="13">
        <v>3536</v>
      </c>
      <c r="Q2782" s="13">
        <v>2961</v>
      </c>
      <c r="S2782" s="13">
        <v>6534</v>
      </c>
      <c r="AC2782" s="16" t="str">
        <f t="shared" si="129"/>
        <v/>
      </c>
      <c r="AD2782" s="17">
        <f t="shared" si="130"/>
        <v>6534</v>
      </c>
      <c r="AE2782" s="17">
        <f t="shared" si="131"/>
        <v>0</v>
      </c>
      <c r="AF2782" s="10" t="s">
        <v>6730</v>
      </c>
      <c r="AG2782" s="5" t="s">
        <v>6731</v>
      </c>
      <c r="AH2782" s="5" t="s">
        <v>180</v>
      </c>
    </row>
    <row r="2783" spans="1:35" ht="10" customHeight="1" x14ac:dyDescent="0.2">
      <c r="A2783" s="5" t="s">
        <v>6461</v>
      </c>
      <c r="B2783" s="5" t="s">
        <v>45</v>
      </c>
      <c r="C2783" s="5" t="s">
        <v>6732</v>
      </c>
      <c r="D2783" s="5" t="s">
        <v>6733</v>
      </c>
      <c r="E2783" s="12"/>
      <c r="I2783" s="11">
        <v>4</v>
      </c>
      <c r="K2783" s="12"/>
      <c r="O2783" s="12"/>
      <c r="P2783" s="13">
        <v>14299</v>
      </c>
      <c r="Q2783" s="13">
        <v>9209</v>
      </c>
      <c r="S2783" s="13">
        <v>11138</v>
      </c>
      <c r="T2783" s="13">
        <v>0</v>
      </c>
      <c r="U2783" s="13">
        <v>11138</v>
      </c>
      <c r="Z2783" s="13">
        <v>15097</v>
      </c>
      <c r="AB2783" s="13">
        <v>15097</v>
      </c>
      <c r="AC2783" s="16" t="str">
        <f t="shared" si="129"/>
        <v>ADD</v>
      </c>
      <c r="AD2783" s="17">
        <f t="shared" si="130"/>
        <v>11138</v>
      </c>
      <c r="AE2783" s="17">
        <f t="shared" si="131"/>
        <v>15097</v>
      </c>
      <c r="AF2783" s="10" t="s">
        <v>6734</v>
      </c>
      <c r="AG2783" s="5" t="s">
        <v>6731</v>
      </c>
      <c r="AH2783" s="5" t="s">
        <v>6732</v>
      </c>
      <c r="AI2783" s="5" t="s">
        <v>6733</v>
      </c>
    </row>
    <row r="2784" spans="1:35" ht="10" customHeight="1" x14ac:dyDescent="0.2">
      <c r="A2784" s="5" t="s">
        <v>6461</v>
      </c>
      <c r="B2784" s="5" t="s">
        <v>45</v>
      </c>
      <c r="C2784" s="5" t="s">
        <v>6735</v>
      </c>
      <c r="D2784" s="5" t="s">
        <v>6736</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6" t="str">
        <f t="shared" si="129"/>
        <v>ADD</v>
      </c>
      <c r="AD2784" s="17">
        <f t="shared" si="130"/>
        <v>113115</v>
      </c>
      <c r="AE2784" s="17">
        <f t="shared" si="131"/>
        <v>173069</v>
      </c>
      <c r="AF2784" s="10" t="s">
        <v>6737</v>
      </c>
      <c r="AG2784" s="5" t="s">
        <v>6738</v>
      </c>
      <c r="AH2784" s="5" t="s">
        <v>6735</v>
      </c>
      <c r="AI2784" s="5" t="s">
        <v>6736</v>
      </c>
    </row>
    <row r="2785" spans="1:35" ht="10" customHeight="1" x14ac:dyDescent="0.2">
      <c r="A2785" s="5" t="s">
        <v>6461</v>
      </c>
      <c r="B2785" s="5" t="s">
        <v>45</v>
      </c>
      <c r="C2785" s="5" t="s">
        <v>6739</v>
      </c>
      <c r="D2785" s="5" t="s">
        <v>6740</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6" t="str">
        <f t="shared" si="129"/>
        <v>ADD</v>
      </c>
      <c r="AD2785" s="17">
        <f t="shared" si="130"/>
        <v>84584</v>
      </c>
      <c r="AE2785" s="17">
        <f t="shared" si="131"/>
        <v>88071</v>
      </c>
      <c r="AF2785" s="10" t="s">
        <v>6741</v>
      </c>
      <c r="AG2785" s="5" t="s">
        <v>6742</v>
      </c>
      <c r="AH2785" s="5" t="s">
        <v>6739</v>
      </c>
      <c r="AI2785" s="5" t="s">
        <v>6740</v>
      </c>
    </row>
    <row r="2786" spans="1:35" ht="10" customHeight="1" x14ac:dyDescent="0.2">
      <c r="A2786" s="5" t="s">
        <v>6461</v>
      </c>
      <c r="B2786" s="5" t="s">
        <v>45</v>
      </c>
      <c r="C2786" s="5" t="s">
        <v>6743</v>
      </c>
      <c r="D2786" s="5" t="s">
        <v>6744</v>
      </c>
      <c r="E2786" s="10" t="s">
        <v>48</v>
      </c>
      <c r="I2786" s="11">
        <v>4</v>
      </c>
      <c r="K2786" s="12"/>
      <c r="O2786" s="12"/>
      <c r="P2786" s="13">
        <v>69855</v>
      </c>
      <c r="Q2786" s="13">
        <v>59745</v>
      </c>
      <c r="S2786" s="13">
        <v>62943</v>
      </c>
      <c r="T2786" s="13">
        <v>0</v>
      </c>
      <c r="U2786" s="13">
        <v>62943</v>
      </c>
      <c r="Z2786" s="13">
        <v>57961</v>
      </c>
      <c r="AB2786" s="13">
        <v>57961</v>
      </c>
      <c r="AC2786" s="16" t="str">
        <f t="shared" si="129"/>
        <v>ADD</v>
      </c>
      <c r="AD2786" s="17">
        <f t="shared" si="130"/>
        <v>62943</v>
      </c>
      <c r="AE2786" s="17">
        <f t="shared" si="131"/>
        <v>57961</v>
      </c>
      <c r="AF2786" s="10" t="s">
        <v>6745</v>
      </c>
      <c r="AG2786" s="5" t="s">
        <v>6746</v>
      </c>
      <c r="AH2786" s="5" t="s">
        <v>6743</v>
      </c>
      <c r="AI2786" s="5" t="s">
        <v>6744</v>
      </c>
    </row>
    <row r="2787" spans="1:35" ht="10" customHeight="1" x14ac:dyDescent="0.2">
      <c r="A2787" s="5" t="s">
        <v>6461</v>
      </c>
      <c r="B2787" s="5" t="s">
        <v>45</v>
      </c>
      <c r="D2787" s="5" t="s">
        <v>6747</v>
      </c>
      <c r="E2787" s="10" t="s">
        <v>57</v>
      </c>
      <c r="F2787" s="5" t="s">
        <v>6748</v>
      </c>
      <c r="I2787" s="11">
        <v>4</v>
      </c>
      <c r="K2787" s="12"/>
      <c r="O2787" s="12"/>
      <c r="P2787" s="13">
        <v>8798</v>
      </c>
      <c r="Q2787" s="13">
        <v>8295</v>
      </c>
      <c r="S2787" s="13">
        <v>7840</v>
      </c>
      <c r="AC2787" s="16" t="str">
        <f t="shared" si="129"/>
        <v/>
      </c>
      <c r="AD2787" s="17">
        <f t="shared" si="130"/>
        <v>7840</v>
      </c>
      <c r="AE2787" s="17">
        <f t="shared" si="131"/>
        <v>0</v>
      </c>
      <c r="AF2787" s="10" t="s">
        <v>6749</v>
      </c>
      <c r="AG2787" s="5" t="s">
        <v>6750</v>
      </c>
      <c r="AH2787" s="5" t="s">
        <v>6743</v>
      </c>
    </row>
    <row r="2788" spans="1:35" ht="10" customHeight="1" x14ac:dyDescent="0.2">
      <c r="A2788" s="5" t="s">
        <v>6461</v>
      </c>
      <c r="B2788" s="5" t="s">
        <v>45</v>
      </c>
      <c r="D2788" s="5" t="s">
        <v>4134</v>
      </c>
      <c r="E2788" s="10" t="s">
        <v>57</v>
      </c>
      <c r="F2788" s="5" t="s">
        <v>6748</v>
      </c>
      <c r="I2788" s="11">
        <v>4</v>
      </c>
      <c r="K2788" s="12"/>
      <c r="O2788" s="12"/>
      <c r="P2788" s="13">
        <v>52424</v>
      </c>
      <c r="Q2788" s="13">
        <v>40044</v>
      </c>
      <c r="S2788" s="13">
        <v>41062</v>
      </c>
      <c r="AC2788" s="16" t="str">
        <f t="shared" si="129"/>
        <v/>
      </c>
      <c r="AD2788" s="17">
        <f t="shared" si="130"/>
        <v>41062</v>
      </c>
      <c r="AE2788" s="17">
        <f t="shared" si="131"/>
        <v>0</v>
      </c>
      <c r="AF2788" s="10" t="s">
        <v>6751</v>
      </c>
      <c r="AG2788" s="5" t="s">
        <v>6752</v>
      </c>
      <c r="AH2788" s="5" t="s">
        <v>6743</v>
      </c>
      <c r="AI2788" s="5" t="s">
        <v>6753</v>
      </c>
    </row>
    <row r="2789" spans="1:35" ht="10" customHeight="1" x14ac:dyDescent="0.2">
      <c r="A2789" s="5" t="s">
        <v>6461</v>
      </c>
      <c r="B2789" s="5" t="s">
        <v>45</v>
      </c>
      <c r="D2789" s="5" t="s">
        <v>6754</v>
      </c>
      <c r="E2789" s="10" t="s">
        <v>57</v>
      </c>
      <c r="F2789" s="5" t="s">
        <v>6748</v>
      </c>
      <c r="I2789" s="11">
        <v>4</v>
      </c>
      <c r="K2789" s="12"/>
      <c r="O2789" s="12"/>
      <c r="P2789" s="13">
        <v>255</v>
      </c>
      <c r="Q2789" s="13">
        <v>11406</v>
      </c>
      <c r="S2789" s="13">
        <v>14041</v>
      </c>
      <c r="AC2789" s="16" t="str">
        <f t="shared" si="129"/>
        <v/>
      </c>
      <c r="AD2789" s="17">
        <f t="shared" si="130"/>
        <v>14041</v>
      </c>
      <c r="AE2789" s="17">
        <f t="shared" si="131"/>
        <v>0</v>
      </c>
      <c r="AF2789" s="10" t="s">
        <v>6755</v>
      </c>
      <c r="AG2789" s="5" t="s">
        <v>6756</v>
      </c>
      <c r="AH2789" s="5" t="s">
        <v>6743</v>
      </c>
      <c r="AI2789" s="5" t="s">
        <v>6757</v>
      </c>
    </row>
    <row r="2790" spans="1:35" ht="10" customHeight="1" x14ac:dyDescent="0.2">
      <c r="A2790" s="5" t="s">
        <v>6461</v>
      </c>
      <c r="B2790" s="5" t="s">
        <v>45</v>
      </c>
      <c r="C2790" s="5" t="s">
        <v>6758</v>
      </c>
      <c r="D2790" s="5" t="s">
        <v>6759</v>
      </c>
      <c r="E2790" s="10" t="s">
        <v>48</v>
      </c>
      <c r="I2790" s="11">
        <v>4</v>
      </c>
      <c r="K2790" s="12"/>
      <c r="O2790" s="12"/>
      <c r="P2790" s="13">
        <v>37896</v>
      </c>
      <c r="Q2790" s="13">
        <v>163071</v>
      </c>
      <c r="S2790" s="13">
        <v>63433</v>
      </c>
      <c r="T2790" s="13">
        <v>0</v>
      </c>
      <c r="U2790" s="13">
        <v>63433</v>
      </c>
      <c r="Z2790" s="13">
        <v>57768</v>
      </c>
      <c r="AB2790" s="13">
        <v>57768</v>
      </c>
      <c r="AC2790" s="16" t="str">
        <f t="shared" si="129"/>
        <v>ADD</v>
      </c>
      <c r="AD2790" s="17">
        <f t="shared" si="130"/>
        <v>63433</v>
      </c>
      <c r="AE2790" s="17">
        <f t="shared" si="131"/>
        <v>57768</v>
      </c>
      <c r="AF2790" s="10" t="s">
        <v>6760</v>
      </c>
      <c r="AG2790" s="5" t="s">
        <v>6761</v>
      </c>
      <c r="AH2790" s="5" t="s">
        <v>6758</v>
      </c>
      <c r="AI2790" s="5" t="s">
        <v>6759</v>
      </c>
    </row>
    <row r="2791" spans="1:35" ht="10" customHeight="1" x14ac:dyDescent="0.2">
      <c r="A2791" s="5" t="s">
        <v>6461</v>
      </c>
      <c r="B2791" s="5" t="s">
        <v>45</v>
      </c>
      <c r="D2791" s="5" t="s">
        <v>6762</v>
      </c>
      <c r="E2791" s="10" t="s">
        <v>57</v>
      </c>
      <c r="F2791" s="5" t="s">
        <v>6763</v>
      </c>
      <c r="I2791" s="11">
        <v>4</v>
      </c>
      <c r="K2791" s="12"/>
      <c r="O2791" s="12"/>
      <c r="P2791" s="13">
        <v>21436</v>
      </c>
      <c r="Q2791" s="13">
        <v>26944</v>
      </c>
      <c r="S2791" s="13">
        <v>18953</v>
      </c>
      <c r="AC2791" s="16" t="str">
        <f t="shared" si="129"/>
        <v/>
      </c>
      <c r="AD2791" s="17">
        <f t="shared" si="130"/>
        <v>18953</v>
      </c>
      <c r="AE2791" s="17">
        <f t="shared" si="131"/>
        <v>0</v>
      </c>
      <c r="AF2791" s="10" t="s">
        <v>6764</v>
      </c>
      <c r="AG2791" s="5" t="s">
        <v>6765</v>
      </c>
      <c r="AH2791" s="5" t="s">
        <v>6758</v>
      </c>
    </row>
    <row r="2792" spans="1:35" ht="10" customHeight="1" x14ac:dyDescent="0.2">
      <c r="A2792" s="5" t="s">
        <v>6461</v>
      </c>
      <c r="B2792" s="5" t="s">
        <v>45</v>
      </c>
      <c r="C2792" s="5" t="s">
        <v>6766</v>
      </c>
      <c r="D2792" s="5" t="s">
        <v>6767</v>
      </c>
      <c r="E2792" s="12"/>
      <c r="I2792" s="11">
        <v>4</v>
      </c>
      <c r="K2792" s="12"/>
      <c r="O2792" s="12"/>
      <c r="S2792" s="13">
        <v>220453</v>
      </c>
      <c r="T2792" s="13">
        <v>0</v>
      </c>
      <c r="U2792" s="13">
        <v>220453</v>
      </c>
      <c r="Z2792" s="13">
        <v>202305</v>
      </c>
      <c r="AB2792" s="13">
        <v>202305</v>
      </c>
      <c r="AC2792" s="16" t="str">
        <f t="shared" si="129"/>
        <v>ADD</v>
      </c>
      <c r="AD2792" s="17">
        <f t="shared" si="130"/>
        <v>220453</v>
      </c>
      <c r="AE2792" s="17">
        <f t="shared" si="131"/>
        <v>202305</v>
      </c>
      <c r="AF2792" s="10" t="s">
        <v>6768</v>
      </c>
      <c r="AG2792" s="5" t="s">
        <v>6769</v>
      </c>
      <c r="AH2792" s="5" t="s">
        <v>6766</v>
      </c>
      <c r="AI2792" s="5" t="s">
        <v>6767</v>
      </c>
    </row>
    <row r="2793" spans="1:35" ht="10" customHeight="1" x14ac:dyDescent="0.2">
      <c r="A2793" s="5" t="s">
        <v>6461</v>
      </c>
      <c r="B2793" s="5" t="s">
        <v>45</v>
      </c>
      <c r="C2793" s="5" t="s">
        <v>6770</v>
      </c>
      <c r="D2793" s="5" t="s">
        <v>6771</v>
      </c>
      <c r="E2793" s="12"/>
      <c r="I2793" s="11">
        <v>4</v>
      </c>
      <c r="K2793" s="12"/>
      <c r="O2793" s="12"/>
      <c r="P2793" s="13">
        <v>3473</v>
      </c>
      <c r="Q2793" s="13">
        <v>4551</v>
      </c>
      <c r="S2793" s="13">
        <v>3389</v>
      </c>
      <c r="T2793" s="13">
        <v>0</v>
      </c>
      <c r="U2793" s="13">
        <v>3389</v>
      </c>
      <c r="AC2793" s="16" t="str">
        <f t="shared" si="129"/>
        <v>ADD</v>
      </c>
      <c r="AD2793" s="17">
        <f t="shared" si="130"/>
        <v>3389</v>
      </c>
      <c r="AE2793" s="17">
        <f t="shared" si="131"/>
        <v>0</v>
      </c>
      <c r="AF2793" s="10" t="s">
        <v>6772</v>
      </c>
      <c r="AG2793" s="5" t="s">
        <v>6773</v>
      </c>
      <c r="AH2793" s="5" t="s">
        <v>6770</v>
      </c>
      <c r="AI2793" s="5" t="s">
        <v>6774</v>
      </c>
    </row>
    <row r="2794" spans="1:35" ht="10" customHeight="1" x14ac:dyDescent="0.2">
      <c r="A2794" s="5" t="s">
        <v>6461</v>
      </c>
      <c r="B2794" s="5" t="s">
        <v>45</v>
      </c>
      <c r="C2794" s="5" t="s">
        <v>6775</v>
      </c>
      <c r="D2794" s="5" t="s">
        <v>6776</v>
      </c>
      <c r="E2794" s="10" t="s">
        <v>48</v>
      </c>
      <c r="I2794" s="11">
        <v>4</v>
      </c>
      <c r="K2794" s="12"/>
      <c r="O2794" s="12"/>
      <c r="P2794" s="13">
        <v>153614</v>
      </c>
      <c r="Q2794" s="13">
        <v>155188</v>
      </c>
      <c r="S2794" s="13">
        <v>191239</v>
      </c>
      <c r="T2794" s="13">
        <v>0</v>
      </c>
      <c r="U2794" s="13">
        <v>191239</v>
      </c>
      <c r="Z2794" s="13">
        <v>349099</v>
      </c>
      <c r="AB2794" s="13">
        <v>349099</v>
      </c>
      <c r="AC2794" s="16" t="str">
        <f t="shared" si="129"/>
        <v>ADD</v>
      </c>
      <c r="AD2794" s="17">
        <f t="shared" si="130"/>
        <v>191239</v>
      </c>
      <c r="AE2794" s="17">
        <f t="shared" si="131"/>
        <v>349099</v>
      </c>
      <c r="AF2794" s="10" t="s">
        <v>6777</v>
      </c>
      <c r="AG2794" s="5" t="s">
        <v>6778</v>
      </c>
      <c r="AH2794" s="5" t="s">
        <v>6775</v>
      </c>
      <c r="AI2794" s="5" t="s">
        <v>6776</v>
      </c>
    </row>
    <row r="2795" spans="1:35" ht="10" customHeight="1" x14ac:dyDescent="0.2">
      <c r="A2795" s="5" t="s">
        <v>6461</v>
      </c>
      <c r="B2795" s="5" t="s">
        <v>45</v>
      </c>
      <c r="D2795" s="5" t="s">
        <v>6779</v>
      </c>
      <c r="E2795" s="10" t="s">
        <v>57</v>
      </c>
      <c r="F2795" s="5" t="s">
        <v>6780</v>
      </c>
      <c r="I2795" s="11">
        <v>4</v>
      </c>
      <c r="K2795" s="12"/>
      <c r="O2795" s="12"/>
      <c r="P2795" s="13">
        <v>29831</v>
      </c>
      <c r="Q2795" s="13">
        <v>27717</v>
      </c>
      <c r="S2795" s="13">
        <v>27688</v>
      </c>
      <c r="AC2795" s="16" t="str">
        <f t="shared" si="129"/>
        <v/>
      </c>
      <c r="AD2795" s="17">
        <f t="shared" si="130"/>
        <v>27688</v>
      </c>
      <c r="AE2795" s="17">
        <f t="shared" si="131"/>
        <v>0</v>
      </c>
      <c r="AF2795" s="10" t="s">
        <v>6781</v>
      </c>
      <c r="AG2795" s="5" t="s">
        <v>6782</v>
      </c>
      <c r="AH2795" s="5" t="s">
        <v>6775</v>
      </c>
    </row>
    <row r="2796" spans="1:35" ht="10" customHeight="1" x14ac:dyDescent="0.2">
      <c r="A2796" s="5" t="s">
        <v>6461</v>
      </c>
      <c r="B2796" s="5" t="s">
        <v>45</v>
      </c>
      <c r="D2796" s="5" t="s">
        <v>6783</v>
      </c>
      <c r="E2796" s="10" t="s">
        <v>57</v>
      </c>
      <c r="F2796" s="5" t="s">
        <v>6780</v>
      </c>
      <c r="I2796" s="11">
        <v>4</v>
      </c>
      <c r="K2796" s="12"/>
      <c r="O2796" s="12"/>
      <c r="P2796" s="13">
        <v>29311</v>
      </c>
      <c r="Q2796" s="13">
        <v>41876</v>
      </c>
      <c r="S2796" s="13">
        <v>58188</v>
      </c>
      <c r="AC2796" s="16" t="str">
        <f t="shared" si="129"/>
        <v/>
      </c>
      <c r="AD2796" s="17">
        <f t="shared" si="130"/>
        <v>58188</v>
      </c>
      <c r="AE2796" s="17">
        <f t="shared" si="131"/>
        <v>0</v>
      </c>
      <c r="AF2796" s="10" t="s">
        <v>6784</v>
      </c>
      <c r="AG2796" s="5" t="s">
        <v>6785</v>
      </c>
      <c r="AH2796" s="5" t="s">
        <v>6775</v>
      </c>
      <c r="AI2796" s="5" t="s">
        <v>6786</v>
      </c>
    </row>
    <row r="2797" spans="1:35" ht="10" customHeight="1" x14ac:dyDescent="0.2">
      <c r="A2797" s="5" t="s">
        <v>6461</v>
      </c>
      <c r="B2797" s="5" t="s">
        <v>45</v>
      </c>
      <c r="D2797" s="5" t="s">
        <v>6787</v>
      </c>
      <c r="E2797" s="10" t="s">
        <v>57</v>
      </c>
      <c r="F2797" s="5" t="s">
        <v>6780</v>
      </c>
      <c r="I2797" s="11">
        <v>4</v>
      </c>
      <c r="K2797" s="12"/>
      <c r="O2797" s="12"/>
      <c r="P2797" s="13">
        <v>8158</v>
      </c>
      <c r="Q2797" s="13">
        <v>7447</v>
      </c>
      <c r="S2797" s="13">
        <v>7140</v>
      </c>
      <c r="AC2797" s="16" t="str">
        <f t="shared" si="129"/>
        <v/>
      </c>
      <c r="AD2797" s="17">
        <f t="shared" si="130"/>
        <v>7140</v>
      </c>
      <c r="AE2797" s="17">
        <f t="shared" si="131"/>
        <v>0</v>
      </c>
      <c r="AF2797" s="10" t="s">
        <v>6788</v>
      </c>
      <c r="AG2797" s="5" t="s">
        <v>6789</v>
      </c>
      <c r="AH2797" s="5" t="s">
        <v>6775</v>
      </c>
      <c r="AI2797" s="5" t="s">
        <v>6790</v>
      </c>
    </row>
    <row r="2798" spans="1:35" ht="10" customHeight="1" x14ac:dyDescent="0.2">
      <c r="A2798" s="5" t="s">
        <v>6461</v>
      </c>
      <c r="B2798" s="5" t="s">
        <v>45</v>
      </c>
      <c r="D2798" s="5" t="s">
        <v>6791</v>
      </c>
      <c r="E2798" s="10" t="s">
        <v>57</v>
      </c>
      <c r="F2798" s="5" t="s">
        <v>6780</v>
      </c>
      <c r="I2798" s="11">
        <v>4</v>
      </c>
      <c r="K2798" s="12"/>
      <c r="O2798" s="12"/>
      <c r="P2798" s="13">
        <v>2948</v>
      </c>
      <c r="Q2798" s="13">
        <v>13319</v>
      </c>
      <c r="S2798" s="13">
        <v>14571</v>
      </c>
      <c r="AC2798" s="16" t="str">
        <f t="shared" si="129"/>
        <v/>
      </c>
      <c r="AD2798" s="17">
        <f t="shared" si="130"/>
        <v>14571</v>
      </c>
      <c r="AE2798" s="17">
        <f t="shared" si="131"/>
        <v>0</v>
      </c>
      <c r="AF2798" s="10" t="s">
        <v>6792</v>
      </c>
      <c r="AG2798" s="5" t="s">
        <v>6793</v>
      </c>
      <c r="AH2798" s="5" t="s">
        <v>6775</v>
      </c>
    </row>
    <row r="2799" spans="1:35" ht="10" customHeight="1" x14ac:dyDescent="0.2">
      <c r="A2799" s="5" t="s">
        <v>6461</v>
      </c>
      <c r="B2799" s="5" t="s">
        <v>45</v>
      </c>
      <c r="C2799" s="5" t="s">
        <v>6794</v>
      </c>
      <c r="D2799" s="5" t="s">
        <v>6795</v>
      </c>
      <c r="E2799" s="12"/>
      <c r="I2799" s="11">
        <v>4</v>
      </c>
      <c r="K2799" s="12"/>
      <c r="O2799" s="12"/>
      <c r="P2799" s="13">
        <v>1078</v>
      </c>
      <c r="Q2799" s="13">
        <v>1100</v>
      </c>
      <c r="S2799" s="13">
        <v>1122</v>
      </c>
      <c r="T2799" s="13">
        <v>0</v>
      </c>
      <c r="U2799" s="13">
        <v>1122</v>
      </c>
      <c r="Z2799" s="13">
        <v>1063</v>
      </c>
      <c r="AB2799" s="13">
        <v>1063</v>
      </c>
      <c r="AC2799" s="16" t="str">
        <f t="shared" si="129"/>
        <v>ADD</v>
      </c>
      <c r="AD2799" s="17">
        <f t="shared" si="130"/>
        <v>1122</v>
      </c>
      <c r="AE2799" s="17">
        <f t="shared" si="131"/>
        <v>1063</v>
      </c>
      <c r="AF2799" s="10" t="s">
        <v>6796</v>
      </c>
      <c r="AG2799" s="5" t="s">
        <v>6797</v>
      </c>
      <c r="AH2799" s="5" t="s">
        <v>6794</v>
      </c>
      <c r="AI2799" s="5" t="s">
        <v>6798</v>
      </c>
    </row>
    <row r="2800" spans="1:35" ht="10" customHeight="1" x14ac:dyDescent="0.2">
      <c r="A2800" s="5" t="s">
        <v>6461</v>
      </c>
      <c r="B2800" s="5" t="s">
        <v>45</v>
      </c>
      <c r="C2800" s="5" t="s">
        <v>6799</v>
      </c>
      <c r="D2800" s="5" t="s">
        <v>6800</v>
      </c>
      <c r="E2800" s="12"/>
      <c r="I2800" s="11">
        <v>4</v>
      </c>
      <c r="K2800" s="12"/>
      <c r="O2800" s="12"/>
      <c r="P2800" s="13">
        <v>17071</v>
      </c>
      <c r="Q2800" s="13">
        <v>15506</v>
      </c>
      <c r="S2800" s="13">
        <v>7841</v>
      </c>
      <c r="T2800" s="13">
        <v>0</v>
      </c>
      <c r="U2800" s="13">
        <v>7841</v>
      </c>
      <c r="Z2800" s="13">
        <v>7419</v>
      </c>
      <c r="AB2800" s="13">
        <v>7419</v>
      </c>
      <c r="AC2800" s="16" t="str">
        <f t="shared" si="129"/>
        <v>ADD</v>
      </c>
      <c r="AD2800" s="17">
        <f t="shared" si="130"/>
        <v>7841</v>
      </c>
      <c r="AE2800" s="17">
        <f t="shared" si="131"/>
        <v>7419</v>
      </c>
      <c r="AF2800" s="10" t="s">
        <v>6801</v>
      </c>
      <c r="AG2800" s="5" t="s">
        <v>6802</v>
      </c>
      <c r="AH2800" s="5" t="s">
        <v>6799</v>
      </c>
      <c r="AI2800" s="5" t="s">
        <v>6800</v>
      </c>
    </row>
    <row r="2801" spans="1:36" ht="10" customHeight="1" x14ac:dyDescent="0.2">
      <c r="A2801" s="5" t="s">
        <v>6461</v>
      </c>
      <c r="B2801" s="5" t="s">
        <v>45</v>
      </c>
      <c r="C2801" s="5" t="s">
        <v>6803</v>
      </c>
      <c r="D2801" s="5" t="s">
        <v>6804</v>
      </c>
      <c r="E2801" s="10" t="s">
        <v>48</v>
      </c>
      <c r="I2801" s="11">
        <v>4</v>
      </c>
      <c r="K2801" s="12"/>
      <c r="O2801" s="12"/>
      <c r="P2801" s="13">
        <v>70678</v>
      </c>
      <c r="Q2801" s="13">
        <v>49523</v>
      </c>
      <c r="S2801" s="13">
        <v>61512</v>
      </c>
      <c r="T2801" s="13">
        <v>0</v>
      </c>
      <c r="U2801" s="13">
        <v>61512</v>
      </c>
      <c r="Z2801" s="13">
        <v>67106</v>
      </c>
      <c r="AB2801" s="13">
        <v>67106</v>
      </c>
      <c r="AC2801" s="16" t="str">
        <f t="shared" si="129"/>
        <v>ADD</v>
      </c>
      <c r="AD2801" s="17">
        <f t="shared" si="130"/>
        <v>61512</v>
      </c>
      <c r="AE2801" s="17">
        <f t="shared" si="131"/>
        <v>67106</v>
      </c>
      <c r="AF2801" s="10" t="s">
        <v>6805</v>
      </c>
      <c r="AG2801" s="5" t="s">
        <v>6806</v>
      </c>
      <c r="AH2801" s="5" t="s">
        <v>6803</v>
      </c>
    </row>
    <row r="2802" spans="1:36" ht="10" customHeight="1" x14ac:dyDescent="0.2">
      <c r="A2802" s="5" t="s">
        <v>6461</v>
      </c>
      <c r="B2802" s="5" t="s">
        <v>45</v>
      </c>
      <c r="D2802" s="5" t="s">
        <v>6807</v>
      </c>
      <c r="E2802" s="10" t="s">
        <v>57</v>
      </c>
      <c r="F2802" s="5" t="s">
        <v>6808</v>
      </c>
      <c r="I2802" s="11">
        <v>4</v>
      </c>
      <c r="K2802" s="10" t="s">
        <v>6809</v>
      </c>
      <c r="L2802" s="5" t="s">
        <v>6810</v>
      </c>
      <c r="M2802" s="5" t="s">
        <v>6811</v>
      </c>
      <c r="N2802" s="5" t="s">
        <v>6812</v>
      </c>
      <c r="O2802" s="12"/>
      <c r="P2802" s="13">
        <v>569</v>
      </c>
      <c r="Q2802" s="13">
        <v>587</v>
      </c>
      <c r="S2802" s="13">
        <v>603</v>
      </c>
      <c r="AC2802" s="16" t="str">
        <f t="shared" si="129"/>
        <v/>
      </c>
      <c r="AD2802" s="17">
        <f t="shared" si="130"/>
        <v>603</v>
      </c>
      <c r="AE2802" s="17">
        <f t="shared" si="131"/>
        <v>0</v>
      </c>
      <c r="AF2802" s="10" t="s">
        <v>6813</v>
      </c>
      <c r="AG2802" s="5" t="s">
        <v>6806</v>
      </c>
      <c r="AH2802" s="5" t="s">
        <v>6803</v>
      </c>
      <c r="AI2802" s="5" t="s">
        <v>6807</v>
      </c>
      <c r="AJ2802" s="5" t="s">
        <v>6814</v>
      </c>
    </row>
    <row r="2803" spans="1:36" ht="10" customHeight="1" x14ac:dyDescent="0.2">
      <c r="A2803" s="5" t="s">
        <v>6461</v>
      </c>
      <c r="B2803" s="5" t="s">
        <v>45</v>
      </c>
      <c r="D2803" s="5" t="s">
        <v>6815</v>
      </c>
      <c r="E2803" s="10" t="s">
        <v>57</v>
      </c>
      <c r="F2803" s="5" t="s">
        <v>6808</v>
      </c>
      <c r="I2803" s="11">
        <v>4</v>
      </c>
      <c r="K2803" s="12"/>
      <c r="O2803" s="12"/>
      <c r="P2803" s="13">
        <v>3477</v>
      </c>
      <c r="Q2803" s="13">
        <v>2323</v>
      </c>
      <c r="S2803" s="13">
        <v>3784</v>
      </c>
      <c r="AC2803" s="16" t="str">
        <f t="shared" si="129"/>
        <v/>
      </c>
      <c r="AD2803" s="17">
        <f t="shared" si="130"/>
        <v>3784</v>
      </c>
      <c r="AE2803" s="17">
        <f t="shared" si="131"/>
        <v>0</v>
      </c>
      <c r="AF2803" s="10" t="s">
        <v>6816</v>
      </c>
      <c r="AG2803" s="5" t="s">
        <v>6806</v>
      </c>
      <c r="AH2803" s="5" t="s">
        <v>6803</v>
      </c>
      <c r="AI2803" s="5" t="s">
        <v>6815</v>
      </c>
      <c r="AJ2803" s="5" t="s">
        <v>6817</v>
      </c>
    </row>
    <row r="2804" spans="1:36" ht="10" customHeight="1" x14ac:dyDescent="0.2">
      <c r="A2804" s="5" t="s">
        <v>6461</v>
      </c>
      <c r="B2804" s="5" t="s">
        <v>45</v>
      </c>
      <c r="D2804" s="5" t="s">
        <v>6818</v>
      </c>
      <c r="E2804" s="10" t="s">
        <v>57</v>
      </c>
      <c r="F2804" s="5" t="s">
        <v>6808</v>
      </c>
      <c r="I2804" s="11">
        <v>4</v>
      </c>
      <c r="K2804" s="12"/>
      <c r="O2804" s="12"/>
      <c r="P2804" s="13">
        <v>2190</v>
      </c>
      <c r="Q2804" s="13">
        <v>598</v>
      </c>
      <c r="S2804" s="13">
        <v>1969</v>
      </c>
      <c r="AC2804" s="16" t="str">
        <f t="shared" si="129"/>
        <v/>
      </c>
      <c r="AD2804" s="17">
        <f t="shared" si="130"/>
        <v>1969</v>
      </c>
      <c r="AE2804" s="17">
        <f t="shared" si="131"/>
        <v>0</v>
      </c>
      <c r="AF2804" s="10" t="s">
        <v>6819</v>
      </c>
      <c r="AG2804" s="5" t="s">
        <v>6806</v>
      </c>
      <c r="AH2804" s="5" t="s">
        <v>6803</v>
      </c>
      <c r="AI2804" s="5" t="s">
        <v>6818</v>
      </c>
      <c r="AJ2804" s="5" t="s">
        <v>6820</v>
      </c>
    </row>
    <row r="2805" spans="1:36" ht="10" customHeight="1" x14ac:dyDescent="0.2">
      <c r="A2805" s="5" t="s">
        <v>6461</v>
      </c>
      <c r="B2805" s="5" t="s">
        <v>45</v>
      </c>
      <c r="D2805" s="5" t="s">
        <v>6821</v>
      </c>
      <c r="E2805" s="10" t="s">
        <v>57</v>
      </c>
      <c r="F2805" s="5" t="s">
        <v>6808</v>
      </c>
      <c r="I2805" s="11">
        <v>4</v>
      </c>
      <c r="K2805" s="10" t="s">
        <v>6809</v>
      </c>
      <c r="L2805" s="5" t="s">
        <v>6810</v>
      </c>
      <c r="M2805" s="5" t="s">
        <v>6811</v>
      </c>
      <c r="N2805" s="5" t="s">
        <v>6812</v>
      </c>
      <c r="O2805" s="12"/>
      <c r="P2805" s="13">
        <v>0</v>
      </c>
      <c r="Q2805" s="13">
        <v>0</v>
      </c>
      <c r="S2805" s="13">
        <v>0</v>
      </c>
      <c r="AC2805" s="16" t="str">
        <f t="shared" si="129"/>
        <v/>
      </c>
      <c r="AD2805" s="17">
        <f t="shared" si="130"/>
        <v>0</v>
      </c>
      <c r="AE2805" s="17">
        <f t="shared" si="131"/>
        <v>0</v>
      </c>
      <c r="AF2805" s="10" t="s">
        <v>6822</v>
      </c>
      <c r="AG2805" s="5" t="s">
        <v>6806</v>
      </c>
      <c r="AH2805" s="5" t="s">
        <v>6803</v>
      </c>
      <c r="AJ2805" s="5" t="s">
        <v>6823</v>
      </c>
    </row>
    <row r="2806" spans="1:36" ht="10" customHeight="1" x14ac:dyDescent="0.2">
      <c r="A2806" s="5" t="s">
        <v>6461</v>
      </c>
      <c r="B2806" s="5" t="s">
        <v>45</v>
      </c>
      <c r="D2806" s="5" t="s">
        <v>6824</v>
      </c>
      <c r="E2806" s="10" t="s">
        <v>57</v>
      </c>
      <c r="F2806" s="5" t="s">
        <v>6808</v>
      </c>
      <c r="I2806" s="11">
        <v>4</v>
      </c>
      <c r="K2806" s="12"/>
      <c r="O2806" s="12"/>
      <c r="P2806" s="13">
        <v>16222</v>
      </c>
      <c r="Q2806" s="13">
        <v>16597</v>
      </c>
      <c r="S2806" s="13">
        <v>19859</v>
      </c>
      <c r="AC2806" s="16" t="str">
        <f t="shared" si="129"/>
        <v/>
      </c>
      <c r="AD2806" s="17">
        <f t="shared" si="130"/>
        <v>19859</v>
      </c>
      <c r="AE2806" s="17">
        <f t="shared" si="131"/>
        <v>0</v>
      </c>
      <c r="AF2806" s="10" t="s">
        <v>6825</v>
      </c>
      <c r="AG2806" s="5" t="s">
        <v>6826</v>
      </c>
      <c r="AH2806" s="5" t="s">
        <v>6803</v>
      </c>
      <c r="AI2806" s="5" t="s">
        <v>6824</v>
      </c>
      <c r="AJ2806" s="5" t="s">
        <v>6827</v>
      </c>
    </row>
    <row r="2807" spans="1:36" ht="10" customHeight="1" x14ac:dyDescent="0.2">
      <c r="A2807" s="5" t="s">
        <v>6461</v>
      </c>
      <c r="B2807" s="5" t="s">
        <v>45</v>
      </c>
      <c r="D2807" s="5" t="s">
        <v>6828</v>
      </c>
      <c r="E2807" s="10" t="s">
        <v>57</v>
      </c>
      <c r="F2807" s="5" t="s">
        <v>6808</v>
      </c>
      <c r="I2807" s="11">
        <v>4</v>
      </c>
      <c r="K2807" s="12"/>
      <c r="O2807" s="12"/>
      <c r="P2807" s="13">
        <v>17420</v>
      </c>
      <c r="Q2807" s="13">
        <v>15112</v>
      </c>
      <c r="S2807" s="13">
        <v>17741</v>
      </c>
      <c r="AC2807" s="16" t="str">
        <f t="shared" si="129"/>
        <v/>
      </c>
      <c r="AD2807" s="17">
        <f t="shared" si="130"/>
        <v>17741</v>
      </c>
      <c r="AE2807" s="17">
        <f t="shared" si="131"/>
        <v>0</v>
      </c>
      <c r="AF2807" s="10" t="s">
        <v>6829</v>
      </c>
      <c r="AG2807" s="5" t="s">
        <v>6826</v>
      </c>
      <c r="AH2807" s="5" t="s">
        <v>6803</v>
      </c>
      <c r="AI2807" s="5" t="s">
        <v>6828</v>
      </c>
      <c r="AJ2807" s="5" t="s">
        <v>6830</v>
      </c>
    </row>
    <row r="2808" spans="1:36" ht="10" customHeight="1" x14ac:dyDescent="0.2">
      <c r="A2808" s="5" t="s">
        <v>6461</v>
      </c>
      <c r="B2808" s="5" t="s">
        <v>45</v>
      </c>
      <c r="D2808" s="5" t="s">
        <v>6831</v>
      </c>
      <c r="E2808" s="10" t="s">
        <v>57</v>
      </c>
      <c r="F2808" s="5" t="s">
        <v>6808</v>
      </c>
      <c r="I2808" s="11">
        <v>4</v>
      </c>
      <c r="K2808" s="12"/>
      <c r="O2808" s="12"/>
      <c r="P2808" s="13">
        <v>19143</v>
      </c>
      <c r="Q2808" s="13">
        <v>5974</v>
      </c>
      <c r="S2808" s="13">
        <v>4951</v>
      </c>
      <c r="AC2808" s="16" t="str">
        <f t="shared" si="129"/>
        <v/>
      </c>
      <c r="AD2808" s="17">
        <f t="shared" si="130"/>
        <v>4951</v>
      </c>
      <c r="AE2808" s="17">
        <f t="shared" si="131"/>
        <v>0</v>
      </c>
      <c r="AF2808" s="10" t="s">
        <v>6832</v>
      </c>
      <c r="AG2808" s="5" t="s">
        <v>6826</v>
      </c>
      <c r="AH2808" s="5" t="s">
        <v>6803</v>
      </c>
      <c r="AI2808" s="5" t="s">
        <v>6831</v>
      </c>
    </row>
    <row r="2809" spans="1:36" ht="10" customHeight="1" x14ac:dyDescent="0.2">
      <c r="A2809" s="5" t="s">
        <v>6461</v>
      </c>
      <c r="B2809" s="5" t="s">
        <v>45</v>
      </c>
      <c r="D2809" s="5" t="s">
        <v>6833</v>
      </c>
      <c r="E2809" s="10" t="s">
        <v>57</v>
      </c>
      <c r="F2809" s="5" t="s">
        <v>6808</v>
      </c>
      <c r="I2809" s="11">
        <v>4</v>
      </c>
      <c r="K2809" s="12"/>
      <c r="O2809" s="12"/>
      <c r="P2809" s="13">
        <v>5776</v>
      </c>
      <c r="Q2809" s="13">
        <v>5616</v>
      </c>
      <c r="S2809" s="13">
        <v>7020</v>
      </c>
      <c r="AC2809" s="16" t="str">
        <f t="shared" si="129"/>
        <v/>
      </c>
      <c r="AD2809" s="17">
        <f t="shared" si="130"/>
        <v>7020</v>
      </c>
      <c r="AE2809" s="17">
        <f t="shared" si="131"/>
        <v>0</v>
      </c>
      <c r="AF2809" s="10" t="s">
        <v>6834</v>
      </c>
      <c r="AG2809" s="5" t="s">
        <v>6826</v>
      </c>
      <c r="AH2809" s="5" t="s">
        <v>6803</v>
      </c>
      <c r="AI2809" s="5" t="s">
        <v>6833</v>
      </c>
      <c r="AJ2809" s="5" t="s">
        <v>6835</v>
      </c>
    </row>
    <row r="2810" spans="1:36" ht="10" customHeight="1" x14ac:dyDescent="0.2">
      <c r="A2810" s="5" t="s">
        <v>6836</v>
      </c>
      <c r="B2810" s="5" t="s">
        <v>45</v>
      </c>
      <c r="C2810" s="5" t="s">
        <v>1421</v>
      </c>
      <c r="D2810" s="5" t="s">
        <v>6837</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6" t="str">
        <f t="shared" si="129"/>
        <v>ADD</v>
      </c>
      <c r="AD2810" s="17">
        <f t="shared" si="130"/>
        <v>369908</v>
      </c>
      <c r="AE2810" s="17">
        <f t="shared" si="131"/>
        <v>300151</v>
      </c>
      <c r="AF2810" s="10" t="s">
        <v>6838</v>
      </c>
      <c r="AG2810" s="5" t="s">
        <v>66</v>
      </c>
      <c r="AH2810" s="5" t="s">
        <v>6839</v>
      </c>
      <c r="AI2810" s="5" t="s">
        <v>6840</v>
      </c>
    </row>
    <row r="2811" spans="1:36" ht="10" customHeight="1" x14ac:dyDescent="0.2">
      <c r="A2811" s="5" t="s">
        <v>6836</v>
      </c>
      <c r="B2811" s="5" t="s">
        <v>45</v>
      </c>
      <c r="D2811" s="5" t="s">
        <v>6841</v>
      </c>
      <c r="E2811" s="10" t="s">
        <v>57</v>
      </c>
      <c r="F2811" s="5" t="s">
        <v>6842</v>
      </c>
      <c r="I2811" s="11">
        <v>6</v>
      </c>
      <c r="K2811" s="12"/>
      <c r="O2811" s="12"/>
      <c r="P2811" s="13">
        <v>2396</v>
      </c>
      <c r="Q2811" s="13">
        <v>4004</v>
      </c>
      <c r="S2811" s="13">
        <v>1590</v>
      </c>
      <c r="U2811" s="13">
        <v>1590</v>
      </c>
      <c r="AC2811" s="16" t="str">
        <f t="shared" si="129"/>
        <v/>
      </c>
      <c r="AD2811" s="17">
        <f t="shared" si="130"/>
        <v>1590</v>
      </c>
      <c r="AE2811" s="17">
        <f t="shared" si="131"/>
        <v>0</v>
      </c>
      <c r="AF2811" s="10" t="s">
        <v>6843</v>
      </c>
      <c r="AG2811" s="5" t="s">
        <v>715</v>
      </c>
      <c r="AH2811" s="5" t="s">
        <v>6839</v>
      </c>
      <c r="AI2811" s="5" t="s">
        <v>6840</v>
      </c>
      <c r="AJ2811" s="5" t="s">
        <v>6844</v>
      </c>
    </row>
    <row r="2812" spans="1:36" ht="10" customHeight="1" x14ac:dyDescent="0.2">
      <c r="A2812" s="5" t="s">
        <v>6836</v>
      </c>
      <c r="B2812" s="5" t="s">
        <v>45</v>
      </c>
      <c r="D2812" s="5" t="s">
        <v>6845</v>
      </c>
      <c r="E2812" s="10" t="s">
        <v>57</v>
      </c>
      <c r="F2812" s="5" t="s">
        <v>6842</v>
      </c>
      <c r="I2812" s="11">
        <v>6</v>
      </c>
      <c r="K2812" s="12"/>
      <c r="O2812" s="12"/>
      <c r="P2812" s="13">
        <v>133532</v>
      </c>
      <c r="Q2812" s="13">
        <v>176356</v>
      </c>
      <c r="S2812" s="13">
        <v>124802</v>
      </c>
      <c r="U2812" s="13">
        <v>124802</v>
      </c>
      <c r="AC2812" s="16" t="str">
        <f t="shared" si="129"/>
        <v/>
      </c>
      <c r="AD2812" s="17">
        <f t="shared" si="130"/>
        <v>124802</v>
      </c>
      <c r="AE2812" s="17">
        <f t="shared" si="131"/>
        <v>0</v>
      </c>
      <c r="AF2812" s="10" t="s">
        <v>6843</v>
      </c>
      <c r="AG2812" s="5" t="s">
        <v>715</v>
      </c>
      <c r="AH2812" s="5" t="s">
        <v>6839</v>
      </c>
      <c r="AI2812" s="5" t="s">
        <v>6840</v>
      </c>
      <c r="AJ2812" s="5" t="s">
        <v>6846</v>
      </c>
    </row>
    <row r="2813" spans="1:36" ht="10" customHeight="1" x14ac:dyDescent="0.2">
      <c r="A2813" s="5" t="s">
        <v>6836</v>
      </c>
      <c r="B2813" s="5" t="s">
        <v>45</v>
      </c>
      <c r="D2813" s="5" t="s">
        <v>6847</v>
      </c>
      <c r="E2813" s="10" t="s">
        <v>57</v>
      </c>
      <c r="F2813" s="5" t="s">
        <v>6842</v>
      </c>
      <c r="I2813" s="11">
        <v>6</v>
      </c>
      <c r="K2813" s="12"/>
      <c r="O2813" s="12"/>
      <c r="P2813" s="13">
        <v>46840</v>
      </c>
      <c r="Q2813" s="13">
        <v>53014</v>
      </c>
      <c r="S2813" s="13">
        <v>27347</v>
      </c>
      <c r="U2813" s="13">
        <v>27347</v>
      </c>
      <c r="AC2813" s="16" t="str">
        <f t="shared" si="129"/>
        <v/>
      </c>
      <c r="AD2813" s="17">
        <f t="shared" si="130"/>
        <v>27347</v>
      </c>
      <c r="AE2813" s="17">
        <f t="shared" si="131"/>
        <v>0</v>
      </c>
      <c r="AF2813" s="10" t="s">
        <v>6843</v>
      </c>
      <c r="AG2813" s="5" t="s">
        <v>715</v>
      </c>
      <c r="AH2813" s="5" t="s">
        <v>6839</v>
      </c>
      <c r="AI2813" s="5" t="s">
        <v>6840</v>
      </c>
      <c r="AJ2813" s="5" t="s">
        <v>6848</v>
      </c>
    </row>
    <row r="2814" spans="1:36" ht="10" customHeight="1" x14ac:dyDescent="0.2">
      <c r="A2814" s="5" t="s">
        <v>6836</v>
      </c>
      <c r="B2814" s="5" t="s">
        <v>45</v>
      </c>
      <c r="D2814" s="5" t="s">
        <v>6849</v>
      </c>
      <c r="E2814" s="10" t="s">
        <v>57</v>
      </c>
      <c r="F2814" s="5" t="s">
        <v>6842</v>
      </c>
      <c r="I2814" s="11">
        <v>6</v>
      </c>
      <c r="K2814" s="12"/>
      <c r="O2814" s="12"/>
      <c r="P2814" s="13">
        <v>2719</v>
      </c>
      <c r="Q2814" s="13">
        <v>11212</v>
      </c>
      <c r="S2814" s="13">
        <v>18624</v>
      </c>
      <c r="U2814" s="13">
        <v>18624</v>
      </c>
      <c r="AC2814" s="16" t="str">
        <f t="shared" si="129"/>
        <v/>
      </c>
      <c r="AD2814" s="17">
        <f t="shared" si="130"/>
        <v>18624</v>
      </c>
      <c r="AE2814" s="17">
        <f t="shared" si="131"/>
        <v>0</v>
      </c>
      <c r="AF2814" s="10" t="s">
        <v>6850</v>
      </c>
      <c r="AG2814" s="5" t="s">
        <v>715</v>
      </c>
      <c r="AH2814" s="5" t="s">
        <v>6839</v>
      </c>
      <c r="AI2814" s="5" t="s">
        <v>6840</v>
      </c>
      <c r="AJ2814" s="5" t="s">
        <v>6851</v>
      </c>
    </row>
    <row r="2815" spans="1:36" ht="10" customHeight="1" x14ac:dyDescent="0.2">
      <c r="A2815" s="5" t="s">
        <v>6836</v>
      </c>
      <c r="B2815" s="5" t="s">
        <v>45</v>
      </c>
      <c r="D2815" s="5" t="s">
        <v>6852</v>
      </c>
      <c r="E2815" s="10" t="s">
        <v>57</v>
      </c>
      <c r="F2815" s="5" t="s">
        <v>6842</v>
      </c>
      <c r="I2815" s="11">
        <v>6</v>
      </c>
      <c r="K2815" s="12"/>
      <c r="O2815" s="12"/>
      <c r="P2815" s="13">
        <v>113128</v>
      </c>
      <c r="Q2815" s="13">
        <v>66404</v>
      </c>
      <c r="AC2815" s="16" t="str">
        <f t="shared" si="129"/>
        <v/>
      </c>
      <c r="AD2815" s="17">
        <f t="shared" si="130"/>
        <v>0</v>
      </c>
      <c r="AE2815" s="17">
        <f t="shared" si="131"/>
        <v>0</v>
      </c>
      <c r="AF2815" s="10" t="s">
        <v>6850</v>
      </c>
      <c r="AG2815" s="5" t="s">
        <v>715</v>
      </c>
      <c r="AH2815" s="5" t="s">
        <v>6839</v>
      </c>
      <c r="AI2815" s="5" t="s">
        <v>6840</v>
      </c>
      <c r="AJ2815" s="5" t="s">
        <v>6853</v>
      </c>
    </row>
    <row r="2816" spans="1:36" ht="10" customHeight="1" x14ac:dyDescent="0.2">
      <c r="A2816" s="5" t="s">
        <v>6836</v>
      </c>
      <c r="B2816" s="5" t="s">
        <v>45</v>
      </c>
      <c r="D2816" s="5" t="s">
        <v>6854</v>
      </c>
      <c r="E2816" s="10" t="s">
        <v>57</v>
      </c>
      <c r="F2816" s="5" t="s">
        <v>6842</v>
      </c>
      <c r="I2816" s="11">
        <v>6</v>
      </c>
      <c r="K2816" s="12"/>
      <c r="O2816" s="12"/>
      <c r="Q2816" s="13">
        <v>29991</v>
      </c>
      <c r="S2816" s="13">
        <v>64766</v>
      </c>
      <c r="U2816" s="13">
        <v>64766</v>
      </c>
      <c r="AC2816" s="16" t="str">
        <f t="shared" si="129"/>
        <v/>
      </c>
      <c r="AD2816" s="17">
        <f t="shared" si="130"/>
        <v>64766</v>
      </c>
      <c r="AE2816" s="17">
        <f t="shared" si="131"/>
        <v>0</v>
      </c>
      <c r="AF2816" s="10" t="s">
        <v>6850</v>
      </c>
      <c r="AG2816" s="5" t="s">
        <v>767</v>
      </c>
      <c r="AH2816" s="5" t="s">
        <v>6839</v>
      </c>
      <c r="AI2816" s="5" t="s">
        <v>6840</v>
      </c>
    </row>
    <row r="2817" spans="1:36" ht="10" customHeight="1" x14ac:dyDescent="0.2">
      <c r="A2817" s="5" t="s">
        <v>6836</v>
      </c>
      <c r="B2817" s="5" t="s">
        <v>45</v>
      </c>
      <c r="D2817" s="5" t="s">
        <v>6855</v>
      </c>
      <c r="E2817" s="10" t="s">
        <v>57</v>
      </c>
      <c r="F2817" s="5" t="s">
        <v>6842</v>
      </c>
      <c r="I2817" s="11">
        <v>6</v>
      </c>
      <c r="K2817" s="12"/>
      <c r="O2817" s="12"/>
      <c r="AC2817" s="16" t="str">
        <f t="shared" si="129"/>
        <v/>
      </c>
      <c r="AD2817" s="17">
        <f t="shared" si="130"/>
        <v>0</v>
      </c>
      <c r="AE2817" s="17">
        <f t="shared" si="131"/>
        <v>0</v>
      </c>
      <c r="AF2817" s="10" t="s">
        <v>6856</v>
      </c>
      <c r="AG2817" s="5" t="s">
        <v>767</v>
      </c>
      <c r="AH2817" s="5" t="s">
        <v>6839</v>
      </c>
      <c r="AI2817" s="5" t="s">
        <v>6840</v>
      </c>
      <c r="AJ2817" s="5" t="s">
        <v>6857</v>
      </c>
    </row>
    <row r="2818" spans="1:36" ht="10" customHeight="1" x14ac:dyDescent="0.2">
      <c r="A2818" s="5" t="s">
        <v>6836</v>
      </c>
      <c r="B2818" s="5" t="s">
        <v>45</v>
      </c>
      <c r="D2818" s="5" t="s">
        <v>6858</v>
      </c>
      <c r="E2818" s="10" t="s">
        <v>57</v>
      </c>
      <c r="F2818" s="5" t="s">
        <v>6842</v>
      </c>
      <c r="I2818" s="11">
        <v>6</v>
      </c>
      <c r="K2818" s="12"/>
      <c r="O2818" s="12"/>
      <c r="P2818" s="13">
        <v>3444</v>
      </c>
      <c r="Q2818" s="13">
        <v>3379</v>
      </c>
      <c r="S2818" s="13">
        <v>3474</v>
      </c>
      <c r="U2818" s="13">
        <v>3474</v>
      </c>
      <c r="AC2818" s="16" t="str">
        <f t="shared" si="129"/>
        <v/>
      </c>
      <c r="AD2818" s="17">
        <f t="shared" si="130"/>
        <v>3474</v>
      </c>
      <c r="AE2818" s="17">
        <f t="shared" si="131"/>
        <v>0</v>
      </c>
      <c r="AF2818" s="10" t="s">
        <v>6859</v>
      </c>
      <c r="AG2818" s="5" t="s">
        <v>767</v>
      </c>
      <c r="AH2818" s="5" t="s">
        <v>6839</v>
      </c>
      <c r="AI2818" s="5" t="s">
        <v>6840</v>
      </c>
      <c r="AJ2818" s="5" t="s">
        <v>6860</v>
      </c>
    </row>
    <row r="2819" spans="1:36" ht="10" customHeight="1" x14ac:dyDescent="0.2">
      <c r="A2819" s="5" t="s">
        <v>6836</v>
      </c>
      <c r="B2819" s="5" t="s">
        <v>45</v>
      </c>
      <c r="D2819" s="5" t="s">
        <v>6861</v>
      </c>
      <c r="E2819" s="10" t="s">
        <v>57</v>
      </c>
      <c r="F2819" s="5" t="s">
        <v>6842</v>
      </c>
      <c r="I2819" s="11">
        <v>6</v>
      </c>
      <c r="K2819" s="12"/>
      <c r="O2819" s="12"/>
      <c r="P2819" s="13">
        <v>3803</v>
      </c>
      <c r="Q2819" s="13">
        <v>3962</v>
      </c>
      <c r="S2819" s="13">
        <v>4041</v>
      </c>
      <c r="U2819" s="13">
        <v>4041</v>
      </c>
      <c r="AC2819" s="16" t="str">
        <f t="shared" si="129"/>
        <v/>
      </c>
      <c r="AD2819" s="17">
        <f t="shared" si="130"/>
        <v>4041</v>
      </c>
      <c r="AE2819" s="17">
        <f t="shared" si="131"/>
        <v>0</v>
      </c>
      <c r="AF2819" s="10" t="s">
        <v>6859</v>
      </c>
      <c r="AG2819" s="5" t="s">
        <v>767</v>
      </c>
      <c r="AH2819" s="5" t="s">
        <v>6839</v>
      </c>
      <c r="AI2819" s="5" t="s">
        <v>6840</v>
      </c>
      <c r="AJ2819" s="5" t="s">
        <v>6860</v>
      </c>
    </row>
    <row r="2820" spans="1:36" ht="10" customHeight="1" x14ac:dyDescent="0.2">
      <c r="A2820" s="5" t="s">
        <v>6836</v>
      </c>
      <c r="B2820" s="5" t="s">
        <v>45</v>
      </c>
      <c r="D2820" s="5" t="s">
        <v>6862</v>
      </c>
      <c r="E2820" s="10" t="s">
        <v>57</v>
      </c>
      <c r="F2820" s="5" t="s">
        <v>6842</v>
      </c>
      <c r="I2820" s="11">
        <v>6</v>
      </c>
      <c r="K2820" s="12"/>
      <c r="O2820" s="12"/>
      <c r="AC2820" s="16" t="str">
        <f t="shared" si="129"/>
        <v/>
      </c>
      <c r="AD2820" s="17">
        <f t="shared" si="130"/>
        <v>0</v>
      </c>
      <c r="AE2820" s="17">
        <f t="shared" si="131"/>
        <v>0</v>
      </c>
      <c r="AF2820" s="10" t="s">
        <v>6859</v>
      </c>
      <c r="AG2820" s="5" t="s">
        <v>767</v>
      </c>
      <c r="AH2820" s="5" t="s">
        <v>6839</v>
      </c>
      <c r="AI2820" s="5" t="s">
        <v>6840</v>
      </c>
      <c r="AJ2820" s="5" t="s">
        <v>6860</v>
      </c>
    </row>
    <row r="2821" spans="1:36" ht="10" customHeight="1" x14ac:dyDescent="0.2">
      <c r="A2821" s="5" t="s">
        <v>6836</v>
      </c>
      <c r="B2821" s="5" t="s">
        <v>45</v>
      </c>
      <c r="D2821" s="5" t="s">
        <v>6863</v>
      </c>
      <c r="E2821" s="10" t="s">
        <v>57</v>
      </c>
      <c r="F2821" s="5" t="s">
        <v>6842</v>
      </c>
      <c r="I2821" s="11">
        <v>6</v>
      </c>
      <c r="K2821" s="12"/>
      <c r="O2821" s="12"/>
      <c r="P2821" s="13">
        <v>2555</v>
      </c>
      <c r="Q2821" s="13">
        <v>2575</v>
      </c>
      <c r="S2821" s="13">
        <v>2626</v>
      </c>
      <c r="U2821" s="13">
        <v>2626</v>
      </c>
      <c r="AC2821" s="16" t="str">
        <f t="shared" si="129"/>
        <v/>
      </c>
      <c r="AD2821" s="17">
        <f t="shared" si="130"/>
        <v>2626</v>
      </c>
      <c r="AE2821" s="17">
        <f t="shared" si="131"/>
        <v>0</v>
      </c>
      <c r="AF2821" s="10" t="s">
        <v>6864</v>
      </c>
      <c r="AG2821" s="5" t="s">
        <v>804</v>
      </c>
      <c r="AH2821" s="5" t="s">
        <v>6839</v>
      </c>
      <c r="AI2821" s="5" t="s">
        <v>6840</v>
      </c>
      <c r="AJ2821" s="5" t="s">
        <v>6865</v>
      </c>
    </row>
    <row r="2822" spans="1:36" ht="10" customHeight="1" x14ac:dyDescent="0.2">
      <c r="A2822" s="5" t="s">
        <v>6836</v>
      </c>
      <c r="B2822" s="5" t="s">
        <v>45</v>
      </c>
      <c r="D2822" s="5" t="s">
        <v>6866</v>
      </c>
      <c r="E2822" s="10" t="s">
        <v>57</v>
      </c>
      <c r="F2822" s="5" t="s">
        <v>6842</v>
      </c>
      <c r="I2822" s="11">
        <v>6</v>
      </c>
      <c r="K2822" s="12"/>
      <c r="O2822" s="12"/>
      <c r="P2822" s="13">
        <v>2555</v>
      </c>
      <c r="Q2822" s="13">
        <v>2544</v>
      </c>
      <c r="S2822" s="13">
        <v>2638</v>
      </c>
      <c r="U2822" s="13">
        <v>2638</v>
      </c>
      <c r="AC2822" s="16" t="str">
        <f t="shared" ref="AC2822:AC2885" si="132">IF(OR(E2822="",E2822="[PARENT]"),"ADD",IF(E2822="[ALT_VIEW]","ALT",""))</f>
        <v/>
      </c>
      <c r="AD2822" s="17">
        <f t="shared" ref="AD2822:AD2885" si="133">IF(Y2822&lt;&gt;"",Y2822,IF(U2822&lt;&gt;"",U2822,S2822))</f>
        <v>2638</v>
      </c>
      <c r="AE2822" s="17">
        <f t="shared" ref="AE2822:AE2885" si="134">IF(AB2822&lt;&gt;"",AB2822,Z2822)</f>
        <v>0</v>
      </c>
      <c r="AF2822" s="10" t="s">
        <v>6864</v>
      </c>
      <c r="AG2822" s="5" t="s">
        <v>804</v>
      </c>
      <c r="AH2822" s="5" t="s">
        <v>6839</v>
      </c>
      <c r="AI2822" s="5" t="s">
        <v>6840</v>
      </c>
      <c r="AJ2822" s="5" t="s">
        <v>6865</v>
      </c>
    </row>
    <row r="2823" spans="1:36" ht="10" customHeight="1" x14ac:dyDescent="0.2">
      <c r="A2823" s="5" t="s">
        <v>6836</v>
      </c>
      <c r="B2823" s="5" t="s">
        <v>45</v>
      </c>
      <c r="C2823" s="5" t="s">
        <v>1432</v>
      </c>
      <c r="D2823" s="5" t="s">
        <v>6867</v>
      </c>
      <c r="E2823" s="10" t="s">
        <v>48</v>
      </c>
      <c r="I2823" s="11">
        <v>4</v>
      </c>
      <c r="K2823" s="12"/>
      <c r="O2823" s="12"/>
      <c r="P2823" s="13">
        <v>5392</v>
      </c>
      <c r="Q2823" s="13">
        <v>5431</v>
      </c>
      <c r="S2823" s="13">
        <v>5191</v>
      </c>
      <c r="U2823" s="13">
        <v>5191</v>
      </c>
      <c r="X2823" s="13">
        <v>5191</v>
      </c>
      <c r="Y2823" s="13">
        <v>5191</v>
      </c>
      <c r="Z2823" s="13">
        <v>4831</v>
      </c>
      <c r="AB2823" s="13">
        <v>4831</v>
      </c>
      <c r="AC2823" s="16" t="str">
        <f t="shared" si="132"/>
        <v>ADD</v>
      </c>
      <c r="AD2823" s="17">
        <f t="shared" si="133"/>
        <v>5191</v>
      </c>
      <c r="AE2823" s="17">
        <f t="shared" si="134"/>
        <v>4831</v>
      </c>
      <c r="AF2823" s="10" t="s">
        <v>6868</v>
      </c>
      <c r="AG2823" s="5" t="s">
        <v>1109</v>
      </c>
      <c r="AH2823" s="5" t="s">
        <v>6869</v>
      </c>
      <c r="AI2823" s="5" t="s">
        <v>6867</v>
      </c>
    </row>
    <row r="2824" spans="1:36" ht="10" customHeight="1" x14ac:dyDescent="0.2">
      <c r="A2824" s="5" t="s">
        <v>6836</v>
      </c>
      <c r="B2824" s="5" t="s">
        <v>45</v>
      </c>
      <c r="D2824" s="5" t="s">
        <v>6870</v>
      </c>
      <c r="E2824" s="10" t="s">
        <v>57</v>
      </c>
      <c r="F2824" s="5" t="s">
        <v>6871</v>
      </c>
      <c r="I2824" s="11">
        <v>4</v>
      </c>
      <c r="K2824" s="12"/>
      <c r="O2824" s="12"/>
      <c r="P2824" s="13">
        <v>1721</v>
      </c>
      <c r="Q2824" s="13">
        <v>1777</v>
      </c>
      <c r="S2824" s="13">
        <v>1811</v>
      </c>
      <c r="U2824" s="13">
        <v>1811</v>
      </c>
      <c r="AC2824" s="16" t="str">
        <f t="shared" si="132"/>
        <v/>
      </c>
      <c r="AD2824" s="17">
        <f t="shared" si="133"/>
        <v>1811</v>
      </c>
      <c r="AE2824" s="17">
        <f t="shared" si="134"/>
        <v>0</v>
      </c>
      <c r="AF2824" s="10" t="s">
        <v>6872</v>
      </c>
      <c r="AG2824" s="5" t="s">
        <v>1133</v>
      </c>
      <c r="AH2824" s="5" t="s">
        <v>6869</v>
      </c>
      <c r="AI2824" s="5" t="s">
        <v>6867</v>
      </c>
    </row>
    <row r="2825" spans="1:36" ht="10" customHeight="1" x14ac:dyDescent="0.2">
      <c r="A2825" s="5" t="s">
        <v>6836</v>
      </c>
      <c r="B2825" s="5" t="s">
        <v>45</v>
      </c>
      <c r="D2825" s="5" t="s">
        <v>6873</v>
      </c>
      <c r="E2825" s="10" t="s">
        <v>57</v>
      </c>
      <c r="F2825" s="5" t="s">
        <v>6871</v>
      </c>
      <c r="I2825" s="11">
        <v>6</v>
      </c>
      <c r="K2825" s="12"/>
      <c r="O2825" s="12"/>
      <c r="P2825" s="13">
        <v>1843</v>
      </c>
      <c r="Q2825" s="13">
        <v>1884</v>
      </c>
      <c r="S2825" s="13">
        <v>1921</v>
      </c>
      <c r="U2825" s="13">
        <v>1921</v>
      </c>
      <c r="AC2825" s="16" t="str">
        <f t="shared" si="132"/>
        <v/>
      </c>
      <c r="AD2825" s="17">
        <f t="shared" si="133"/>
        <v>1921</v>
      </c>
      <c r="AE2825" s="17">
        <f t="shared" si="134"/>
        <v>0</v>
      </c>
      <c r="AF2825" s="10" t="s">
        <v>6872</v>
      </c>
      <c r="AG2825" s="5" t="s">
        <v>1133</v>
      </c>
      <c r="AH2825" s="5" t="s">
        <v>6869</v>
      </c>
      <c r="AI2825" s="5" t="s">
        <v>6867</v>
      </c>
    </row>
    <row r="2826" spans="1:36" ht="10" customHeight="1" x14ac:dyDescent="0.2">
      <c r="A2826" s="5" t="s">
        <v>6836</v>
      </c>
      <c r="B2826" s="5" t="s">
        <v>45</v>
      </c>
      <c r="D2826" s="5" t="s">
        <v>6874</v>
      </c>
      <c r="E2826" s="10" t="s">
        <v>57</v>
      </c>
      <c r="F2826" s="5" t="s">
        <v>6871</v>
      </c>
      <c r="I2826" s="11">
        <v>6</v>
      </c>
      <c r="K2826" s="12"/>
      <c r="O2826" s="12"/>
      <c r="P2826" s="13">
        <v>218</v>
      </c>
      <c r="Q2826" s="13">
        <v>206</v>
      </c>
      <c r="S2826" s="13">
        <v>175</v>
      </c>
      <c r="U2826" s="13">
        <v>175</v>
      </c>
      <c r="AC2826" s="16" t="str">
        <f t="shared" si="132"/>
        <v/>
      </c>
      <c r="AD2826" s="17">
        <f t="shared" si="133"/>
        <v>175</v>
      </c>
      <c r="AE2826" s="17">
        <f t="shared" si="134"/>
        <v>0</v>
      </c>
      <c r="AF2826" s="10" t="s">
        <v>6875</v>
      </c>
      <c r="AG2826" s="5" t="s">
        <v>1133</v>
      </c>
      <c r="AH2826" s="5" t="s">
        <v>6869</v>
      </c>
      <c r="AI2826" s="5" t="s">
        <v>6867</v>
      </c>
    </row>
    <row r="2827" spans="1:36" ht="10" customHeight="1" x14ac:dyDescent="0.2">
      <c r="A2827" s="5" t="s">
        <v>6836</v>
      </c>
      <c r="B2827" s="5" t="s">
        <v>45</v>
      </c>
      <c r="D2827" s="5" t="s">
        <v>6876</v>
      </c>
      <c r="E2827" s="10" t="s">
        <v>57</v>
      </c>
      <c r="F2827" s="5" t="s">
        <v>6871</v>
      </c>
      <c r="I2827" s="11">
        <v>6</v>
      </c>
      <c r="K2827" s="12"/>
      <c r="O2827" s="12"/>
      <c r="P2827" s="13">
        <v>550</v>
      </c>
      <c r="Q2827" s="13">
        <v>541</v>
      </c>
      <c r="S2827" s="13">
        <v>461</v>
      </c>
      <c r="U2827" s="13">
        <v>461</v>
      </c>
      <c r="AC2827" s="16" t="str">
        <f t="shared" si="132"/>
        <v/>
      </c>
      <c r="AD2827" s="17">
        <f t="shared" si="133"/>
        <v>461</v>
      </c>
      <c r="AE2827" s="17">
        <f t="shared" si="134"/>
        <v>0</v>
      </c>
      <c r="AF2827" s="10" t="s">
        <v>6875</v>
      </c>
      <c r="AG2827" s="5" t="s">
        <v>1133</v>
      </c>
      <c r="AH2827" s="5" t="s">
        <v>6869</v>
      </c>
      <c r="AI2827" s="5" t="s">
        <v>6867</v>
      </c>
    </row>
    <row r="2828" spans="1:36" ht="10" customHeight="1" x14ac:dyDescent="0.2">
      <c r="A2828" s="5" t="s">
        <v>6836</v>
      </c>
      <c r="B2828" s="5" t="s">
        <v>45</v>
      </c>
      <c r="D2828" s="5" t="s">
        <v>6877</v>
      </c>
      <c r="E2828" s="10" t="s">
        <v>57</v>
      </c>
      <c r="F2828" s="5" t="s">
        <v>6871</v>
      </c>
      <c r="I2828" s="11">
        <v>6</v>
      </c>
      <c r="K2828" s="12"/>
      <c r="O2828" s="12"/>
      <c r="P2828" s="13">
        <v>573</v>
      </c>
      <c r="Q2828" s="13">
        <v>567</v>
      </c>
      <c r="S2828" s="13">
        <v>445</v>
      </c>
      <c r="U2828" s="13">
        <v>445</v>
      </c>
      <c r="AC2828" s="16" t="str">
        <f t="shared" si="132"/>
        <v/>
      </c>
      <c r="AD2828" s="17">
        <f t="shared" si="133"/>
        <v>445</v>
      </c>
      <c r="AE2828" s="17">
        <f t="shared" si="134"/>
        <v>0</v>
      </c>
      <c r="AF2828" s="10" t="s">
        <v>6875</v>
      </c>
      <c r="AG2828" s="5" t="s">
        <v>1133</v>
      </c>
      <c r="AH2828" s="5" t="s">
        <v>6869</v>
      </c>
      <c r="AI2828" s="5" t="s">
        <v>6867</v>
      </c>
    </row>
    <row r="2829" spans="1:36" ht="10" customHeight="1" x14ac:dyDescent="0.2">
      <c r="A2829" s="5" t="s">
        <v>6836</v>
      </c>
      <c r="B2829" s="5" t="s">
        <v>45</v>
      </c>
      <c r="D2829" s="5" t="s">
        <v>6878</v>
      </c>
      <c r="E2829" s="10" t="s">
        <v>57</v>
      </c>
      <c r="F2829" s="5" t="s">
        <v>6871</v>
      </c>
      <c r="I2829" s="11">
        <v>6</v>
      </c>
      <c r="K2829" s="12"/>
      <c r="O2829" s="12"/>
      <c r="P2829" s="13">
        <v>160</v>
      </c>
      <c r="Q2829" s="13">
        <v>138</v>
      </c>
      <c r="S2829" s="13">
        <v>118</v>
      </c>
      <c r="U2829" s="13">
        <v>118</v>
      </c>
      <c r="AC2829" s="16" t="str">
        <f t="shared" si="132"/>
        <v/>
      </c>
      <c r="AD2829" s="17">
        <f t="shared" si="133"/>
        <v>118</v>
      </c>
      <c r="AE2829" s="17">
        <f t="shared" si="134"/>
        <v>0</v>
      </c>
      <c r="AF2829" s="10" t="s">
        <v>6875</v>
      </c>
      <c r="AG2829" s="5" t="s">
        <v>1133</v>
      </c>
      <c r="AH2829" s="5" t="s">
        <v>6869</v>
      </c>
      <c r="AI2829" s="5" t="s">
        <v>6867</v>
      </c>
    </row>
    <row r="2830" spans="1:36" ht="10" customHeight="1" x14ac:dyDescent="0.2">
      <c r="A2830" s="5" t="s">
        <v>6836</v>
      </c>
      <c r="B2830" s="5" t="s">
        <v>45</v>
      </c>
      <c r="D2830" s="5" t="s">
        <v>6879</v>
      </c>
      <c r="E2830" s="10" t="s">
        <v>57</v>
      </c>
      <c r="F2830" s="5" t="s">
        <v>6871</v>
      </c>
      <c r="I2830" s="11">
        <v>6</v>
      </c>
      <c r="K2830" s="12"/>
      <c r="O2830" s="12"/>
      <c r="P2830" s="13">
        <v>327</v>
      </c>
      <c r="Q2830" s="13">
        <v>318</v>
      </c>
      <c r="S2830" s="13">
        <v>260</v>
      </c>
      <c r="U2830" s="13">
        <v>260</v>
      </c>
      <c r="AC2830" s="16" t="str">
        <f t="shared" si="132"/>
        <v/>
      </c>
      <c r="AD2830" s="17">
        <f t="shared" si="133"/>
        <v>260</v>
      </c>
      <c r="AE2830" s="17">
        <f t="shared" si="134"/>
        <v>0</v>
      </c>
      <c r="AF2830" s="10" t="s">
        <v>6875</v>
      </c>
      <c r="AG2830" s="5" t="s">
        <v>1133</v>
      </c>
      <c r="AH2830" s="5" t="s">
        <v>6869</v>
      </c>
      <c r="AI2830" s="5" t="s">
        <v>6867</v>
      </c>
    </row>
    <row r="2831" spans="1:36" ht="10" customHeight="1" x14ac:dyDescent="0.2">
      <c r="A2831" s="5" t="s">
        <v>6836</v>
      </c>
      <c r="B2831" s="5" t="s">
        <v>45</v>
      </c>
      <c r="C2831" s="5" t="s">
        <v>6880</v>
      </c>
      <c r="D2831" s="5" t="s">
        <v>6881</v>
      </c>
      <c r="E2831" s="10" t="s">
        <v>48</v>
      </c>
      <c r="I2831" s="11">
        <v>6</v>
      </c>
      <c r="K2831" s="12"/>
      <c r="O2831" s="12"/>
      <c r="P2831" s="13">
        <v>145685</v>
      </c>
      <c r="Q2831" s="13">
        <v>138062</v>
      </c>
      <c r="S2831" s="13">
        <v>123435</v>
      </c>
      <c r="U2831" s="13">
        <v>123435</v>
      </c>
      <c r="X2831" s="13">
        <v>123435</v>
      </c>
      <c r="Y2831" s="13">
        <v>123435</v>
      </c>
      <c r="Z2831" s="13">
        <v>119900</v>
      </c>
      <c r="AB2831" s="13">
        <v>119900</v>
      </c>
      <c r="AC2831" s="16" t="str">
        <f t="shared" si="132"/>
        <v>ADD</v>
      </c>
      <c r="AD2831" s="17">
        <f t="shared" si="133"/>
        <v>123435</v>
      </c>
      <c r="AE2831" s="17">
        <f t="shared" si="134"/>
        <v>119900</v>
      </c>
      <c r="AF2831" s="10" t="s">
        <v>6882</v>
      </c>
      <c r="AG2831" s="5" t="s">
        <v>1157</v>
      </c>
      <c r="AH2831" s="5" t="s">
        <v>6883</v>
      </c>
      <c r="AI2831" s="5" t="s">
        <v>6881</v>
      </c>
    </row>
    <row r="2832" spans="1:36" ht="10" customHeight="1" x14ac:dyDescent="0.2">
      <c r="A2832" s="5" t="s">
        <v>6836</v>
      </c>
      <c r="B2832" s="5" t="s">
        <v>45</v>
      </c>
      <c r="D2832" s="5" t="s">
        <v>6884</v>
      </c>
      <c r="E2832" s="10" t="s">
        <v>57</v>
      </c>
      <c r="F2832" s="5" t="s">
        <v>6885</v>
      </c>
      <c r="I2832" s="11">
        <v>6</v>
      </c>
      <c r="K2832" s="12"/>
      <c r="O2832" s="12"/>
      <c r="P2832" s="13">
        <v>9284</v>
      </c>
      <c r="Q2832" s="13">
        <v>7648</v>
      </c>
      <c r="S2832" s="13">
        <v>7808</v>
      </c>
      <c r="U2832" s="13">
        <v>7808</v>
      </c>
      <c r="AC2832" s="16" t="str">
        <f t="shared" si="132"/>
        <v/>
      </c>
      <c r="AD2832" s="17">
        <f t="shared" si="133"/>
        <v>7808</v>
      </c>
      <c r="AE2832" s="17">
        <f t="shared" si="134"/>
        <v>0</v>
      </c>
      <c r="AF2832" s="10" t="s">
        <v>6886</v>
      </c>
      <c r="AG2832" s="5" t="s">
        <v>1194</v>
      </c>
      <c r="AH2832" s="5" t="s">
        <v>6883</v>
      </c>
      <c r="AI2832" s="5" t="s">
        <v>6881</v>
      </c>
      <c r="AJ2832" s="5" t="s">
        <v>6887</v>
      </c>
    </row>
    <row r="2833" spans="1:36" ht="10" customHeight="1" x14ac:dyDescent="0.2">
      <c r="A2833" s="5" t="s">
        <v>6836</v>
      </c>
      <c r="B2833" s="5" t="s">
        <v>45</v>
      </c>
      <c r="D2833" s="5" t="s">
        <v>6888</v>
      </c>
      <c r="E2833" s="10" t="s">
        <v>57</v>
      </c>
      <c r="F2833" s="5" t="s">
        <v>6885</v>
      </c>
      <c r="I2833" s="11">
        <v>6</v>
      </c>
      <c r="K2833" s="12"/>
      <c r="O2833" s="12"/>
      <c r="P2833" s="13">
        <v>41802</v>
      </c>
      <c r="Q2833" s="13">
        <v>55694</v>
      </c>
      <c r="S2833" s="13">
        <v>62535</v>
      </c>
      <c r="U2833" s="13">
        <v>62535</v>
      </c>
      <c r="AC2833" s="16" t="str">
        <f t="shared" si="132"/>
        <v/>
      </c>
      <c r="AD2833" s="17">
        <f t="shared" si="133"/>
        <v>62535</v>
      </c>
      <c r="AE2833" s="17">
        <f t="shared" si="134"/>
        <v>0</v>
      </c>
      <c r="AF2833" s="10" t="s">
        <v>6889</v>
      </c>
      <c r="AG2833" s="5" t="s">
        <v>1194</v>
      </c>
      <c r="AH2833" s="5" t="s">
        <v>6883</v>
      </c>
      <c r="AI2833" s="5" t="s">
        <v>6881</v>
      </c>
      <c r="AJ2833" s="5" t="s">
        <v>6890</v>
      </c>
    </row>
    <row r="2834" spans="1:36" ht="10" customHeight="1" x14ac:dyDescent="0.2">
      <c r="A2834" s="5" t="s">
        <v>6836</v>
      </c>
      <c r="B2834" s="5" t="s">
        <v>45</v>
      </c>
      <c r="D2834" s="5" t="s">
        <v>6891</v>
      </c>
      <c r="E2834" s="10" t="s">
        <v>57</v>
      </c>
      <c r="F2834" s="5" t="s">
        <v>6885</v>
      </c>
      <c r="I2834" s="11">
        <v>6</v>
      </c>
      <c r="K2834" s="12"/>
      <c r="O2834" s="12"/>
      <c r="AC2834" s="16" t="str">
        <f t="shared" si="132"/>
        <v/>
      </c>
      <c r="AD2834" s="17">
        <f t="shared" si="133"/>
        <v>0</v>
      </c>
      <c r="AE2834" s="17">
        <f t="shared" si="134"/>
        <v>0</v>
      </c>
      <c r="AF2834" s="10" t="s">
        <v>6889</v>
      </c>
      <c r="AG2834" s="5" t="s">
        <v>1194</v>
      </c>
      <c r="AH2834" s="5" t="s">
        <v>6883</v>
      </c>
      <c r="AI2834" s="5" t="s">
        <v>6881</v>
      </c>
      <c r="AJ2834" s="5" t="s">
        <v>6892</v>
      </c>
    </row>
    <row r="2835" spans="1:36" ht="10" customHeight="1" x14ac:dyDescent="0.2">
      <c r="A2835" s="5" t="s">
        <v>6836</v>
      </c>
      <c r="B2835" s="5" t="s">
        <v>45</v>
      </c>
      <c r="D2835" s="5" t="s">
        <v>6893</v>
      </c>
      <c r="E2835" s="10" t="s">
        <v>57</v>
      </c>
      <c r="F2835" s="5" t="s">
        <v>6885</v>
      </c>
      <c r="I2835" s="11">
        <v>6</v>
      </c>
      <c r="K2835" s="12"/>
      <c r="O2835" s="12"/>
      <c r="AC2835" s="16" t="str">
        <f t="shared" si="132"/>
        <v/>
      </c>
      <c r="AD2835" s="17">
        <f t="shared" si="133"/>
        <v>0</v>
      </c>
      <c r="AE2835" s="17">
        <f t="shared" si="134"/>
        <v>0</v>
      </c>
      <c r="AF2835" s="10" t="s">
        <v>6894</v>
      </c>
      <c r="AG2835" s="5" t="s">
        <v>1194</v>
      </c>
      <c r="AH2835" s="5" t="s">
        <v>6883</v>
      </c>
      <c r="AI2835" s="5" t="s">
        <v>6881</v>
      </c>
      <c r="AJ2835" s="5" t="s">
        <v>6895</v>
      </c>
    </row>
    <row r="2836" spans="1:36" ht="10" customHeight="1" x14ac:dyDescent="0.2">
      <c r="A2836" s="5" t="s">
        <v>6836</v>
      </c>
      <c r="B2836" s="5" t="s">
        <v>45</v>
      </c>
      <c r="D2836" s="5" t="s">
        <v>6896</v>
      </c>
      <c r="E2836" s="10" t="s">
        <v>57</v>
      </c>
      <c r="F2836" s="5" t="s">
        <v>6885</v>
      </c>
      <c r="I2836" s="11">
        <v>6</v>
      </c>
      <c r="K2836" s="12"/>
      <c r="O2836" s="12"/>
      <c r="AC2836" s="16" t="str">
        <f t="shared" si="132"/>
        <v/>
      </c>
      <c r="AD2836" s="17">
        <f t="shared" si="133"/>
        <v>0</v>
      </c>
      <c r="AE2836" s="17">
        <f t="shared" si="134"/>
        <v>0</v>
      </c>
      <c r="AF2836" s="10" t="s">
        <v>6894</v>
      </c>
      <c r="AG2836" s="5" t="s">
        <v>1207</v>
      </c>
      <c r="AH2836" s="5" t="s">
        <v>6883</v>
      </c>
      <c r="AI2836" s="5" t="s">
        <v>6881</v>
      </c>
      <c r="AJ2836" s="5" t="s">
        <v>6897</v>
      </c>
    </row>
    <row r="2837" spans="1:36" ht="10" customHeight="1" x14ac:dyDescent="0.2">
      <c r="A2837" s="5" t="s">
        <v>6836</v>
      </c>
      <c r="B2837" s="5" t="s">
        <v>45</v>
      </c>
      <c r="D2837" s="5" t="s">
        <v>6898</v>
      </c>
      <c r="E2837" s="10" t="s">
        <v>57</v>
      </c>
      <c r="F2837" s="5" t="s">
        <v>6885</v>
      </c>
      <c r="I2837" s="11">
        <v>6</v>
      </c>
      <c r="K2837" s="12"/>
      <c r="O2837" s="12"/>
      <c r="P2837" s="13">
        <v>3521</v>
      </c>
      <c r="Q2837" s="13">
        <v>2798</v>
      </c>
      <c r="S2837" s="13">
        <v>1902</v>
      </c>
      <c r="U2837" s="13">
        <v>1902</v>
      </c>
      <c r="AC2837" s="16" t="str">
        <f t="shared" si="132"/>
        <v/>
      </c>
      <c r="AD2837" s="17">
        <f t="shared" si="133"/>
        <v>1902</v>
      </c>
      <c r="AE2837" s="17">
        <f t="shared" si="134"/>
        <v>0</v>
      </c>
      <c r="AF2837" s="10" t="s">
        <v>6899</v>
      </c>
      <c r="AG2837" s="5" t="s">
        <v>1207</v>
      </c>
      <c r="AH2837" s="5" t="s">
        <v>6883</v>
      </c>
      <c r="AI2837" s="5" t="s">
        <v>6881</v>
      </c>
      <c r="AJ2837" s="5" t="s">
        <v>6900</v>
      </c>
    </row>
    <row r="2838" spans="1:36" ht="10" customHeight="1" x14ac:dyDescent="0.2">
      <c r="A2838" s="5" t="s">
        <v>6836</v>
      </c>
      <c r="B2838" s="5" t="s">
        <v>45</v>
      </c>
      <c r="D2838" s="5" t="s">
        <v>6901</v>
      </c>
      <c r="E2838" s="10" t="s">
        <v>57</v>
      </c>
      <c r="F2838" s="5" t="s">
        <v>6885</v>
      </c>
      <c r="I2838" s="11">
        <v>6</v>
      </c>
      <c r="K2838" s="12"/>
      <c r="O2838" s="12"/>
      <c r="P2838" s="13">
        <v>5485</v>
      </c>
      <c r="Q2838" s="13">
        <v>3307</v>
      </c>
      <c r="S2838" s="13">
        <v>4854</v>
      </c>
      <c r="U2838" s="13">
        <v>4854</v>
      </c>
      <c r="AC2838" s="16" t="str">
        <f t="shared" si="132"/>
        <v/>
      </c>
      <c r="AD2838" s="17">
        <f t="shared" si="133"/>
        <v>4854</v>
      </c>
      <c r="AE2838" s="17">
        <f t="shared" si="134"/>
        <v>0</v>
      </c>
      <c r="AF2838" s="10" t="s">
        <v>6899</v>
      </c>
      <c r="AG2838" s="5" t="s">
        <v>1207</v>
      </c>
      <c r="AH2838" s="5" t="s">
        <v>6883</v>
      </c>
      <c r="AI2838" s="5" t="s">
        <v>6881</v>
      </c>
      <c r="AJ2838" s="5" t="s">
        <v>6902</v>
      </c>
    </row>
    <row r="2839" spans="1:36" ht="10" customHeight="1" x14ac:dyDescent="0.2">
      <c r="A2839" s="5" t="s">
        <v>6836</v>
      </c>
      <c r="B2839" s="5" t="s">
        <v>45</v>
      </c>
      <c r="D2839" s="5" t="s">
        <v>6903</v>
      </c>
      <c r="E2839" s="10" t="s">
        <v>57</v>
      </c>
      <c r="F2839" s="5" t="s">
        <v>6885</v>
      </c>
      <c r="I2839" s="11">
        <v>6</v>
      </c>
      <c r="K2839" s="12"/>
      <c r="O2839" s="12"/>
      <c r="Q2839" s="13">
        <v>16000</v>
      </c>
      <c r="AC2839" s="16" t="str">
        <f t="shared" si="132"/>
        <v/>
      </c>
      <c r="AD2839" s="17">
        <f t="shared" si="133"/>
        <v>0</v>
      </c>
      <c r="AE2839" s="17">
        <f t="shared" si="134"/>
        <v>0</v>
      </c>
      <c r="AF2839" s="10" t="s">
        <v>6899</v>
      </c>
      <c r="AG2839" s="5" t="s">
        <v>1207</v>
      </c>
      <c r="AH2839" s="5" t="s">
        <v>6883</v>
      </c>
      <c r="AI2839" s="5" t="s">
        <v>6881</v>
      </c>
    </row>
    <row r="2840" spans="1:36" ht="10" customHeight="1" x14ac:dyDescent="0.2">
      <c r="A2840" s="5" t="s">
        <v>6836</v>
      </c>
      <c r="B2840" s="5" t="s">
        <v>45</v>
      </c>
      <c r="D2840" s="5" t="s">
        <v>6904</v>
      </c>
      <c r="E2840" s="10" t="s">
        <v>57</v>
      </c>
      <c r="F2840" s="5" t="s">
        <v>6885</v>
      </c>
      <c r="I2840" s="11">
        <v>6</v>
      </c>
      <c r="K2840" s="12"/>
      <c r="O2840" s="12"/>
      <c r="P2840" s="13">
        <v>945</v>
      </c>
      <c r="Q2840" s="13">
        <v>369</v>
      </c>
      <c r="S2840" s="13">
        <v>629</v>
      </c>
      <c r="U2840" s="13">
        <v>629</v>
      </c>
      <c r="AC2840" s="16" t="str">
        <f t="shared" si="132"/>
        <v/>
      </c>
      <c r="AD2840" s="17">
        <f t="shared" si="133"/>
        <v>629</v>
      </c>
      <c r="AE2840" s="17">
        <f t="shared" si="134"/>
        <v>0</v>
      </c>
      <c r="AF2840" s="10" t="s">
        <v>6899</v>
      </c>
      <c r="AG2840" s="5" t="s">
        <v>1207</v>
      </c>
      <c r="AH2840" s="5" t="s">
        <v>6883</v>
      </c>
      <c r="AI2840" s="5" t="s">
        <v>6881</v>
      </c>
    </row>
    <row r="2841" spans="1:36" ht="10" customHeight="1" x14ac:dyDescent="0.2">
      <c r="A2841" s="5" t="s">
        <v>6836</v>
      </c>
      <c r="B2841" s="5" t="s">
        <v>45</v>
      </c>
      <c r="D2841" s="5" t="s">
        <v>6905</v>
      </c>
      <c r="E2841" s="10" t="s">
        <v>57</v>
      </c>
      <c r="F2841" s="5" t="s">
        <v>6885</v>
      </c>
      <c r="I2841" s="11">
        <v>6</v>
      </c>
      <c r="K2841" s="12"/>
      <c r="O2841" s="12"/>
      <c r="Q2841" s="13">
        <v>814</v>
      </c>
      <c r="S2841" s="13">
        <v>468</v>
      </c>
      <c r="U2841" s="13">
        <v>468</v>
      </c>
      <c r="AC2841" s="16" t="str">
        <f t="shared" si="132"/>
        <v/>
      </c>
      <c r="AD2841" s="17">
        <f t="shared" si="133"/>
        <v>468</v>
      </c>
      <c r="AE2841" s="17">
        <f t="shared" si="134"/>
        <v>0</v>
      </c>
      <c r="AF2841" s="10" t="s">
        <v>6899</v>
      </c>
      <c r="AG2841" s="5" t="s">
        <v>1207</v>
      </c>
      <c r="AH2841" s="5" t="s">
        <v>6883</v>
      </c>
      <c r="AI2841" s="5" t="s">
        <v>6881</v>
      </c>
      <c r="AJ2841" s="5" t="s">
        <v>6906</v>
      </c>
    </row>
    <row r="2842" spans="1:36" ht="10" customHeight="1" x14ac:dyDescent="0.2">
      <c r="A2842" s="5" t="s">
        <v>6836</v>
      </c>
      <c r="B2842" s="5" t="s">
        <v>45</v>
      </c>
      <c r="D2842" s="5" t="s">
        <v>6907</v>
      </c>
      <c r="E2842" s="10" t="s">
        <v>57</v>
      </c>
      <c r="F2842" s="5" t="s">
        <v>6885</v>
      </c>
      <c r="I2842" s="11">
        <v>6</v>
      </c>
      <c r="K2842" s="12"/>
      <c r="O2842" s="12"/>
      <c r="P2842" s="13">
        <v>57556</v>
      </c>
      <c r="Q2842" s="13">
        <v>25482</v>
      </c>
      <c r="S2842" s="13">
        <v>28701</v>
      </c>
      <c r="U2842" s="13">
        <v>28701</v>
      </c>
      <c r="AC2842" s="16" t="str">
        <f t="shared" si="132"/>
        <v/>
      </c>
      <c r="AD2842" s="17">
        <f t="shared" si="133"/>
        <v>28701</v>
      </c>
      <c r="AE2842" s="17">
        <f t="shared" si="134"/>
        <v>0</v>
      </c>
      <c r="AF2842" s="10" t="s">
        <v>6908</v>
      </c>
      <c r="AG2842" s="5" t="s">
        <v>1218</v>
      </c>
      <c r="AH2842" s="5" t="s">
        <v>6883</v>
      </c>
      <c r="AI2842" s="5" t="s">
        <v>6881</v>
      </c>
      <c r="AJ2842" s="5" t="s">
        <v>6909</v>
      </c>
    </row>
    <row r="2843" spans="1:36" ht="10" customHeight="1" x14ac:dyDescent="0.2">
      <c r="A2843" s="5" t="s">
        <v>6836</v>
      </c>
      <c r="B2843" s="5" t="s">
        <v>45</v>
      </c>
      <c r="D2843" s="5" t="s">
        <v>6910</v>
      </c>
      <c r="E2843" s="10" t="s">
        <v>57</v>
      </c>
      <c r="F2843" s="5" t="s">
        <v>6885</v>
      </c>
      <c r="I2843" s="11">
        <v>6</v>
      </c>
      <c r="K2843" s="12"/>
      <c r="O2843" s="12"/>
      <c r="P2843" s="13">
        <v>1654</v>
      </c>
      <c r="Q2843" s="13">
        <v>1685</v>
      </c>
      <c r="S2843" s="13">
        <v>1722</v>
      </c>
      <c r="U2843" s="13">
        <v>1722</v>
      </c>
      <c r="AC2843" s="16" t="str">
        <f t="shared" si="132"/>
        <v/>
      </c>
      <c r="AD2843" s="17">
        <f t="shared" si="133"/>
        <v>1722</v>
      </c>
      <c r="AE2843" s="17">
        <f t="shared" si="134"/>
        <v>0</v>
      </c>
      <c r="AF2843" s="10" t="s">
        <v>6911</v>
      </c>
      <c r="AG2843" s="5" t="s">
        <v>1218</v>
      </c>
      <c r="AH2843" s="5" t="s">
        <v>6883</v>
      </c>
      <c r="AI2843" s="5" t="s">
        <v>6881</v>
      </c>
      <c r="AJ2843" s="5" t="s">
        <v>6912</v>
      </c>
    </row>
    <row r="2844" spans="1:36" ht="10" customHeight="1" x14ac:dyDescent="0.2">
      <c r="A2844" s="5" t="s">
        <v>6836</v>
      </c>
      <c r="B2844" s="5" t="s">
        <v>45</v>
      </c>
      <c r="D2844" s="5" t="s">
        <v>6913</v>
      </c>
      <c r="E2844" s="10" t="s">
        <v>57</v>
      </c>
      <c r="F2844" s="5" t="s">
        <v>6885</v>
      </c>
      <c r="I2844" s="11">
        <v>6</v>
      </c>
      <c r="K2844" s="12"/>
      <c r="O2844" s="12"/>
      <c r="P2844" s="13">
        <v>35</v>
      </c>
      <c r="Q2844" s="13">
        <v>35</v>
      </c>
      <c r="S2844" s="13">
        <v>35</v>
      </c>
      <c r="U2844" s="13">
        <v>35</v>
      </c>
      <c r="AC2844" s="16" t="str">
        <f t="shared" si="132"/>
        <v/>
      </c>
      <c r="AD2844" s="17">
        <f t="shared" si="133"/>
        <v>35</v>
      </c>
      <c r="AE2844" s="17">
        <f t="shared" si="134"/>
        <v>0</v>
      </c>
      <c r="AF2844" s="10" t="s">
        <v>6911</v>
      </c>
      <c r="AG2844" s="5" t="s">
        <v>1229</v>
      </c>
      <c r="AH2844" s="5" t="s">
        <v>6883</v>
      </c>
      <c r="AI2844" s="5" t="s">
        <v>6881</v>
      </c>
      <c r="AJ2844" s="5" t="s">
        <v>6914</v>
      </c>
    </row>
    <row r="2845" spans="1:36" ht="10" customHeight="1" x14ac:dyDescent="0.2">
      <c r="A2845" s="5" t="s">
        <v>6836</v>
      </c>
      <c r="B2845" s="5" t="s">
        <v>45</v>
      </c>
      <c r="D2845" s="5" t="s">
        <v>6915</v>
      </c>
      <c r="E2845" s="10" t="s">
        <v>57</v>
      </c>
      <c r="F2845" s="5" t="s">
        <v>6885</v>
      </c>
      <c r="I2845" s="11">
        <v>6</v>
      </c>
      <c r="K2845" s="12"/>
      <c r="O2845" s="12"/>
      <c r="P2845" s="13">
        <v>112</v>
      </c>
      <c r="Q2845" s="13">
        <v>112</v>
      </c>
      <c r="S2845" s="13">
        <v>114</v>
      </c>
      <c r="U2845" s="13">
        <v>114</v>
      </c>
      <c r="AC2845" s="16" t="str">
        <f t="shared" si="132"/>
        <v/>
      </c>
      <c r="AD2845" s="17">
        <f t="shared" si="133"/>
        <v>114</v>
      </c>
      <c r="AE2845" s="17">
        <f t="shared" si="134"/>
        <v>0</v>
      </c>
      <c r="AF2845" s="10" t="s">
        <v>6911</v>
      </c>
      <c r="AG2845" s="5" t="s">
        <v>1229</v>
      </c>
      <c r="AH2845" s="5" t="s">
        <v>6883</v>
      </c>
      <c r="AI2845" s="5" t="s">
        <v>6881</v>
      </c>
      <c r="AJ2845" s="5" t="s">
        <v>6916</v>
      </c>
    </row>
    <row r="2846" spans="1:36" ht="10" customHeight="1" x14ac:dyDescent="0.2">
      <c r="A2846" s="5" t="s">
        <v>6836</v>
      </c>
      <c r="B2846" s="5" t="s">
        <v>45</v>
      </c>
      <c r="D2846" s="5" t="s">
        <v>6917</v>
      </c>
      <c r="E2846" s="10" t="s">
        <v>57</v>
      </c>
      <c r="F2846" s="5" t="s">
        <v>6885</v>
      </c>
      <c r="I2846" s="11">
        <v>6</v>
      </c>
      <c r="K2846" s="12"/>
      <c r="O2846" s="12"/>
      <c r="P2846" s="13">
        <v>9906</v>
      </c>
      <c r="Q2846" s="13">
        <v>9739</v>
      </c>
      <c r="S2846" s="13">
        <v>1910</v>
      </c>
      <c r="U2846" s="13">
        <v>1910</v>
      </c>
      <c r="AC2846" s="16" t="str">
        <f t="shared" si="132"/>
        <v/>
      </c>
      <c r="AD2846" s="17">
        <f t="shared" si="133"/>
        <v>1910</v>
      </c>
      <c r="AE2846" s="17">
        <f t="shared" si="134"/>
        <v>0</v>
      </c>
      <c r="AF2846" s="10" t="s">
        <v>6918</v>
      </c>
      <c r="AG2846" s="5" t="s">
        <v>1229</v>
      </c>
      <c r="AH2846" s="5" t="s">
        <v>6883</v>
      </c>
      <c r="AI2846" s="5" t="s">
        <v>6881</v>
      </c>
      <c r="AJ2846" s="5" t="s">
        <v>6919</v>
      </c>
    </row>
    <row r="2847" spans="1:36" ht="10" customHeight="1" x14ac:dyDescent="0.2">
      <c r="A2847" s="5" t="s">
        <v>6836</v>
      </c>
      <c r="B2847" s="5" t="s">
        <v>45</v>
      </c>
      <c r="D2847" s="5" t="s">
        <v>6920</v>
      </c>
      <c r="E2847" s="10" t="s">
        <v>57</v>
      </c>
      <c r="F2847" s="5" t="s">
        <v>6885</v>
      </c>
      <c r="I2847" s="11">
        <v>6</v>
      </c>
      <c r="K2847" s="12"/>
      <c r="O2847" s="12"/>
      <c r="P2847" s="13">
        <v>699</v>
      </c>
      <c r="Q2847" s="13">
        <v>647</v>
      </c>
      <c r="S2847" s="13">
        <v>661</v>
      </c>
      <c r="U2847" s="13">
        <v>661</v>
      </c>
      <c r="AC2847" s="16" t="str">
        <f t="shared" si="132"/>
        <v/>
      </c>
      <c r="AD2847" s="17">
        <f t="shared" si="133"/>
        <v>661</v>
      </c>
      <c r="AE2847" s="17">
        <f t="shared" si="134"/>
        <v>0</v>
      </c>
      <c r="AF2847" s="10" t="s">
        <v>6921</v>
      </c>
      <c r="AG2847" s="5" t="s">
        <v>1238</v>
      </c>
      <c r="AH2847" s="5" t="s">
        <v>6883</v>
      </c>
      <c r="AI2847" s="5" t="s">
        <v>6881</v>
      </c>
      <c r="AJ2847" s="5" t="s">
        <v>6922</v>
      </c>
    </row>
    <row r="2848" spans="1:36" ht="10" customHeight="1" x14ac:dyDescent="0.2">
      <c r="A2848" s="5" t="s">
        <v>6836</v>
      </c>
      <c r="B2848" s="5" t="s">
        <v>45</v>
      </c>
      <c r="D2848" s="5" t="s">
        <v>6923</v>
      </c>
      <c r="E2848" s="10" t="s">
        <v>57</v>
      </c>
      <c r="F2848" s="5" t="s">
        <v>6885</v>
      </c>
      <c r="I2848" s="11">
        <v>6</v>
      </c>
      <c r="K2848" s="12"/>
      <c r="O2848" s="12"/>
      <c r="P2848" s="13">
        <v>1589</v>
      </c>
      <c r="Q2848" s="13">
        <v>1657</v>
      </c>
      <c r="S2848" s="13">
        <v>1804</v>
      </c>
      <c r="U2848" s="13">
        <v>1804</v>
      </c>
      <c r="AC2848" s="16" t="str">
        <f t="shared" si="132"/>
        <v/>
      </c>
      <c r="AD2848" s="17">
        <f t="shared" si="133"/>
        <v>1804</v>
      </c>
      <c r="AE2848" s="17">
        <f t="shared" si="134"/>
        <v>0</v>
      </c>
      <c r="AF2848" s="10" t="s">
        <v>6921</v>
      </c>
      <c r="AG2848" s="5" t="s">
        <v>1238</v>
      </c>
      <c r="AH2848" s="5" t="s">
        <v>6883</v>
      </c>
      <c r="AI2848" s="5" t="s">
        <v>6881</v>
      </c>
      <c r="AJ2848" s="5" t="s">
        <v>6922</v>
      </c>
    </row>
    <row r="2849" spans="1:36" ht="10" customHeight="1" x14ac:dyDescent="0.2">
      <c r="A2849" s="5" t="s">
        <v>6836</v>
      </c>
      <c r="B2849" s="5" t="s">
        <v>45</v>
      </c>
      <c r="D2849" s="5" t="s">
        <v>6924</v>
      </c>
      <c r="E2849" s="10" t="s">
        <v>57</v>
      </c>
      <c r="F2849" s="5" t="s">
        <v>6885</v>
      </c>
      <c r="I2849" s="11">
        <v>6</v>
      </c>
      <c r="K2849" s="12"/>
      <c r="O2849" s="12"/>
      <c r="P2849" s="13">
        <v>883</v>
      </c>
      <c r="Q2849" s="13">
        <v>822</v>
      </c>
      <c r="S2849" s="13">
        <v>389</v>
      </c>
      <c r="U2849" s="13">
        <v>389</v>
      </c>
      <c r="AC2849" s="16" t="str">
        <f t="shared" si="132"/>
        <v/>
      </c>
      <c r="AD2849" s="17">
        <f t="shared" si="133"/>
        <v>389</v>
      </c>
      <c r="AE2849" s="17">
        <f t="shared" si="134"/>
        <v>0</v>
      </c>
      <c r="AF2849" s="10" t="s">
        <v>6921</v>
      </c>
      <c r="AG2849" s="5" t="s">
        <v>1238</v>
      </c>
      <c r="AH2849" s="5" t="s">
        <v>6883</v>
      </c>
      <c r="AI2849" s="5" t="s">
        <v>6881</v>
      </c>
      <c r="AJ2849" s="5" t="s">
        <v>6922</v>
      </c>
    </row>
    <row r="2850" spans="1:36" ht="10" customHeight="1" x14ac:dyDescent="0.2">
      <c r="A2850" s="5" t="s">
        <v>6836</v>
      </c>
      <c r="B2850" s="5" t="s">
        <v>45</v>
      </c>
      <c r="D2850" s="5" t="s">
        <v>6925</v>
      </c>
      <c r="E2850" s="10" t="s">
        <v>57</v>
      </c>
      <c r="F2850" s="5" t="s">
        <v>6885</v>
      </c>
      <c r="I2850" s="11">
        <v>6</v>
      </c>
      <c r="K2850" s="12"/>
      <c r="O2850" s="12"/>
      <c r="P2850" s="13">
        <v>2134</v>
      </c>
      <c r="Q2850" s="13">
        <v>1977</v>
      </c>
      <c r="S2850" s="13">
        <v>2019</v>
      </c>
      <c r="U2850" s="13">
        <v>2019</v>
      </c>
      <c r="AC2850" s="16" t="str">
        <f t="shared" si="132"/>
        <v/>
      </c>
      <c r="AD2850" s="17">
        <f t="shared" si="133"/>
        <v>2019</v>
      </c>
      <c r="AE2850" s="17">
        <f t="shared" si="134"/>
        <v>0</v>
      </c>
      <c r="AF2850" s="10" t="s">
        <v>6921</v>
      </c>
      <c r="AG2850" s="5" t="s">
        <v>1238</v>
      </c>
      <c r="AH2850" s="5" t="s">
        <v>6883</v>
      </c>
      <c r="AI2850" s="5" t="s">
        <v>6881</v>
      </c>
      <c r="AJ2850" s="5" t="s">
        <v>6922</v>
      </c>
    </row>
    <row r="2851" spans="1:36" ht="10" customHeight="1" x14ac:dyDescent="0.2">
      <c r="A2851" s="5" t="s">
        <v>6836</v>
      </c>
      <c r="B2851" s="5" t="s">
        <v>45</v>
      </c>
      <c r="D2851" s="5" t="s">
        <v>6926</v>
      </c>
      <c r="E2851" s="10" t="s">
        <v>57</v>
      </c>
      <c r="F2851" s="5" t="s">
        <v>6885</v>
      </c>
      <c r="I2851" s="11">
        <v>6</v>
      </c>
      <c r="K2851" s="12"/>
      <c r="O2851" s="12"/>
      <c r="P2851" s="13">
        <v>106</v>
      </c>
      <c r="Q2851" s="13">
        <v>477</v>
      </c>
      <c r="S2851" s="13">
        <v>110</v>
      </c>
      <c r="U2851" s="13">
        <v>110</v>
      </c>
      <c r="AC2851" s="16" t="str">
        <f t="shared" si="132"/>
        <v/>
      </c>
      <c r="AD2851" s="17">
        <f t="shared" si="133"/>
        <v>110</v>
      </c>
      <c r="AE2851" s="17">
        <f t="shared" si="134"/>
        <v>0</v>
      </c>
      <c r="AF2851" s="10" t="s">
        <v>6921</v>
      </c>
      <c r="AG2851" s="5" t="s">
        <v>1238</v>
      </c>
      <c r="AH2851" s="5" t="s">
        <v>6883</v>
      </c>
      <c r="AI2851" s="5" t="s">
        <v>6881</v>
      </c>
      <c r="AJ2851" s="5" t="s">
        <v>6922</v>
      </c>
    </row>
    <row r="2852" spans="1:36" ht="10" customHeight="1" x14ac:dyDescent="0.2">
      <c r="A2852" s="5" t="s">
        <v>6836</v>
      </c>
      <c r="B2852" s="5" t="s">
        <v>45</v>
      </c>
      <c r="D2852" s="5" t="s">
        <v>6927</v>
      </c>
      <c r="E2852" s="10" t="s">
        <v>57</v>
      </c>
      <c r="F2852" s="5" t="s">
        <v>6885</v>
      </c>
      <c r="I2852" s="11">
        <v>6</v>
      </c>
      <c r="K2852" s="12"/>
      <c r="O2852" s="12"/>
      <c r="P2852" s="13">
        <v>2032</v>
      </c>
      <c r="Q2852" s="13">
        <v>1891</v>
      </c>
      <c r="S2852" s="13">
        <v>1931</v>
      </c>
      <c r="U2852" s="13">
        <v>1931</v>
      </c>
      <c r="AC2852" s="16" t="str">
        <f t="shared" si="132"/>
        <v/>
      </c>
      <c r="AD2852" s="17">
        <f t="shared" si="133"/>
        <v>1931</v>
      </c>
      <c r="AE2852" s="17">
        <f t="shared" si="134"/>
        <v>0</v>
      </c>
      <c r="AF2852" s="10" t="s">
        <v>6928</v>
      </c>
      <c r="AG2852" s="5" t="s">
        <v>1243</v>
      </c>
      <c r="AH2852" s="5" t="s">
        <v>6883</v>
      </c>
      <c r="AI2852" s="5" t="s">
        <v>6881</v>
      </c>
      <c r="AJ2852" s="5" t="s">
        <v>6929</v>
      </c>
    </row>
    <row r="2853" spans="1:36" ht="10" customHeight="1" x14ac:dyDescent="0.2">
      <c r="A2853" s="5" t="s">
        <v>6836</v>
      </c>
      <c r="B2853" s="5" t="s">
        <v>45</v>
      </c>
      <c r="D2853" s="5" t="s">
        <v>6930</v>
      </c>
      <c r="E2853" s="10" t="s">
        <v>57</v>
      </c>
      <c r="F2853" s="5" t="s">
        <v>6885</v>
      </c>
      <c r="I2853" s="11">
        <v>6</v>
      </c>
      <c r="K2853" s="12"/>
      <c r="O2853" s="12"/>
      <c r="P2853" s="13">
        <v>3586</v>
      </c>
      <c r="Q2853" s="13">
        <v>2820</v>
      </c>
      <c r="S2853" s="13">
        <v>3039</v>
      </c>
      <c r="U2853" s="13">
        <v>3039</v>
      </c>
      <c r="AC2853" s="16" t="str">
        <f t="shared" si="132"/>
        <v/>
      </c>
      <c r="AD2853" s="17">
        <f t="shared" si="133"/>
        <v>3039</v>
      </c>
      <c r="AE2853" s="17">
        <f t="shared" si="134"/>
        <v>0</v>
      </c>
      <c r="AF2853" s="10" t="s">
        <v>6928</v>
      </c>
      <c r="AG2853" s="5" t="s">
        <v>1243</v>
      </c>
      <c r="AH2853" s="5" t="s">
        <v>6883</v>
      </c>
      <c r="AI2853" s="5" t="s">
        <v>6881</v>
      </c>
      <c r="AJ2853" s="5" t="s">
        <v>6929</v>
      </c>
    </row>
    <row r="2854" spans="1:36" ht="10" customHeight="1" x14ac:dyDescent="0.2">
      <c r="A2854" s="5" t="s">
        <v>6836</v>
      </c>
      <c r="B2854" s="5" t="s">
        <v>45</v>
      </c>
      <c r="D2854" s="5" t="s">
        <v>6931</v>
      </c>
      <c r="E2854" s="10" t="s">
        <v>57</v>
      </c>
      <c r="F2854" s="5" t="s">
        <v>6885</v>
      </c>
      <c r="I2854" s="11">
        <v>6</v>
      </c>
      <c r="K2854" s="12"/>
      <c r="O2854" s="12"/>
      <c r="P2854" s="13">
        <v>1407</v>
      </c>
      <c r="Q2854" s="13">
        <v>1613</v>
      </c>
      <c r="S2854" s="13">
        <v>389</v>
      </c>
      <c r="U2854" s="13">
        <v>389</v>
      </c>
      <c r="AC2854" s="16" t="str">
        <f t="shared" si="132"/>
        <v/>
      </c>
      <c r="AD2854" s="17">
        <f t="shared" si="133"/>
        <v>389</v>
      </c>
      <c r="AE2854" s="17">
        <f t="shared" si="134"/>
        <v>0</v>
      </c>
      <c r="AF2854" s="10" t="s">
        <v>6928</v>
      </c>
      <c r="AG2854" s="5" t="s">
        <v>1243</v>
      </c>
      <c r="AH2854" s="5" t="s">
        <v>6883</v>
      </c>
      <c r="AI2854" s="5" t="s">
        <v>6881</v>
      </c>
      <c r="AJ2854" s="5" t="s">
        <v>6929</v>
      </c>
    </row>
    <row r="2855" spans="1:36" ht="10" customHeight="1" x14ac:dyDescent="0.2">
      <c r="A2855" s="5" t="s">
        <v>6836</v>
      </c>
      <c r="B2855" s="5" t="s">
        <v>45</v>
      </c>
      <c r="D2855" s="5" t="s">
        <v>6932</v>
      </c>
      <c r="E2855" s="10" t="s">
        <v>57</v>
      </c>
      <c r="F2855" s="5" t="s">
        <v>6885</v>
      </c>
      <c r="I2855" s="11">
        <v>6</v>
      </c>
      <c r="K2855" s="12"/>
      <c r="O2855" s="12"/>
      <c r="P2855" s="13">
        <v>1927</v>
      </c>
      <c r="Q2855" s="13">
        <v>1775</v>
      </c>
      <c r="S2855" s="13">
        <v>1812</v>
      </c>
      <c r="U2855" s="13">
        <v>1812</v>
      </c>
      <c r="AC2855" s="16" t="str">
        <f t="shared" si="132"/>
        <v/>
      </c>
      <c r="AD2855" s="17">
        <f t="shared" si="133"/>
        <v>1812</v>
      </c>
      <c r="AE2855" s="17">
        <f t="shared" si="134"/>
        <v>0</v>
      </c>
      <c r="AF2855" s="10" t="s">
        <v>6928</v>
      </c>
      <c r="AG2855" s="5" t="s">
        <v>1243</v>
      </c>
      <c r="AH2855" s="5" t="s">
        <v>6883</v>
      </c>
      <c r="AI2855" s="5" t="s">
        <v>6881</v>
      </c>
      <c r="AJ2855" s="5" t="s">
        <v>6929</v>
      </c>
    </row>
    <row r="2856" spans="1:36" ht="10" customHeight="1" x14ac:dyDescent="0.2">
      <c r="A2856" s="5" t="s">
        <v>6836</v>
      </c>
      <c r="B2856" s="5" t="s">
        <v>45</v>
      </c>
      <c r="D2856" s="5" t="s">
        <v>6933</v>
      </c>
      <c r="E2856" s="10" t="s">
        <v>57</v>
      </c>
      <c r="F2856" s="5" t="s">
        <v>6885</v>
      </c>
      <c r="I2856" s="11">
        <v>6</v>
      </c>
      <c r="K2856" s="12"/>
      <c r="O2856" s="12"/>
      <c r="P2856" s="13">
        <v>474</v>
      </c>
      <c r="Q2856" s="13">
        <v>450</v>
      </c>
      <c r="S2856" s="13">
        <v>368</v>
      </c>
      <c r="U2856" s="13">
        <v>368</v>
      </c>
      <c r="AC2856" s="16" t="str">
        <f t="shared" si="132"/>
        <v/>
      </c>
      <c r="AD2856" s="17">
        <f t="shared" si="133"/>
        <v>368</v>
      </c>
      <c r="AE2856" s="17">
        <f t="shared" si="134"/>
        <v>0</v>
      </c>
      <c r="AF2856" s="10" t="s">
        <v>6928</v>
      </c>
      <c r="AG2856" s="5" t="s">
        <v>1243</v>
      </c>
      <c r="AH2856" s="5" t="s">
        <v>6883</v>
      </c>
      <c r="AI2856" s="5" t="s">
        <v>6881</v>
      </c>
      <c r="AJ2856" s="5" t="s">
        <v>6934</v>
      </c>
    </row>
    <row r="2857" spans="1:36" ht="10" customHeight="1" x14ac:dyDescent="0.2">
      <c r="A2857" s="5" t="s">
        <v>6836</v>
      </c>
      <c r="B2857" s="5" t="s">
        <v>45</v>
      </c>
      <c r="D2857" s="5" t="s">
        <v>6935</v>
      </c>
      <c r="E2857" s="10" t="s">
        <v>57</v>
      </c>
      <c r="F2857" s="5" t="s">
        <v>6885</v>
      </c>
      <c r="I2857" s="11">
        <v>6</v>
      </c>
      <c r="K2857" s="12"/>
      <c r="O2857" s="12"/>
      <c r="P2857" s="13">
        <v>548</v>
      </c>
      <c r="Q2857" s="13">
        <v>250</v>
      </c>
      <c r="S2857" s="13">
        <v>235</v>
      </c>
      <c r="U2857" s="13">
        <v>235</v>
      </c>
      <c r="AC2857" s="16" t="str">
        <f t="shared" si="132"/>
        <v/>
      </c>
      <c r="AD2857" s="17">
        <f t="shared" si="133"/>
        <v>235</v>
      </c>
      <c r="AE2857" s="17">
        <f t="shared" si="134"/>
        <v>0</v>
      </c>
      <c r="AF2857" s="10" t="s">
        <v>6928</v>
      </c>
      <c r="AG2857" s="5" t="s">
        <v>1252</v>
      </c>
      <c r="AH2857" s="5" t="s">
        <v>6883</v>
      </c>
      <c r="AI2857" s="5" t="s">
        <v>6881</v>
      </c>
      <c r="AJ2857" s="5" t="s">
        <v>6929</v>
      </c>
    </row>
    <row r="2858" spans="1:36" ht="10" customHeight="1" x14ac:dyDescent="0.2">
      <c r="A2858" s="5" t="s">
        <v>6836</v>
      </c>
      <c r="B2858" s="5" t="s">
        <v>45</v>
      </c>
      <c r="C2858" s="5" t="s">
        <v>81</v>
      </c>
      <c r="D2858" s="5" t="s">
        <v>6936</v>
      </c>
      <c r="E2858" s="10" t="s">
        <v>48</v>
      </c>
      <c r="I2858" s="11">
        <v>4</v>
      </c>
      <c r="K2858" s="12"/>
      <c r="O2858" s="12"/>
      <c r="P2858" s="13">
        <v>159480</v>
      </c>
      <c r="Q2858" s="13">
        <v>121108</v>
      </c>
      <c r="S2858" s="13">
        <v>91284</v>
      </c>
      <c r="U2858" s="13">
        <v>91284</v>
      </c>
      <c r="X2858" s="13">
        <v>82039</v>
      </c>
      <c r="Y2858" s="13">
        <v>82039</v>
      </c>
      <c r="Z2858" s="13">
        <v>69065</v>
      </c>
      <c r="AB2858" s="13">
        <v>69065</v>
      </c>
      <c r="AC2858" s="16" t="str">
        <f t="shared" si="132"/>
        <v>ADD</v>
      </c>
      <c r="AD2858" s="17">
        <f t="shared" si="133"/>
        <v>82039</v>
      </c>
      <c r="AE2858" s="17">
        <f t="shared" si="134"/>
        <v>69065</v>
      </c>
      <c r="AF2858" s="10" t="s">
        <v>6937</v>
      </c>
      <c r="AG2858" s="5" t="s">
        <v>1338</v>
      </c>
      <c r="AH2858" s="5" t="s">
        <v>6938</v>
      </c>
    </row>
    <row r="2859" spans="1:36" ht="10" customHeight="1" x14ac:dyDescent="0.2">
      <c r="A2859" s="5" t="s">
        <v>6836</v>
      </c>
      <c r="B2859" s="5" t="s">
        <v>45</v>
      </c>
      <c r="D2859" s="5" t="s">
        <v>6939</v>
      </c>
      <c r="E2859" s="10" t="s">
        <v>57</v>
      </c>
      <c r="F2859" s="5" t="s">
        <v>6940</v>
      </c>
      <c r="I2859" s="11">
        <v>6</v>
      </c>
      <c r="K2859" s="12"/>
      <c r="O2859" s="12"/>
      <c r="P2859" s="13">
        <v>47412</v>
      </c>
      <c r="Q2859" s="13">
        <v>15443</v>
      </c>
      <c r="S2859" s="13">
        <v>14285</v>
      </c>
      <c r="U2859" s="13">
        <v>14285</v>
      </c>
      <c r="AC2859" s="16" t="str">
        <f t="shared" si="132"/>
        <v/>
      </c>
      <c r="AD2859" s="17">
        <f t="shared" si="133"/>
        <v>14285</v>
      </c>
      <c r="AE2859" s="17">
        <f t="shared" si="134"/>
        <v>0</v>
      </c>
      <c r="AF2859" s="10" t="s">
        <v>6941</v>
      </c>
      <c r="AG2859" s="5" t="s">
        <v>1387</v>
      </c>
      <c r="AH2859" s="5" t="s">
        <v>6938</v>
      </c>
      <c r="AI2859" s="5" t="s">
        <v>6942</v>
      </c>
    </row>
    <row r="2860" spans="1:36" ht="10" customHeight="1" x14ac:dyDescent="0.2">
      <c r="A2860" s="5" t="s">
        <v>6836</v>
      </c>
      <c r="B2860" s="5" t="s">
        <v>45</v>
      </c>
      <c r="D2860" s="5" t="s">
        <v>6943</v>
      </c>
      <c r="E2860" s="10" t="s">
        <v>57</v>
      </c>
      <c r="F2860" s="5" t="s">
        <v>6940</v>
      </c>
      <c r="I2860" s="11">
        <v>6</v>
      </c>
      <c r="K2860" s="12"/>
      <c r="O2860" s="12"/>
      <c r="P2860" s="13">
        <v>13633</v>
      </c>
      <c r="Q2860" s="13">
        <v>13871</v>
      </c>
      <c r="S2860" s="13">
        <v>13536</v>
      </c>
      <c r="U2860" s="13">
        <v>13536</v>
      </c>
      <c r="AC2860" s="16" t="str">
        <f t="shared" si="132"/>
        <v/>
      </c>
      <c r="AD2860" s="17">
        <f t="shared" si="133"/>
        <v>13536</v>
      </c>
      <c r="AE2860" s="17">
        <f t="shared" si="134"/>
        <v>0</v>
      </c>
      <c r="AF2860" s="10" t="s">
        <v>6944</v>
      </c>
      <c r="AG2860" s="5" t="s">
        <v>81</v>
      </c>
      <c r="AH2860" s="5" t="s">
        <v>6938</v>
      </c>
      <c r="AI2860" s="5" t="s">
        <v>6945</v>
      </c>
    </row>
    <row r="2861" spans="1:36" ht="10" customHeight="1" x14ac:dyDescent="0.2">
      <c r="A2861" s="5" t="s">
        <v>6836</v>
      </c>
      <c r="B2861" s="5" t="s">
        <v>45</v>
      </c>
      <c r="D2861" s="5" t="s">
        <v>6946</v>
      </c>
      <c r="E2861" s="10" t="s">
        <v>57</v>
      </c>
      <c r="F2861" s="5" t="s">
        <v>6940</v>
      </c>
      <c r="I2861" s="11">
        <v>4</v>
      </c>
      <c r="K2861" s="12"/>
      <c r="O2861" s="12"/>
      <c r="P2861" s="13">
        <v>72519</v>
      </c>
      <c r="Q2861" s="13">
        <v>73105</v>
      </c>
      <c r="S2861" s="13">
        <v>63463</v>
      </c>
      <c r="U2861" s="13">
        <v>63463</v>
      </c>
      <c r="AC2861" s="16" t="str">
        <f t="shared" si="132"/>
        <v/>
      </c>
      <c r="AD2861" s="17">
        <f t="shared" si="133"/>
        <v>63463</v>
      </c>
      <c r="AE2861" s="17">
        <f t="shared" si="134"/>
        <v>0</v>
      </c>
      <c r="AF2861" s="10" t="s">
        <v>6947</v>
      </c>
      <c r="AG2861" s="5" t="s">
        <v>1455</v>
      </c>
      <c r="AH2861" s="5" t="s">
        <v>6938</v>
      </c>
      <c r="AI2861" s="5" t="s">
        <v>6948</v>
      </c>
    </row>
    <row r="2862" spans="1:36" ht="10" customHeight="1" x14ac:dyDescent="0.2">
      <c r="A2862" s="5" t="s">
        <v>6836</v>
      </c>
      <c r="B2862" s="5" t="s">
        <v>45</v>
      </c>
      <c r="D2862" s="5" t="s">
        <v>6949</v>
      </c>
      <c r="E2862" s="10" t="s">
        <v>57</v>
      </c>
      <c r="F2862" s="5" t="s">
        <v>6950</v>
      </c>
      <c r="I2862" s="11">
        <v>4</v>
      </c>
      <c r="K2862" s="12"/>
      <c r="O2862" s="12"/>
      <c r="P2862" s="13">
        <v>18150</v>
      </c>
      <c r="Q2862" s="13">
        <v>3839</v>
      </c>
      <c r="S2862" s="13">
        <v>19245</v>
      </c>
      <c r="U2862" s="13">
        <v>19245</v>
      </c>
      <c r="AC2862" s="16" t="str">
        <f t="shared" si="132"/>
        <v/>
      </c>
      <c r="AD2862" s="17">
        <f t="shared" si="133"/>
        <v>19245</v>
      </c>
      <c r="AE2862" s="17">
        <f t="shared" si="134"/>
        <v>0</v>
      </c>
      <c r="AF2862" s="10" t="s">
        <v>6951</v>
      </c>
      <c r="AG2862" s="5" t="s">
        <v>1455</v>
      </c>
      <c r="AH2862" s="5" t="s">
        <v>6938</v>
      </c>
    </row>
    <row r="2863" spans="1:36" ht="10" customHeight="1" x14ac:dyDescent="0.2">
      <c r="A2863" s="5" t="s">
        <v>6836</v>
      </c>
      <c r="B2863" s="5" t="s">
        <v>45</v>
      </c>
      <c r="D2863" s="5" t="s">
        <v>6952</v>
      </c>
      <c r="E2863" s="10" t="s">
        <v>57</v>
      </c>
      <c r="F2863" s="5" t="s">
        <v>6950</v>
      </c>
      <c r="I2863" s="11">
        <v>4</v>
      </c>
      <c r="K2863" s="12"/>
      <c r="O2863" s="12"/>
      <c r="P2863" s="13">
        <v>957</v>
      </c>
      <c r="Q2863" s="13">
        <v>202</v>
      </c>
      <c r="S2863" s="13">
        <v>410</v>
      </c>
      <c r="U2863" s="13">
        <v>410</v>
      </c>
      <c r="AC2863" s="16" t="str">
        <f t="shared" si="132"/>
        <v/>
      </c>
      <c r="AD2863" s="17">
        <f t="shared" si="133"/>
        <v>410</v>
      </c>
      <c r="AE2863" s="17">
        <f t="shared" si="134"/>
        <v>0</v>
      </c>
      <c r="AF2863" s="10" t="s">
        <v>6951</v>
      </c>
      <c r="AG2863" s="5" t="s">
        <v>1455</v>
      </c>
      <c r="AH2863" s="5" t="s">
        <v>6938</v>
      </c>
    </row>
    <row r="2864" spans="1:36" ht="10" customHeight="1" x14ac:dyDescent="0.2">
      <c r="A2864" s="5" t="s">
        <v>6836</v>
      </c>
      <c r="B2864" s="5" t="s">
        <v>45</v>
      </c>
      <c r="D2864" s="5" t="s">
        <v>6953</v>
      </c>
      <c r="E2864" s="10" t="s">
        <v>57</v>
      </c>
      <c r="F2864" s="5" t="s">
        <v>6950</v>
      </c>
      <c r="I2864" s="11">
        <v>4</v>
      </c>
      <c r="K2864" s="10" t="s">
        <v>50</v>
      </c>
      <c r="L2864" s="5" t="s">
        <v>51</v>
      </c>
      <c r="M2864" s="5" t="s">
        <v>69</v>
      </c>
      <c r="N2864" s="5" t="s">
        <v>70</v>
      </c>
      <c r="O2864" s="12"/>
      <c r="Q2864" s="13">
        <v>1887</v>
      </c>
      <c r="S2864" s="13">
        <v>1295</v>
      </c>
      <c r="U2864" s="13">
        <v>1295</v>
      </c>
      <c r="AC2864" s="16" t="str">
        <f t="shared" si="132"/>
        <v/>
      </c>
      <c r="AD2864" s="17">
        <f t="shared" si="133"/>
        <v>1295</v>
      </c>
      <c r="AE2864" s="17">
        <f t="shared" si="134"/>
        <v>0</v>
      </c>
      <c r="AF2864" s="10" t="s">
        <v>6951</v>
      </c>
      <c r="AG2864" s="5" t="s">
        <v>1455</v>
      </c>
      <c r="AH2864" s="5" t="s">
        <v>6938</v>
      </c>
    </row>
    <row r="2865" spans="1:36" ht="10" customHeight="1" x14ac:dyDescent="0.2">
      <c r="A2865" s="5" t="s">
        <v>6836</v>
      </c>
      <c r="B2865" s="5" t="s">
        <v>45</v>
      </c>
      <c r="D2865" s="5" t="s">
        <v>6954</v>
      </c>
      <c r="E2865" s="10" t="s">
        <v>57</v>
      </c>
      <c r="F2865" s="5" t="s">
        <v>6950</v>
      </c>
      <c r="I2865" s="11">
        <v>4</v>
      </c>
      <c r="K2865" s="12"/>
      <c r="O2865" s="12"/>
      <c r="P2865" s="13">
        <v>3913</v>
      </c>
      <c r="Q2865" s="13">
        <v>7525</v>
      </c>
      <c r="S2865" s="13">
        <v>4906</v>
      </c>
      <c r="U2865" s="13">
        <v>4906</v>
      </c>
      <c r="AC2865" s="16" t="str">
        <f t="shared" si="132"/>
        <v/>
      </c>
      <c r="AD2865" s="17">
        <f t="shared" si="133"/>
        <v>4906</v>
      </c>
      <c r="AE2865" s="17">
        <f t="shared" si="134"/>
        <v>0</v>
      </c>
      <c r="AF2865" s="10" t="s">
        <v>6951</v>
      </c>
      <c r="AG2865" s="5" t="s">
        <v>1455</v>
      </c>
      <c r="AH2865" s="5" t="s">
        <v>6938</v>
      </c>
    </row>
    <row r="2866" spans="1:36" ht="10" customHeight="1" x14ac:dyDescent="0.2">
      <c r="A2866" s="5" t="s">
        <v>6836</v>
      </c>
      <c r="B2866" s="5" t="s">
        <v>45</v>
      </c>
      <c r="D2866" s="5" t="s">
        <v>6955</v>
      </c>
      <c r="E2866" s="10" t="s">
        <v>57</v>
      </c>
      <c r="F2866" s="5" t="s">
        <v>6950</v>
      </c>
      <c r="I2866" s="11">
        <v>4</v>
      </c>
      <c r="K2866" s="12"/>
      <c r="O2866" s="12"/>
      <c r="S2866" s="13">
        <v>1821</v>
      </c>
      <c r="U2866" s="13">
        <v>1821</v>
      </c>
      <c r="AC2866" s="16" t="str">
        <f t="shared" si="132"/>
        <v/>
      </c>
      <c r="AD2866" s="17">
        <f t="shared" si="133"/>
        <v>1821</v>
      </c>
      <c r="AE2866" s="17">
        <f t="shared" si="134"/>
        <v>0</v>
      </c>
      <c r="AF2866" s="10" t="s">
        <v>6951</v>
      </c>
      <c r="AG2866" s="5" t="s">
        <v>1455</v>
      </c>
      <c r="AH2866" s="5" t="s">
        <v>6938</v>
      </c>
    </row>
    <row r="2867" spans="1:36" ht="10" customHeight="1" x14ac:dyDescent="0.2">
      <c r="A2867" s="5" t="s">
        <v>6836</v>
      </c>
      <c r="B2867" s="5" t="s">
        <v>45</v>
      </c>
      <c r="D2867" s="5" t="s">
        <v>6956</v>
      </c>
      <c r="E2867" s="10" t="s">
        <v>57</v>
      </c>
      <c r="F2867" s="5" t="s">
        <v>6950</v>
      </c>
      <c r="I2867" s="11">
        <v>4</v>
      </c>
      <c r="K2867" s="10" t="s">
        <v>50</v>
      </c>
      <c r="L2867" s="5" t="s">
        <v>51</v>
      </c>
      <c r="M2867" s="5" t="s">
        <v>149</v>
      </c>
      <c r="O2867" s="12"/>
      <c r="Q2867" s="13">
        <v>1400</v>
      </c>
      <c r="S2867" s="13">
        <v>357</v>
      </c>
      <c r="U2867" s="13">
        <v>357</v>
      </c>
      <c r="AC2867" s="16" t="str">
        <f t="shared" si="132"/>
        <v/>
      </c>
      <c r="AD2867" s="17">
        <f t="shared" si="133"/>
        <v>357</v>
      </c>
      <c r="AE2867" s="17">
        <f t="shared" si="134"/>
        <v>0</v>
      </c>
      <c r="AF2867" s="10" t="s">
        <v>6951</v>
      </c>
      <c r="AG2867" s="5" t="s">
        <v>1455</v>
      </c>
      <c r="AH2867" s="5" t="s">
        <v>6938</v>
      </c>
    </row>
    <row r="2868" spans="1:36" ht="10" customHeight="1" x14ac:dyDescent="0.2">
      <c r="A2868" s="5" t="s">
        <v>6836</v>
      </c>
      <c r="B2868" s="5" t="s">
        <v>45</v>
      </c>
      <c r="D2868" s="5" t="s">
        <v>6957</v>
      </c>
      <c r="E2868" s="10" t="s">
        <v>57</v>
      </c>
      <c r="F2868" s="5" t="s">
        <v>6950</v>
      </c>
      <c r="I2868" s="11">
        <v>4</v>
      </c>
      <c r="K2868" s="12"/>
      <c r="O2868" s="12"/>
      <c r="P2868" s="13">
        <v>3910</v>
      </c>
      <c r="Q2868" s="13">
        <v>4112</v>
      </c>
      <c r="S2868" s="13">
        <v>1744</v>
      </c>
      <c r="U2868" s="13">
        <v>1744</v>
      </c>
      <c r="AC2868" s="16" t="str">
        <f t="shared" si="132"/>
        <v/>
      </c>
      <c r="AD2868" s="17">
        <f t="shared" si="133"/>
        <v>1744</v>
      </c>
      <c r="AE2868" s="17">
        <f t="shared" si="134"/>
        <v>0</v>
      </c>
      <c r="AF2868" s="10" t="s">
        <v>6951</v>
      </c>
      <c r="AG2868" s="5" t="s">
        <v>1455</v>
      </c>
      <c r="AH2868" s="5" t="s">
        <v>6938</v>
      </c>
    </row>
    <row r="2869" spans="1:36" ht="10" customHeight="1" x14ac:dyDescent="0.2">
      <c r="A2869" s="5" t="s">
        <v>6836</v>
      </c>
      <c r="B2869" s="5" t="s">
        <v>45</v>
      </c>
      <c r="D2869" s="5" t="s">
        <v>6958</v>
      </c>
      <c r="E2869" s="10" t="s">
        <v>57</v>
      </c>
      <c r="F2869" s="5" t="s">
        <v>6950</v>
      </c>
      <c r="I2869" s="11">
        <v>4</v>
      </c>
      <c r="K2869" s="12"/>
      <c r="O2869" s="12"/>
      <c r="P2869" s="13">
        <v>2777</v>
      </c>
      <c r="Q2869" s="13">
        <v>4224</v>
      </c>
      <c r="S2869" s="13">
        <v>6452</v>
      </c>
      <c r="U2869" s="13">
        <v>6452</v>
      </c>
      <c r="AC2869" s="16" t="str">
        <f t="shared" si="132"/>
        <v/>
      </c>
      <c r="AD2869" s="17">
        <f t="shared" si="133"/>
        <v>6452</v>
      </c>
      <c r="AE2869" s="17">
        <f t="shared" si="134"/>
        <v>0</v>
      </c>
      <c r="AF2869" s="10" t="s">
        <v>6951</v>
      </c>
      <c r="AG2869" s="5" t="s">
        <v>1455</v>
      </c>
      <c r="AH2869" s="5" t="s">
        <v>6938</v>
      </c>
    </row>
    <row r="2870" spans="1:36" ht="10" customHeight="1" x14ac:dyDescent="0.2">
      <c r="A2870" s="5" t="s">
        <v>6836</v>
      </c>
      <c r="B2870" s="5" t="s">
        <v>45</v>
      </c>
      <c r="D2870" s="5" t="s">
        <v>6959</v>
      </c>
      <c r="E2870" s="10" t="s">
        <v>57</v>
      </c>
      <c r="F2870" s="5" t="s">
        <v>6950</v>
      </c>
      <c r="I2870" s="11">
        <v>4</v>
      </c>
      <c r="K2870" s="10" t="s">
        <v>50</v>
      </c>
      <c r="L2870" s="5" t="s">
        <v>51</v>
      </c>
      <c r="M2870" s="5" t="s">
        <v>69</v>
      </c>
      <c r="N2870" s="5" t="s">
        <v>70</v>
      </c>
      <c r="O2870" s="12"/>
      <c r="Q2870" s="13">
        <v>976</v>
      </c>
      <c r="S2870" s="13">
        <v>665</v>
      </c>
      <c r="U2870" s="13">
        <v>665</v>
      </c>
      <c r="AC2870" s="16" t="str">
        <f t="shared" si="132"/>
        <v/>
      </c>
      <c r="AD2870" s="17">
        <f t="shared" si="133"/>
        <v>665</v>
      </c>
      <c r="AE2870" s="17">
        <f t="shared" si="134"/>
        <v>0</v>
      </c>
      <c r="AF2870" s="10" t="s">
        <v>6951</v>
      </c>
      <c r="AG2870" s="5" t="s">
        <v>1455</v>
      </c>
      <c r="AH2870" s="5" t="s">
        <v>6938</v>
      </c>
    </row>
    <row r="2871" spans="1:36" ht="10" customHeight="1" x14ac:dyDescent="0.2">
      <c r="A2871" s="5" t="s">
        <v>6836</v>
      </c>
      <c r="B2871" s="5" t="s">
        <v>45</v>
      </c>
      <c r="D2871" s="5" t="s">
        <v>6960</v>
      </c>
      <c r="E2871" s="10" t="s">
        <v>57</v>
      </c>
      <c r="F2871" s="5" t="s">
        <v>6950</v>
      </c>
      <c r="I2871" s="11">
        <v>4</v>
      </c>
      <c r="K2871" s="12"/>
      <c r="O2871" s="12"/>
      <c r="P2871" s="13">
        <v>947</v>
      </c>
      <c r="Q2871" s="13">
        <v>3865</v>
      </c>
      <c r="S2871" s="13">
        <v>4056</v>
      </c>
      <c r="U2871" s="13">
        <v>4056</v>
      </c>
      <c r="AC2871" s="16" t="str">
        <f t="shared" si="132"/>
        <v/>
      </c>
      <c r="AD2871" s="17">
        <f t="shared" si="133"/>
        <v>4056</v>
      </c>
      <c r="AE2871" s="17">
        <f t="shared" si="134"/>
        <v>0</v>
      </c>
      <c r="AF2871" s="10" t="s">
        <v>6951</v>
      </c>
      <c r="AG2871" s="5" t="s">
        <v>1455</v>
      </c>
      <c r="AH2871" s="5" t="s">
        <v>6938</v>
      </c>
    </row>
    <row r="2872" spans="1:36" ht="10" customHeight="1" x14ac:dyDescent="0.2">
      <c r="A2872" s="5" t="s">
        <v>6836</v>
      </c>
      <c r="B2872" s="5" t="s">
        <v>45</v>
      </c>
      <c r="D2872" s="5" t="s">
        <v>6961</v>
      </c>
      <c r="E2872" s="10" t="s">
        <v>57</v>
      </c>
      <c r="F2872" s="5" t="s">
        <v>6950</v>
      </c>
      <c r="I2872" s="11">
        <v>4</v>
      </c>
      <c r="K2872" s="12"/>
      <c r="O2872" s="12"/>
      <c r="P2872" s="13">
        <v>10251</v>
      </c>
      <c r="Q2872" s="13">
        <v>2908</v>
      </c>
      <c r="AC2872" s="16" t="str">
        <f t="shared" si="132"/>
        <v/>
      </c>
      <c r="AD2872" s="17">
        <f t="shared" si="133"/>
        <v>0</v>
      </c>
      <c r="AE2872" s="17">
        <f t="shared" si="134"/>
        <v>0</v>
      </c>
      <c r="AF2872" s="10" t="s">
        <v>6951</v>
      </c>
      <c r="AG2872" s="5" t="s">
        <v>1455</v>
      </c>
      <c r="AH2872" s="5" t="s">
        <v>6938</v>
      </c>
    </row>
    <row r="2873" spans="1:36" ht="10" customHeight="1" x14ac:dyDescent="0.2">
      <c r="A2873" s="5" t="s">
        <v>6836</v>
      </c>
      <c r="B2873" s="5" t="s">
        <v>45</v>
      </c>
      <c r="D2873" s="5" t="s">
        <v>6962</v>
      </c>
      <c r="E2873" s="10" t="s">
        <v>57</v>
      </c>
      <c r="F2873" s="5" t="s">
        <v>6950</v>
      </c>
      <c r="I2873" s="11">
        <v>4</v>
      </c>
      <c r="K2873" s="10" t="s">
        <v>50</v>
      </c>
      <c r="L2873" s="5" t="s">
        <v>51</v>
      </c>
      <c r="M2873" s="5" t="s">
        <v>69</v>
      </c>
      <c r="N2873" s="5" t="s">
        <v>70</v>
      </c>
      <c r="O2873" s="12"/>
      <c r="P2873" s="13">
        <v>6998</v>
      </c>
      <c r="Q2873" s="13">
        <v>5709</v>
      </c>
      <c r="S2873" s="13">
        <v>2481</v>
      </c>
      <c r="U2873" s="13">
        <v>2481</v>
      </c>
      <c r="AC2873" s="16" t="str">
        <f t="shared" si="132"/>
        <v/>
      </c>
      <c r="AD2873" s="17">
        <f t="shared" si="133"/>
        <v>2481</v>
      </c>
      <c r="AE2873" s="17">
        <f t="shared" si="134"/>
        <v>0</v>
      </c>
      <c r="AF2873" s="10" t="s">
        <v>6951</v>
      </c>
      <c r="AG2873" s="5" t="s">
        <v>1455</v>
      </c>
      <c r="AH2873" s="5" t="s">
        <v>6938</v>
      </c>
    </row>
    <row r="2874" spans="1:36" ht="10" customHeight="1" x14ac:dyDescent="0.2">
      <c r="A2874" s="5" t="s">
        <v>6836</v>
      </c>
      <c r="B2874" s="5" t="s">
        <v>45</v>
      </c>
      <c r="D2874" s="5" t="s">
        <v>6963</v>
      </c>
      <c r="E2874" s="10" t="s">
        <v>57</v>
      </c>
      <c r="F2874" s="5" t="s">
        <v>6950</v>
      </c>
      <c r="I2874" s="11">
        <v>4</v>
      </c>
      <c r="K2874" s="12"/>
      <c r="O2874" s="12"/>
      <c r="P2874" s="13">
        <v>3651</v>
      </c>
      <c r="Q2874" s="13">
        <v>5998</v>
      </c>
      <c r="S2874" s="13">
        <v>4869</v>
      </c>
      <c r="U2874" s="13">
        <v>4869</v>
      </c>
      <c r="AC2874" s="16" t="str">
        <f t="shared" si="132"/>
        <v/>
      </c>
      <c r="AD2874" s="17">
        <f t="shared" si="133"/>
        <v>4869</v>
      </c>
      <c r="AE2874" s="17">
        <f t="shared" si="134"/>
        <v>0</v>
      </c>
      <c r="AF2874" s="10" t="s">
        <v>6951</v>
      </c>
      <c r="AG2874" s="5" t="s">
        <v>1455</v>
      </c>
      <c r="AH2874" s="5" t="s">
        <v>6938</v>
      </c>
    </row>
    <row r="2875" spans="1:36" ht="10" customHeight="1" x14ac:dyDescent="0.2">
      <c r="A2875" s="5" t="s">
        <v>6836</v>
      </c>
      <c r="B2875" s="5" t="s">
        <v>45</v>
      </c>
      <c r="D2875" s="5" t="s">
        <v>6964</v>
      </c>
      <c r="E2875" s="10" t="s">
        <v>57</v>
      </c>
      <c r="F2875" s="5" t="s">
        <v>6950</v>
      </c>
      <c r="I2875" s="11">
        <v>4</v>
      </c>
      <c r="K2875" s="12"/>
      <c r="O2875" s="12"/>
      <c r="P2875" s="13">
        <v>965</v>
      </c>
      <c r="Q2875" s="13">
        <v>2020</v>
      </c>
      <c r="S2875" s="13">
        <v>970</v>
      </c>
      <c r="U2875" s="13">
        <v>970</v>
      </c>
      <c r="AC2875" s="16" t="str">
        <f t="shared" si="132"/>
        <v/>
      </c>
      <c r="AD2875" s="17">
        <f t="shared" si="133"/>
        <v>970</v>
      </c>
      <c r="AE2875" s="17">
        <f t="shared" si="134"/>
        <v>0</v>
      </c>
      <c r="AF2875" s="10" t="s">
        <v>6951</v>
      </c>
      <c r="AG2875" s="5" t="s">
        <v>1455</v>
      </c>
      <c r="AH2875" s="5" t="s">
        <v>6938</v>
      </c>
    </row>
    <row r="2876" spans="1:36" ht="10" customHeight="1" x14ac:dyDescent="0.2">
      <c r="A2876" s="5" t="s">
        <v>6836</v>
      </c>
      <c r="B2876" s="5" t="s">
        <v>45</v>
      </c>
      <c r="D2876" s="5" t="s">
        <v>6965</v>
      </c>
      <c r="E2876" s="10" t="s">
        <v>57</v>
      </c>
      <c r="F2876" s="5" t="s">
        <v>6950</v>
      </c>
      <c r="I2876" s="11">
        <v>4</v>
      </c>
      <c r="K2876" s="10" t="s">
        <v>50</v>
      </c>
      <c r="L2876" s="5" t="s">
        <v>51</v>
      </c>
      <c r="M2876" s="5" t="s">
        <v>69</v>
      </c>
      <c r="N2876" s="5" t="s">
        <v>70</v>
      </c>
      <c r="O2876" s="12"/>
      <c r="P2876" s="13">
        <v>800</v>
      </c>
      <c r="Q2876" s="13">
        <v>1691</v>
      </c>
      <c r="S2876" s="13">
        <v>474</v>
      </c>
      <c r="U2876" s="13">
        <v>474</v>
      </c>
      <c r="AC2876" s="16" t="str">
        <f t="shared" si="132"/>
        <v/>
      </c>
      <c r="AD2876" s="17">
        <f t="shared" si="133"/>
        <v>474</v>
      </c>
      <c r="AE2876" s="17">
        <f t="shared" si="134"/>
        <v>0</v>
      </c>
      <c r="AF2876" s="10" t="s">
        <v>6951</v>
      </c>
      <c r="AG2876" s="5" t="s">
        <v>1455</v>
      </c>
      <c r="AH2876" s="5" t="s">
        <v>6938</v>
      </c>
    </row>
    <row r="2877" spans="1:36" ht="10" customHeight="1" x14ac:dyDescent="0.2">
      <c r="A2877" s="5" t="s">
        <v>6836</v>
      </c>
      <c r="B2877" s="5" t="s">
        <v>45</v>
      </c>
      <c r="D2877" s="5" t="s">
        <v>6966</v>
      </c>
      <c r="E2877" s="10" t="s">
        <v>57</v>
      </c>
      <c r="F2877" s="5" t="s">
        <v>6950</v>
      </c>
      <c r="I2877" s="11">
        <v>4</v>
      </c>
      <c r="K2877" s="10" t="s">
        <v>50</v>
      </c>
      <c r="L2877" s="5" t="s">
        <v>51</v>
      </c>
      <c r="M2877" s="5" t="s">
        <v>69</v>
      </c>
      <c r="N2877" s="5" t="s">
        <v>70</v>
      </c>
      <c r="O2877" s="12"/>
      <c r="P2877" s="13">
        <v>3062</v>
      </c>
      <c r="Q2877" s="13">
        <v>5176</v>
      </c>
      <c r="S2877" s="13">
        <v>2517</v>
      </c>
      <c r="U2877" s="13">
        <v>2517</v>
      </c>
      <c r="AC2877" s="16" t="str">
        <f t="shared" si="132"/>
        <v/>
      </c>
      <c r="AD2877" s="17">
        <f t="shared" si="133"/>
        <v>2517</v>
      </c>
      <c r="AE2877" s="17">
        <f t="shared" si="134"/>
        <v>0</v>
      </c>
      <c r="AF2877" s="10" t="s">
        <v>6951</v>
      </c>
      <c r="AG2877" s="5" t="s">
        <v>1455</v>
      </c>
      <c r="AH2877" s="5" t="s">
        <v>6938</v>
      </c>
    </row>
    <row r="2878" spans="1:36" ht="10" customHeight="1" x14ac:dyDescent="0.2">
      <c r="A2878" s="5" t="s">
        <v>6836</v>
      </c>
      <c r="B2878" s="5" t="s">
        <v>45</v>
      </c>
      <c r="D2878" s="5" t="s">
        <v>6967</v>
      </c>
      <c r="E2878" s="10" t="s">
        <v>57</v>
      </c>
      <c r="F2878" s="5" t="s">
        <v>6950</v>
      </c>
      <c r="I2878" s="11">
        <v>4</v>
      </c>
      <c r="K2878" s="10" t="s">
        <v>50</v>
      </c>
      <c r="L2878" s="5" t="s">
        <v>51</v>
      </c>
      <c r="M2878" s="5" t="s">
        <v>149</v>
      </c>
      <c r="O2878" s="12"/>
      <c r="Q2878" s="13">
        <v>332</v>
      </c>
      <c r="S2878" s="13">
        <v>593</v>
      </c>
      <c r="U2878" s="13">
        <v>593</v>
      </c>
      <c r="AC2878" s="16" t="str">
        <f t="shared" si="132"/>
        <v/>
      </c>
      <c r="AD2878" s="17">
        <f t="shared" si="133"/>
        <v>593</v>
      </c>
      <c r="AE2878" s="17">
        <f t="shared" si="134"/>
        <v>0</v>
      </c>
      <c r="AF2878" s="10" t="s">
        <v>6951</v>
      </c>
      <c r="AG2878" s="5" t="s">
        <v>1455</v>
      </c>
      <c r="AH2878" s="5" t="s">
        <v>6938</v>
      </c>
    </row>
    <row r="2879" spans="1:36" ht="10" customHeight="1" x14ac:dyDescent="0.2">
      <c r="A2879" s="5" t="s">
        <v>6836</v>
      </c>
      <c r="B2879" s="5" t="s">
        <v>45</v>
      </c>
      <c r="D2879" s="5" t="s">
        <v>6968</v>
      </c>
      <c r="E2879" s="10" t="s">
        <v>57</v>
      </c>
      <c r="F2879" s="5" t="s">
        <v>6940</v>
      </c>
      <c r="I2879" s="11">
        <v>6</v>
      </c>
      <c r="K2879" s="12"/>
      <c r="O2879" s="12"/>
      <c r="P2879" s="13">
        <v>3850</v>
      </c>
      <c r="AC2879" s="16" t="str">
        <f t="shared" si="132"/>
        <v/>
      </c>
      <c r="AD2879" s="17">
        <f t="shared" si="133"/>
        <v>0</v>
      </c>
      <c r="AE2879" s="17">
        <f t="shared" si="134"/>
        <v>0</v>
      </c>
      <c r="AF2879" s="10" t="s">
        <v>6969</v>
      </c>
      <c r="AG2879" s="5" t="s">
        <v>1665</v>
      </c>
      <c r="AH2879" s="5" t="s">
        <v>6938</v>
      </c>
      <c r="AI2879" s="5" t="s">
        <v>6970</v>
      </c>
    </row>
    <row r="2880" spans="1:36" ht="10" customHeight="1" x14ac:dyDescent="0.2">
      <c r="A2880" s="5" t="s">
        <v>6836</v>
      </c>
      <c r="B2880" s="5" t="s">
        <v>45</v>
      </c>
      <c r="D2880" s="5" t="s">
        <v>6971</v>
      </c>
      <c r="E2880" s="10" t="s">
        <v>57</v>
      </c>
      <c r="F2880" s="5" t="s">
        <v>6940</v>
      </c>
      <c r="I2880" s="11">
        <v>4</v>
      </c>
      <c r="K2880" s="10" t="s">
        <v>50</v>
      </c>
      <c r="L2880" s="5" t="s">
        <v>51</v>
      </c>
      <c r="M2880" s="5" t="s">
        <v>119</v>
      </c>
      <c r="O2880" s="12"/>
      <c r="P2880" s="13">
        <v>14233</v>
      </c>
      <c r="Q2880" s="13">
        <v>14479</v>
      </c>
      <c r="AC2880" s="16" t="str">
        <f t="shared" si="132"/>
        <v/>
      </c>
      <c r="AD2880" s="17">
        <f t="shared" si="133"/>
        <v>0</v>
      </c>
      <c r="AE2880" s="17">
        <f t="shared" si="134"/>
        <v>0</v>
      </c>
      <c r="AF2880" s="10" t="s">
        <v>6972</v>
      </c>
      <c r="AG2880" s="5" t="s">
        <v>1681</v>
      </c>
      <c r="AH2880" s="5" t="s">
        <v>6938</v>
      </c>
      <c r="AJ2880" s="5" t="s">
        <v>6973</v>
      </c>
    </row>
    <row r="2881" spans="1:36" ht="10" customHeight="1" x14ac:dyDescent="0.2">
      <c r="A2881" s="5" t="s">
        <v>6836</v>
      </c>
      <c r="B2881" s="5" t="s">
        <v>45</v>
      </c>
      <c r="D2881" s="5" t="s">
        <v>6874</v>
      </c>
      <c r="E2881" s="10" t="s">
        <v>57</v>
      </c>
      <c r="F2881" s="5" t="s">
        <v>6974</v>
      </c>
      <c r="I2881" s="11">
        <v>4</v>
      </c>
      <c r="K2881" s="10" t="s">
        <v>50</v>
      </c>
      <c r="L2881" s="5" t="s">
        <v>51</v>
      </c>
      <c r="M2881" s="5" t="s">
        <v>119</v>
      </c>
      <c r="O2881" s="12"/>
      <c r="P2881" s="13">
        <v>992</v>
      </c>
      <c r="Q2881" s="13">
        <v>1012</v>
      </c>
      <c r="AC2881" s="16" t="str">
        <f t="shared" si="132"/>
        <v/>
      </c>
      <c r="AD2881" s="17">
        <f t="shared" si="133"/>
        <v>0</v>
      </c>
      <c r="AE2881" s="17">
        <f t="shared" si="134"/>
        <v>0</v>
      </c>
      <c r="AF2881" s="10" t="s">
        <v>6975</v>
      </c>
      <c r="AG2881" s="5" t="s">
        <v>1681</v>
      </c>
      <c r="AH2881" s="5" t="s">
        <v>6938</v>
      </c>
      <c r="AJ2881" s="5" t="s">
        <v>6976</v>
      </c>
    </row>
    <row r="2882" spans="1:36" ht="10" customHeight="1" x14ac:dyDescent="0.2">
      <c r="A2882" s="5" t="s">
        <v>6836</v>
      </c>
      <c r="B2882" s="5" t="s">
        <v>45</v>
      </c>
      <c r="D2882" s="5" t="s">
        <v>6877</v>
      </c>
      <c r="E2882" s="10" t="s">
        <v>57</v>
      </c>
      <c r="F2882" s="5" t="s">
        <v>6974</v>
      </c>
      <c r="I2882" s="11">
        <v>4</v>
      </c>
      <c r="K2882" s="10" t="s">
        <v>50</v>
      </c>
      <c r="L2882" s="5" t="s">
        <v>51</v>
      </c>
      <c r="M2882" s="5" t="s">
        <v>119</v>
      </c>
      <c r="O2882" s="12"/>
      <c r="P2882" s="13">
        <v>1156</v>
      </c>
      <c r="AC2882" s="16" t="str">
        <f t="shared" si="132"/>
        <v/>
      </c>
      <c r="AD2882" s="17">
        <f t="shared" si="133"/>
        <v>0</v>
      </c>
      <c r="AE2882" s="17">
        <f t="shared" si="134"/>
        <v>0</v>
      </c>
      <c r="AF2882" s="10" t="s">
        <v>6975</v>
      </c>
      <c r="AG2882" s="5" t="s">
        <v>1681</v>
      </c>
      <c r="AH2882" s="5" t="s">
        <v>6938</v>
      </c>
      <c r="AJ2882" s="5" t="s">
        <v>6976</v>
      </c>
    </row>
    <row r="2883" spans="1:36" ht="10" customHeight="1" x14ac:dyDescent="0.2">
      <c r="A2883" s="5" t="s">
        <v>6836</v>
      </c>
      <c r="B2883" s="5" t="s">
        <v>45</v>
      </c>
      <c r="D2883" s="5" t="s">
        <v>6878</v>
      </c>
      <c r="E2883" s="10" t="s">
        <v>57</v>
      </c>
      <c r="F2883" s="5" t="s">
        <v>6974</v>
      </c>
      <c r="I2883" s="11">
        <v>4</v>
      </c>
      <c r="K2883" s="10" t="s">
        <v>50</v>
      </c>
      <c r="L2883" s="5" t="s">
        <v>51</v>
      </c>
      <c r="M2883" s="5" t="s">
        <v>119</v>
      </c>
      <c r="O2883" s="12"/>
      <c r="P2883" s="13">
        <v>1725</v>
      </c>
      <c r="Q2883" s="13">
        <v>1759</v>
      </c>
      <c r="AC2883" s="16" t="str">
        <f t="shared" si="132"/>
        <v/>
      </c>
      <c r="AD2883" s="17">
        <f t="shared" si="133"/>
        <v>0</v>
      </c>
      <c r="AE2883" s="17">
        <f t="shared" si="134"/>
        <v>0</v>
      </c>
      <c r="AF2883" s="10" t="s">
        <v>6975</v>
      </c>
      <c r="AG2883" s="5" t="s">
        <v>1681</v>
      </c>
      <c r="AH2883" s="5" t="s">
        <v>6938</v>
      </c>
      <c r="AJ2883" s="5" t="s">
        <v>6976</v>
      </c>
    </row>
    <row r="2884" spans="1:36" ht="10" customHeight="1" x14ac:dyDescent="0.2">
      <c r="A2884" s="5" t="s">
        <v>6836</v>
      </c>
      <c r="B2884" s="5" t="s">
        <v>45</v>
      </c>
      <c r="D2884" s="5" t="s">
        <v>6977</v>
      </c>
      <c r="E2884" s="10" t="s">
        <v>57</v>
      </c>
      <c r="F2884" s="5" t="s">
        <v>6974</v>
      </c>
      <c r="I2884" s="11">
        <v>4</v>
      </c>
      <c r="K2884" s="10" t="s">
        <v>50</v>
      </c>
      <c r="L2884" s="5" t="s">
        <v>51</v>
      </c>
      <c r="M2884" s="5" t="s">
        <v>119</v>
      </c>
      <c r="O2884" s="12"/>
      <c r="P2884" s="13">
        <v>3382</v>
      </c>
      <c r="Q2884" s="13">
        <v>4010</v>
      </c>
      <c r="AC2884" s="16" t="str">
        <f t="shared" si="132"/>
        <v/>
      </c>
      <c r="AD2884" s="17">
        <f t="shared" si="133"/>
        <v>0</v>
      </c>
      <c r="AE2884" s="17">
        <f t="shared" si="134"/>
        <v>0</v>
      </c>
      <c r="AF2884" s="10" t="s">
        <v>6975</v>
      </c>
      <c r="AG2884" s="5" t="s">
        <v>1681</v>
      </c>
      <c r="AH2884" s="5" t="s">
        <v>6938</v>
      </c>
      <c r="AJ2884" s="5" t="s">
        <v>6976</v>
      </c>
    </row>
    <row r="2885" spans="1:36" ht="10" customHeight="1" x14ac:dyDescent="0.2">
      <c r="A2885" s="5" t="s">
        <v>6836</v>
      </c>
      <c r="B2885" s="5" t="s">
        <v>45</v>
      </c>
      <c r="D2885" s="5" t="s">
        <v>6978</v>
      </c>
      <c r="E2885" s="10" t="s">
        <v>57</v>
      </c>
      <c r="F2885" s="5" t="s">
        <v>6974</v>
      </c>
      <c r="I2885" s="11">
        <v>4</v>
      </c>
      <c r="K2885" s="10" t="s">
        <v>50</v>
      </c>
      <c r="L2885" s="5" t="s">
        <v>51</v>
      </c>
      <c r="M2885" s="5" t="s">
        <v>119</v>
      </c>
      <c r="O2885" s="12"/>
      <c r="P2885" s="13">
        <v>223</v>
      </c>
      <c r="Q2885" s="13">
        <v>227</v>
      </c>
      <c r="AC2885" s="16" t="str">
        <f t="shared" si="132"/>
        <v/>
      </c>
      <c r="AD2885" s="17">
        <f t="shared" si="133"/>
        <v>0</v>
      </c>
      <c r="AE2885" s="17">
        <f t="shared" si="134"/>
        <v>0</v>
      </c>
      <c r="AF2885" s="10" t="s">
        <v>6975</v>
      </c>
      <c r="AG2885" s="5" t="s">
        <v>1681</v>
      </c>
      <c r="AH2885" s="5" t="s">
        <v>6938</v>
      </c>
      <c r="AJ2885" s="5" t="s">
        <v>6976</v>
      </c>
    </row>
    <row r="2886" spans="1:36" ht="10" customHeight="1" x14ac:dyDescent="0.2">
      <c r="A2886" s="5" t="s">
        <v>6836</v>
      </c>
      <c r="B2886" s="5" t="s">
        <v>45</v>
      </c>
      <c r="D2886" s="5" t="s">
        <v>6979</v>
      </c>
      <c r="E2886" s="10" t="s">
        <v>57</v>
      </c>
      <c r="F2886" s="5" t="s">
        <v>6974</v>
      </c>
      <c r="I2886" s="11">
        <v>4</v>
      </c>
      <c r="K2886" s="10" t="s">
        <v>50</v>
      </c>
      <c r="L2886" s="5" t="s">
        <v>51</v>
      </c>
      <c r="M2886" s="5" t="s">
        <v>119</v>
      </c>
      <c r="O2886" s="12"/>
      <c r="P2886" s="13">
        <v>400</v>
      </c>
      <c r="Q2886" s="13">
        <v>287</v>
      </c>
      <c r="AC2886" s="16" t="str">
        <f t="shared" ref="AC2886:AC2949" si="135">IF(OR(E2886="",E2886="[PARENT]"),"ADD",IF(E2886="[ALT_VIEW]","ALT",""))</f>
        <v/>
      </c>
      <c r="AD2886" s="17">
        <f t="shared" ref="AD2886:AD2949" si="136">IF(Y2886&lt;&gt;"",Y2886,IF(U2886&lt;&gt;"",U2886,S2886))</f>
        <v>0</v>
      </c>
      <c r="AE2886" s="17">
        <f t="shared" ref="AE2886:AE2949" si="137">IF(AB2886&lt;&gt;"",AB2886,Z2886)</f>
        <v>0</v>
      </c>
      <c r="AF2886" s="10" t="s">
        <v>6975</v>
      </c>
      <c r="AG2886" s="5" t="s">
        <v>1681</v>
      </c>
      <c r="AH2886" s="5" t="s">
        <v>6938</v>
      </c>
      <c r="AJ2886" s="5" t="s">
        <v>6976</v>
      </c>
    </row>
    <row r="2887" spans="1:36" ht="10" customHeight="1" x14ac:dyDescent="0.2">
      <c r="A2887" s="5" t="s">
        <v>6836</v>
      </c>
      <c r="B2887" s="5" t="s">
        <v>45</v>
      </c>
      <c r="D2887" s="5" t="s">
        <v>6980</v>
      </c>
      <c r="E2887" s="10" t="s">
        <v>57</v>
      </c>
      <c r="F2887" s="5" t="s">
        <v>6974</v>
      </c>
      <c r="I2887" s="11">
        <v>4</v>
      </c>
      <c r="K2887" s="10" t="s">
        <v>50</v>
      </c>
      <c r="L2887" s="5" t="s">
        <v>51</v>
      </c>
      <c r="M2887" s="5" t="s">
        <v>119</v>
      </c>
      <c r="O2887" s="12"/>
      <c r="P2887" s="13">
        <v>6163</v>
      </c>
      <c r="Q2887" s="13">
        <v>7184</v>
      </c>
      <c r="AC2887" s="16" t="str">
        <f t="shared" si="135"/>
        <v/>
      </c>
      <c r="AD2887" s="17">
        <f t="shared" si="136"/>
        <v>0</v>
      </c>
      <c r="AE2887" s="17">
        <f t="shared" si="137"/>
        <v>0</v>
      </c>
      <c r="AF2887" s="10" t="s">
        <v>6975</v>
      </c>
      <c r="AG2887" s="5" t="s">
        <v>1681</v>
      </c>
      <c r="AH2887" s="5" t="s">
        <v>6938</v>
      </c>
      <c r="AJ2887" s="5" t="s">
        <v>6976</v>
      </c>
    </row>
    <row r="2888" spans="1:36" ht="10" customHeight="1" x14ac:dyDescent="0.2">
      <c r="A2888" s="5" t="s">
        <v>6836</v>
      </c>
      <c r="B2888" s="5" t="s">
        <v>45</v>
      </c>
      <c r="D2888" s="5" t="s">
        <v>6981</v>
      </c>
      <c r="E2888" s="10" t="s">
        <v>57</v>
      </c>
      <c r="F2888" s="5" t="s">
        <v>6940</v>
      </c>
      <c r="I2888" s="11">
        <v>4</v>
      </c>
      <c r="K2888" s="10" t="s">
        <v>50</v>
      </c>
      <c r="L2888" s="5" t="s">
        <v>51</v>
      </c>
      <c r="M2888" s="5" t="s">
        <v>69</v>
      </c>
      <c r="N2888" s="5" t="s">
        <v>70</v>
      </c>
      <c r="O2888" s="12"/>
      <c r="P2888" s="13">
        <v>7833</v>
      </c>
      <c r="Q2888" s="13">
        <v>4210</v>
      </c>
      <c r="AC2888" s="16" t="str">
        <f t="shared" si="135"/>
        <v/>
      </c>
      <c r="AD2888" s="17">
        <f t="shared" si="136"/>
        <v>0</v>
      </c>
      <c r="AE2888" s="17">
        <f t="shared" si="137"/>
        <v>0</v>
      </c>
      <c r="AF2888" s="10" t="s">
        <v>6982</v>
      </c>
      <c r="AG2888" s="5" t="s">
        <v>1726</v>
      </c>
      <c r="AH2888" s="5" t="s">
        <v>6938</v>
      </c>
      <c r="AJ2888" s="5" t="s">
        <v>6983</v>
      </c>
    </row>
    <row r="2889" spans="1:36" ht="10" customHeight="1" x14ac:dyDescent="0.2">
      <c r="A2889" s="5" t="s">
        <v>6836</v>
      </c>
      <c r="B2889" s="5" t="s">
        <v>45</v>
      </c>
      <c r="D2889" s="5" t="s">
        <v>6984</v>
      </c>
      <c r="E2889" s="10" t="s">
        <v>57</v>
      </c>
      <c r="F2889" s="5" t="s">
        <v>6985</v>
      </c>
      <c r="I2889" s="11">
        <v>4</v>
      </c>
      <c r="K2889" s="10" t="s">
        <v>50</v>
      </c>
      <c r="L2889" s="5" t="s">
        <v>51</v>
      </c>
      <c r="M2889" s="5" t="s">
        <v>69</v>
      </c>
      <c r="N2889" s="5" t="s">
        <v>70</v>
      </c>
      <c r="O2889" s="12"/>
      <c r="P2889" s="13">
        <v>3200</v>
      </c>
      <c r="Q2889" s="13">
        <v>1910</v>
      </c>
      <c r="AC2889" s="16" t="str">
        <f t="shared" si="135"/>
        <v/>
      </c>
      <c r="AD2889" s="17">
        <f t="shared" si="136"/>
        <v>0</v>
      </c>
      <c r="AE2889" s="17">
        <f t="shared" si="137"/>
        <v>0</v>
      </c>
      <c r="AF2889" s="10" t="s">
        <v>6982</v>
      </c>
      <c r="AG2889" s="5" t="s">
        <v>1726</v>
      </c>
      <c r="AH2889" s="5" t="s">
        <v>6938</v>
      </c>
      <c r="AJ2889" s="5" t="s">
        <v>6983</v>
      </c>
    </row>
    <row r="2890" spans="1:36" ht="10" customHeight="1" x14ac:dyDescent="0.2">
      <c r="A2890" s="5" t="s">
        <v>6836</v>
      </c>
      <c r="B2890" s="5" t="s">
        <v>45</v>
      </c>
      <c r="D2890" s="5" t="s">
        <v>6879</v>
      </c>
      <c r="E2890" s="10" t="s">
        <v>57</v>
      </c>
      <c r="F2890" s="5" t="s">
        <v>6985</v>
      </c>
      <c r="I2890" s="11">
        <v>4</v>
      </c>
      <c r="K2890" s="10" t="s">
        <v>50</v>
      </c>
      <c r="L2890" s="5" t="s">
        <v>51</v>
      </c>
      <c r="M2890" s="5" t="s">
        <v>69</v>
      </c>
      <c r="N2890" s="5" t="s">
        <v>70</v>
      </c>
      <c r="O2890" s="12"/>
      <c r="P2890" s="13">
        <v>4633</v>
      </c>
      <c r="Q2890" s="13">
        <v>2300</v>
      </c>
      <c r="AC2890" s="16" t="str">
        <f t="shared" si="135"/>
        <v/>
      </c>
      <c r="AD2890" s="17">
        <f t="shared" si="136"/>
        <v>0</v>
      </c>
      <c r="AE2890" s="17">
        <f t="shared" si="137"/>
        <v>0</v>
      </c>
      <c r="AF2890" s="10" t="s">
        <v>6982</v>
      </c>
      <c r="AG2890" s="5" t="s">
        <v>1726</v>
      </c>
      <c r="AH2890" s="5" t="s">
        <v>6938</v>
      </c>
      <c r="AJ2890" s="5" t="s">
        <v>6983</v>
      </c>
    </row>
    <row r="2891" spans="1:36" ht="10" customHeight="1" x14ac:dyDescent="0.2">
      <c r="A2891" s="5" t="s">
        <v>6836</v>
      </c>
      <c r="B2891" s="5" t="s">
        <v>45</v>
      </c>
      <c r="C2891" s="5" t="s">
        <v>1449</v>
      </c>
      <c r="D2891" s="5" t="s">
        <v>6986</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6" t="str">
        <f t="shared" si="135"/>
        <v>ADD</v>
      </c>
      <c r="AD2891" s="17">
        <f t="shared" si="136"/>
        <v>4484</v>
      </c>
      <c r="AE2891" s="17">
        <f t="shared" si="137"/>
        <v>23551</v>
      </c>
      <c r="AF2891" s="10" t="s">
        <v>6987</v>
      </c>
      <c r="AG2891" s="5" t="s">
        <v>1773</v>
      </c>
      <c r="AH2891" s="5" t="s">
        <v>6988</v>
      </c>
      <c r="AI2891" s="5" t="s">
        <v>6986</v>
      </c>
    </row>
    <row r="2892" spans="1:36" ht="10" customHeight="1" x14ac:dyDescent="0.2">
      <c r="A2892" s="5" t="s">
        <v>6836</v>
      </c>
      <c r="B2892" s="5" t="s">
        <v>45</v>
      </c>
      <c r="D2892" s="5" t="s">
        <v>6989</v>
      </c>
      <c r="E2892" s="10" t="s">
        <v>57</v>
      </c>
      <c r="F2892" s="5" t="s">
        <v>6990</v>
      </c>
      <c r="I2892" s="11">
        <v>4</v>
      </c>
      <c r="K2892" s="10" t="s">
        <v>50</v>
      </c>
      <c r="L2892" s="5" t="s">
        <v>51</v>
      </c>
      <c r="M2892" s="5" t="s">
        <v>69</v>
      </c>
      <c r="N2892" s="5" t="s">
        <v>70</v>
      </c>
      <c r="O2892" s="12"/>
      <c r="P2892" s="13">
        <v>12321</v>
      </c>
      <c r="AC2892" s="16" t="str">
        <f t="shared" si="135"/>
        <v/>
      </c>
      <c r="AD2892" s="17">
        <f t="shared" si="136"/>
        <v>0</v>
      </c>
      <c r="AE2892" s="17">
        <f t="shared" si="137"/>
        <v>0</v>
      </c>
      <c r="AF2892" s="10" t="s">
        <v>6991</v>
      </c>
      <c r="AG2892" s="5" t="s">
        <v>1794</v>
      </c>
      <c r="AH2892" s="5" t="s">
        <v>6988</v>
      </c>
      <c r="AI2892" s="5" t="s">
        <v>6986</v>
      </c>
      <c r="AJ2892" s="5" t="s">
        <v>6992</v>
      </c>
    </row>
    <row r="2893" spans="1:36" ht="10" customHeight="1" x14ac:dyDescent="0.2">
      <c r="A2893" s="5" t="s">
        <v>6836</v>
      </c>
      <c r="B2893" s="5" t="s">
        <v>45</v>
      </c>
      <c r="D2893" s="5" t="s">
        <v>6993</v>
      </c>
      <c r="E2893" s="10" t="s">
        <v>57</v>
      </c>
      <c r="F2893" s="5" t="s">
        <v>6990</v>
      </c>
      <c r="I2893" s="11">
        <v>4</v>
      </c>
      <c r="K2893" s="10" t="s">
        <v>50</v>
      </c>
      <c r="L2893" s="5" t="s">
        <v>51</v>
      </c>
      <c r="M2893" s="5" t="s">
        <v>69</v>
      </c>
      <c r="N2893" s="5" t="s">
        <v>70</v>
      </c>
      <c r="O2893" s="12"/>
      <c r="S2893" s="13">
        <v>2</v>
      </c>
      <c r="U2893" s="13">
        <v>2</v>
      </c>
      <c r="AC2893" s="16" t="str">
        <f t="shared" si="135"/>
        <v/>
      </c>
      <c r="AD2893" s="17">
        <f t="shared" si="136"/>
        <v>2</v>
      </c>
      <c r="AE2893" s="17">
        <f t="shared" si="137"/>
        <v>0</v>
      </c>
      <c r="AF2893" s="10" t="s">
        <v>6991</v>
      </c>
      <c r="AG2893" s="5" t="s">
        <v>1794</v>
      </c>
      <c r="AH2893" s="5" t="s">
        <v>6988</v>
      </c>
      <c r="AI2893" s="5" t="s">
        <v>6986</v>
      </c>
      <c r="AJ2893" s="5" t="s">
        <v>6992</v>
      </c>
    </row>
    <row r="2894" spans="1:36" ht="10" customHeight="1" x14ac:dyDescent="0.2">
      <c r="A2894" s="5" t="s">
        <v>6836</v>
      </c>
      <c r="B2894" s="5" t="s">
        <v>45</v>
      </c>
      <c r="D2894" s="5" t="s">
        <v>6994</v>
      </c>
      <c r="E2894" s="10" t="s">
        <v>57</v>
      </c>
      <c r="F2894" s="5" t="s">
        <v>6990</v>
      </c>
      <c r="I2894" s="11">
        <v>4</v>
      </c>
      <c r="K2894" s="10" t="s">
        <v>50</v>
      </c>
      <c r="L2894" s="5" t="s">
        <v>51</v>
      </c>
      <c r="M2894" s="5" t="s">
        <v>69</v>
      </c>
      <c r="N2894" s="5" t="s">
        <v>70</v>
      </c>
      <c r="O2894" s="12"/>
      <c r="Q2894" s="13">
        <v>1</v>
      </c>
      <c r="AC2894" s="16" t="str">
        <f t="shared" si="135"/>
        <v/>
      </c>
      <c r="AD2894" s="17">
        <f t="shared" si="136"/>
        <v>0</v>
      </c>
      <c r="AE2894" s="17">
        <f t="shared" si="137"/>
        <v>0</v>
      </c>
      <c r="AF2894" s="10" t="s">
        <v>6991</v>
      </c>
      <c r="AG2894" s="5" t="s">
        <v>1794</v>
      </c>
      <c r="AH2894" s="5" t="s">
        <v>6988</v>
      </c>
      <c r="AI2894" s="5" t="s">
        <v>6986</v>
      </c>
      <c r="AJ2894" s="5" t="s">
        <v>6992</v>
      </c>
    </row>
    <row r="2895" spans="1:36" ht="10" customHeight="1" x14ac:dyDescent="0.2">
      <c r="A2895" s="5" t="s">
        <v>6836</v>
      </c>
      <c r="B2895" s="5" t="s">
        <v>45</v>
      </c>
      <c r="D2895" s="5" t="s">
        <v>6995</v>
      </c>
      <c r="E2895" s="10" t="s">
        <v>57</v>
      </c>
      <c r="F2895" s="5" t="s">
        <v>6990</v>
      </c>
      <c r="I2895" s="11">
        <v>4</v>
      </c>
      <c r="K2895" s="10" t="s">
        <v>50</v>
      </c>
      <c r="L2895" s="5" t="s">
        <v>51</v>
      </c>
      <c r="M2895" s="5" t="s">
        <v>69</v>
      </c>
      <c r="N2895" s="5" t="s">
        <v>70</v>
      </c>
      <c r="O2895" s="12"/>
      <c r="Q2895" s="13">
        <v>251</v>
      </c>
      <c r="S2895" s="13">
        <v>256</v>
      </c>
      <c r="U2895" s="13">
        <v>256</v>
      </c>
      <c r="AC2895" s="16" t="str">
        <f t="shared" si="135"/>
        <v/>
      </c>
      <c r="AD2895" s="17">
        <f t="shared" si="136"/>
        <v>256</v>
      </c>
      <c r="AE2895" s="17">
        <f t="shared" si="137"/>
        <v>0</v>
      </c>
      <c r="AF2895" s="10" t="s">
        <v>6996</v>
      </c>
      <c r="AG2895" s="5" t="s">
        <v>1794</v>
      </c>
      <c r="AH2895" s="5" t="s">
        <v>6988</v>
      </c>
      <c r="AI2895" s="5" t="s">
        <v>6986</v>
      </c>
      <c r="AJ2895" s="5" t="s">
        <v>6997</v>
      </c>
    </row>
    <row r="2896" spans="1:36" ht="10" customHeight="1" x14ac:dyDescent="0.2">
      <c r="A2896" s="5" t="s">
        <v>6836</v>
      </c>
      <c r="B2896" s="5" t="s">
        <v>45</v>
      </c>
      <c r="D2896" s="5" t="s">
        <v>6998</v>
      </c>
      <c r="E2896" s="10" t="s">
        <v>57</v>
      </c>
      <c r="F2896" s="5" t="s">
        <v>6990</v>
      </c>
      <c r="I2896" s="11">
        <v>4</v>
      </c>
      <c r="K2896" s="10" t="s">
        <v>50</v>
      </c>
      <c r="L2896" s="5" t="s">
        <v>51</v>
      </c>
      <c r="M2896" s="5" t="s">
        <v>69</v>
      </c>
      <c r="N2896" s="5" t="s">
        <v>70</v>
      </c>
      <c r="O2896" s="12"/>
      <c r="P2896" s="13">
        <v>55</v>
      </c>
      <c r="Q2896" s="13">
        <v>230</v>
      </c>
      <c r="S2896" s="13">
        <v>234</v>
      </c>
      <c r="U2896" s="13">
        <v>234</v>
      </c>
      <c r="AC2896" s="16" t="str">
        <f t="shared" si="135"/>
        <v/>
      </c>
      <c r="AD2896" s="17">
        <f t="shared" si="136"/>
        <v>234</v>
      </c>
      <c r="AE2896" s="17">
        <f t="shared" si="137"/>
        <v>0</v>
      </c>
      <c r="AF2896" s="10" t="s">
        <v>6996</v>
      </c>
      <c r="AG2896" s="5" t="s">
        <v>1794</v>
      </c>
      <c r="AH2896" s="5" t="s">
        <v>6988</v>
      </c>
      <c r="AI2896" s="5" t="s">
        <v>6986</v>
      </c>
      <c r="AJ2896" s="5" t="s">
        <v>6997</v>
      </c>
    </row>
    <row r="2897" spans="1:36" ht="10" customHeight="1" x14ac:dyDescent="0.2">
      <c r="A2897" s="5" t="s">
        <v>6836</v>
      </c>
      <c r="B2897" s="5" t="s">
        <v>45</v>
      </c>
      <c r="D2897" s="5" t="s">
        <v>6874</v>
      </c>
      <c r="E2897" s="10" t="s">
        <v>57</v>
      </c>
      <c r="F2897" s="5" t="s">
        <v>6990</v>
      </c>
      <c r="I2897" s="11">
        <v>4</v>
      </c>
      <c r="K2897" s="10" t="s">
        <v>50</v>
      </c>
      <c r="L2897" s="5" t="s">
        <v>51</v>
      </c>
      <c r="M2897" s="5" t="s">
        <v>69</v>
      </c>
      <c r="N2897" s="5" t="s">
        <v>70</v>
      </c>
      <c r="O2897" s="12"/>
      <c r="Q2897" s="13">
        <v>757</v>
      </c>
      <c r="S2897" s="13">
        <v>350</v>
      </c>
      <c r="U2897" s="13">
        <v>350</v>
      </c>
      <c r="AC2897" s="16" t="str">
        <f t="shared" si="135"/>
        <v/>
      </c>
      <c r="AD2897" s="17">
        <f t="shared" si="136"/>
        <v>350</v>
      </c>
      <c r="AE2897" s="17">
        <f t="shared" si="137"/>
        <v>0</v>
      </c>
      <c r="AF2897" s="10" t="s">
        <v>6996</v>
      </c>
      <c r="AG2897" s="5" t="s">
        <v>1794</v>
      </c>
      <c r="AH2897" s="5" t="s">
        <v>6988</v>
      </c>
      <c r="AI2897" s="5" t="s">
        <v>6986</v>
      </c>
      <c r="AJ2897" s="5" t="s">
        <v>6997</v>
      </c>
    </row>
    <row r="2898" spans="1:36" ht="10" customHeight="1" x14ac:dyDescent="0.2">
      <c r="A2898" s="5" t="s">
        <v>6836</v>
      </c>
      <c r="B2898" s="5" t="s">
        <v>45</v>
      </c>
      <c r="D2898" s="5" t="s">
        <v>6877</v>
      </c>
      <c r="E2898" s="10" t="s">
        <v>57</v>
      </c>
      <c r="F2898" s="5" t="s">
        <v>6990</v>
      </c>
      <c r="I2898" s="11">
        <v>4</v>
      </c>
      <c r="K2898" s="10" t="s">
        <v>50</v>
      </c>
      <c r="L2898" s="5" t="s">
        <v>51</v>
      </c>
      <c r="M2898" s="5" t="s">
        <v>69</v>
      </c>
      <c r="N2898" s="5" t="s">
        <v>70</v>
      </c>
      <c r="O2898" s="12"/>
      <c r="S2898" s="13">
        <v>3637</v>
      </c>
      <c r="U2898" s="13">
        <v>3637</v>
      </c>
      <c r="AC2898" s="16" t="str">
        <f t="shared" si="135"/>
        <v/>
      </c>
      <c r="AD2898" s="17">
        <f t="shared" si="136"/>
        <v>3637</v>
      </c>
      <c r="AE2898" s="17">
        <f t="shared" si="137"/>
        <v>0</v>
      </c>
      <c r="AF2898" s="10" t="s">
        <v>6996</v>
      </c>
      <c r="AG2898" s="5" t="s">
        <v>1794</v>
      </c>
      <c r="AH2898" s="5" t="s">
        <v>6988</v>
      </c>
      <c r="AI2898" s="5" t="s">
        <v>6986</v>
      </c>
      <c r="AJ2898" s="5" t="s">
        <v>6997</v>
      </c>
    </row>
    <row r="2899" spans="1:36" ht="10" customHeight="1" x14ac:dyDescent="0.2">
      <c r="A2899" s="5" t="s">
        <v>6836</v>
      </c>
      <c r="B2899" s="5" t="s">
        <v>45</v>
      </c>
      <c r="D2899" s="5" t="s">
        <v>6999</v>
      </c>
      <c r="E2899" s="10" t="s">
        <v>57</v>
      </c>
      <c r="F2899" s="5" t="s">
        <v>6990</v>
      </c>
      <c r="I2899" s="11">
        <v>4</v>
      </c>
      <c r="K2899" s="10" t="s">
        <v>50</v>
      </c>
      <c r="L2899" s="5" t="s">
        <v>51</v>
      </c>
      <c r="M2899" s="5" t="s">
        <v>69</v>
      </c>
      <c r="N2899" s="5" t="s">
        <v>70</v>
      </c>
      <c r="O2899" s="12"/>
      <c r="Q2899" s="13">
        <v>1000</v>
      </c>
      <c r="AC2899" s="16" t="str">
        <f t="shared" si="135"/>
        <v/>
      </c>
      <c r="AD2899" s="17">
        <f t="shared" si="136"/>
        <v>0</v>
      </c>
      <c r="AE2899" s="17">
        <f t="shared" si="137"/>
        <v>0</v>
      </c>
      <c r="AF2899" s="10" t="s">
        <v>7000</v>
      </c>
      <c r="AG2899" s="5" t="s">
        <v>1794</v>
      </c>
      <c r="AH2899" s="5" t="s">
        <v>6988</v>
      </c>
      <c r="AI2899" s="5" t="s">
        <v>6986</v>
      </c>
      <c r="AJ2899" s="5" t="s">
        <v>7001</v>
      </c>
    </row>
    <row r="2900" spans="1:36" ht="10" customHeight="1" x14ac:dyDescent="0.2">
      <c r="A2900" s="5" t="s">
        <v>6836</v>
      </c>
      <c r="B2900" s="5" t="s">
        <v>45</v>
      </c>
      <c r="D2900" s="5" t="s">
        <v>7002</v>
      </c>
      <c r="E2900" s="10" t="s">
        <v>57</v>
      </c>
      <c r="F2900" s="5" t="s">
        <v>6990</v>
      </c>
      <c r="I2900" s="11">
        <v>4</v>
      </c>
      <c r="K2900" s="10" t="s">
        <v>50</v>
      </c>
      <c r="L2900" s="5" t="s">
        <v>51</v>
      </c>
      <c r="M2900" s="5" t="s">
        <v>69</v>
      </c>
      <c r="N2900" s="5" t="s">
        <v>70</v>
      </c>
      <c r="O2900" s="12"/>
      <c r="S2900" s="13">
        <v>5</v>
      </c>
      <c r="U2900" s="13">
        <v>5</v>
      </c>
      <c r="AC2900" s="16" t="str">
        <f t="shared" si="135"/>
        <v/>
      </c>
      <c r="AD2900" s="17">
        <f t="shared" si="136"/>
        <v>5</v>
      </c>
      <c r="AE2900" s="17">
        <f t="shared" si="137"/>
        <v>0</v>
      </c>
      <c r="AF2900" s="10" t="s">
        <v>7000</v>
      </c>
      <c r="AG2900" s="5" t="s">
        <v>1794</v>
      </c>
      <c r="AH2900" s="5" t="s">
        <v>6988</v>
      </c>
      <c r="AI2900" s="5" t="s">
        <v>6986</v>
      </c>
      <c r="AJ2900" s="5" t="s">
        <v>7001</v>
      </c>
    </row>
    <row r="2901" spans="1:36" ht="10" customHeight="1" x14ac:dyDescent="0.2">
      <c r="A2901" s="5" t="s">
        <v>6836</v>
      </c>
      <c r="B2901" s="5" t="s">
        <v>45</v>
      </c>
      <c r="D2901" s="5" t="s">
        <v>7003</v>
      </c>
      <c r="E2901" s="10" t="s">
        <v>57</v>
      </c>
      <c r="F2901" s="5" t="s">
        <v>6990</v>
      </c>
      <c r="I2901" s="11">
        <v>4</v>
      </c>
      <c r="K2901" s="10" t="s">
        <v>50</v>
      </c>
      <c r="L2901" s="5" t="s">
        <v>51</v>
      </c>
      <c r="M2901" s="5" t="s">
        <v>69</v>
      </c>
      <c r="N2901" s="5" t="s">
        <v>70</v>
      </c>
      <c r="O2901" s="12"/>
      <c r="Q2901" s="13">
        <v>5</v>
      </c>
      <c r="AC2901" s="16" t="str">
        <f t="shared" si="135"/>
        <v/>
      </c>
      <c r="AD2901" s="17">
        <f t="shared" si="136"/>
        <v>0</v>
      </c>
      <c r="AE2901" s="17">
        <f t="shared" si="137"/>
        <v>0</v>
      </c>
      <c r="AF2901" s="10" t="s">
        <v>7000</v>
      </c>
      <c r="AG2901" s="5" t="s">
        <v>1794</v>
      </c>
      <c r="AH2901" s="5" t="s">
        <v>6988</v>
      </c>
      <c r="AI2901" s="5" t="s">
        <v>6986</v>
      </c>
      <c r="AJ2901" s="5" t="s">
        <v>7001</v>
      </c>
    </row>
    <row r="2902" spans="1:36" ht="10" customHeight="1" x14ac:dyDescent="0.2">
      <c r="A2902" s="5" t="s">
        <v>6836</v>
      </c>
      <c r="B2902" s="5" t="s">
        <v>45</v>
      </c>
      <c r="C2902" s="5" t="s">
        <v>85</v>
      </c>
      <c r="D2902" s="5" t="s">
        <v>7004</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6" t="str">
        <f t="shared" si="135"/>
        <v>ADD</v>
      </c>
      <c r="AD2902" s="17">
        <f t="shared" si="136"/>
        <v>16294</v>
      </c>
      <c r="AE2902" s="17">
        <f t="shared" si="137"/>
        <v>36908</v>
      </c>
      <c r="AF2902" s="10" t="s">
        <v>7005</v>
      </c>
      <c r="AG2902" s="5" t="s">
        <v>1870</v>
      </c>
      <c r="AH2902" s="5" t="s">
        <v>7006</v>
      </c>
      <c r="AI2902" s="5" t="s">
        <v>7004</v>
      </c>
    </row>
    <row r="2903" spans="1:36" ht="10" customHeight="1" x14ac:dyDescent="0.2">
      <c r="A2903" s="5" t="s">
        <v>6836</v>
      </c>
      <c r="B2903" s="5" t="s">
        <v>45</v>
      </c>
      <c r="D2903" s="5" t="s">
        <v>7007</v>
      </c>
      <c r="E2903" s="10" t="s">
        <v>57</v>
      </c>
      <c r="F2903" s="5" t="s">
        <v>7008</v>
      </c>
      <c r="I2903" s="11">
        <v>4</v>
      </c>
      <c r="K2903" s="10" t="s">
        <v>50</v>
      </c>
      <c r="L2903" s="5" t="s">
        <v>51</v>
      </c>
      <c r="M2903" s="5" t="s">
        <v>69</v>
      </c>
      <c r="N2903" s="5" t="s">
        <v>70</v>
      </c>
      <c r="O2903" s="12"/>
      <c r="AC2903" s="16" t="str">
        <f t="shared" si="135"/>
        <v/>
      </c>
      <c r="AD2903" s="17">
        <f t="shared" si="136"/>
        <v>0</v>
      </c>
      <c r="AE2903" s="17">
        <f t="shared" si="137"/>
        <v>0</v>
      </c>
      <c r="AF2903" s="10" t="s">
        <v>7009</v>
      </c>
      <c r="AG2903" s="5" t="s">
        <v>1893</v>
      </c>
      <c r="AH2903" s="5" t="s">
        <v>7006</v>
      </c>
      <c r="AI2903" s="5" t="s">
        <v>7004</v>
      </c>
      <c r="AJ2903" s="5" t="s">
        <v>7010</v>
      </c>
    </row>
    <row r="2904" spans="1:36" ht="10" customHeight="1" x14ac:dyDescent="0.2">
      <c r="A2904" s="5" t="s">
        <v>6836</v>
      </c>
      <c r="B2904" s="5" t="s">
        <v>45</v>
      </c>
      <c r="D2904" s="5" t="s">
        <v>7011</v>
      </c>
      <c r="E2904" s="10" t="s">
        <v>57</v>
      </c>
      <c r="F2904" s="5" t="s">
        <v>7008</v>
      </c>
      <c r="I2904" s="11">
        <v>4</v>
      </c>
      <c r="K2904" s="10" t="s">
        <v>50</v>
      </c>
      <c r="L2904" s="5" t="s">
        <v>51</v>
      </c>
      <c r="M2904" s="5" t="s">
        <v>69</v>
      </c>
      <c r="N2904" s="5" t="s">
        <v>70</v>
      </c>
      <c r="O2904" s="12"/>
      <c r="Q2904" s="13">
        <v>148</v>
      </c>
      <c r="AC2904" s="16" t="str">
        <f t="shared" si="135"/>
        <v/>
      </c>
      <c r="AD2904" s="17">
        <f t="shared" si="136"/>
        <v>0</v>
      </c>
      <c r="AE2904" s="17">
        <f t="shared" si="137"/>
        <v>0</v>
      </c>
      <c r="AF2904" s="10" t="s">
        <v>7009</v>
      </c>
      <c r="AG2904" s="5" t="s">
        <v>1893</v>
      </c>
      <c r="AH2904" s="5" t="s">
        <v>7006</v>
      </c>
      <c r="AI2904" s="5" t="s">
        <v>7004</v>
      </c>
      <c r="AJ2904" s="5" t="s">
        <v>7010</v>
      </c>
    </row>
    <row r="2905" spans="1:36" ht="10" customHeight="1" x14ac:dyDescent="0.2">
      <c r="A2905" s="5" t="s">
        <v>6836</v>
      </c>
      <c r="B2905" s="5" t="s">
        <v>45</v>
      </c>
      <c r="D2905" s="5" t="s">
        <v>7012</v>
      </c>
      <c r="E2905" s="10" t="s">
        <v>57</v>
      </c>
      <c r="F2905" s="5" t="s">
        <v>7008</v>
      </c>
      <c r="I2905" s="11">
        <v>4</v>
      </c>
      <c r="K2905" s="10" t="s">
        <v>50</v>
      </c>
      <c r="L2905" s="5" t="s">
        <v>51</v>
      </c>
      <c r="M2905" s="5" t="s">
        <v>69</v>
      </c>
      <c r="N2905" s="5" t="s">
        <v>70</v>
      </c>
      <c r="O2905" s="12"/>
      <c r="Q2905" s="13">
        <v>1361</v>
      </c>
      <c r="AC2905" s="16" t="str">
        <f t="shared" si="135"/>
        <v/>
      </c>
      <c r="AD2905" s="17">
        <f t="shared" si="136"/>
        <v>0</v>
      </c>
      <c r="AE2905" s="17">
        <f t="shared" si="137"/>
        <v>0</v>
      </c>
      <c r="AF2905" s="10" t="s">
        <v>7013</v>
      </c>
      <c r="AG2905" s="5" t="s">
        <v>1893</v>
      </c>
      <c r="AH2905" s="5" t="s">
        <v>7006</v>
      </c>
      <c r="AI2905" s="5" t="s">
        <v>7004</v>
      </c>
      <c r="AJ2905" s="5" t="s">
        <v>7014</v>
      </c>
    </row>
    <row r="2906" spans="1:36" ht="10" customHeight="1" x14ac:dyDescent="0.2">
      <c r="A2906" s="5" t="s">
        <v>6836</v>
      </c>
      <c r="B2906" s="5" t="s">
        <v>45</v>
      </c>
      <c r="D2906" s="5" t="s">
        <v>7015</v>
      </c>
      <c r="E2906" s="10" t="s">
        <v>57</v>
      </c>
      <c r="F2906" s="5" t="s">
        <v>7008</v>
      </c>
      <c r="I2906" s="11">
        <v>4</v>
      </c>
      <c r="K2906" s="10" t="s">
        <v>50</v>
      </c>
      <c r="L2906" s="5" t="s">
        <v>51</v>
      </c>
      <c r="M2906" s="5" t="s">
        <v>69</v>
      </c>
      <c r="N2906" s="5" t="s">
        <v>70</v>
      </c>
      <c r="O2906" s="12"/>
      <c r="P2906" s="13">
        <v>5772</v>
      </c>
      <c r="Q2906" s="13">
        <v>621</v>
      </c>
      <c r="AC2906" s="16" t="str">
        <f t="shared" si="135"/>
        <v/>
      </c>
      <c r="AD2906" s="17">
        <f t="shared" si="136"/>
        <v>0</v>
      </c>
      <c r="AE2906" s="17">
        <f t="shared" si="137"/>
        <v>0</v>
      </c>
      <c r="AF2906" s="10" t="s">
        <v>7013</v>
      </c>
      <c r="AG2906" s="5" t="s">
        <v>1893</v>
      </c>
      <c r="AH2906" s="5" t="s">
        <v>7006</v>
      </c>
      <c r="AI2906" s="5" t="s">
        <v>7004</v>
      </c>
      <c r="AJ2906" s="5" t="s">
        <v>7014</v>
      </c>
    </row>
    <row r="2907" spans="1:36" ht="10" customHeight="1" x14ac:dyDescent="0.2">
      <c r="A2907" s="5" t="s">
        <v>6836</v>
      </c>
      <c r="B2907" s="5" t="s">
        <v>45</v>
      </c>
      <c r="D2907" s="5" t="s">
        <v>7016</v>
      </c>
      <c r="E2907" s="10" t="s">
        <v>57</v>
      </c>
      <c r="F2907" s="5" t="s">
        <v>7008</v>
      </c>
      <c r="I2907" s="11">
        <v>4</v>
      </c>
      <c r="K2907" s="10" t="s">
        <v>50</v>
      </c>
      <c r="L2907" s="5" t="s">
        <v>51</v>
      </c>
      <c r="M2907" s="5" t="s">
        <v>69</v>
      </c>
      <c r="N2907" s="5" t="s">
        <v>70</v>
      </c>
      <c r="O2907" s="12"/>
      <c r="S2907" s="13">
        <v>260</v>
      </c>
      <c r="U2907" s="13">
        <v>260</v>
      </c>
      <c r="AC2907" s="16" t="str">
        <f t="shared" si="135"/>
        <v/>
      </c>
      <c r="AD2907" s="17">
        <f t="shared" si="136"/>
        <v>260</v>
      </c>
      <c r="AE2907" s="17">
        <f t="shared" si="137"/>
        <v>0</v>
      </c>
      <c r="AF2907" s="10" t="s">
        <v>7017</v>
      </c>
      <c r="AG2907" s="5" t="s">
        <v>1893</v>
      </c>
      <c r="AH2907" s="5" t="s">
        <v>7006</v>
      </c>
      <c r="AI2907" s="5" t="s">
        <v>7004</v>
      </c>
      <c r="AJ2907" s="5" t="s">
        <v>7018</v>
      </c>
    </row>
    <row r="2908" spans="1:36" ht="10" customHeight="1" x14ac:dyDescent="0.2">
      <c r="A2908" s="5" t="s">
        <v>6836</v>
      </c>
      <c r="B2908" s="5" t="s">
        <v>45</v>
      </c>
      <c r="D2908" s="5" t="s">
        <v>6995</v>
      </c>
      <c r="E2908" s="10" t="s">
        <v>57</v>
      </c>
      <c r="F2908" s="5" t="s">
        <v>7008</v>
      </c>
      <c r="I2908" s="11">
        <v>4</v>
      </c>
      <c r="K2908" s="10" t="s">
        <v>50</v>
      </c>
      <c r="L2908" s="5" t="s">
        <v>51</v>
      </c>
      <c r="M2908" s="5" t="s">
        <v>69</v>
      </c>
      <c r="N2908" s="5" t="s">
        <v>70</v>
      </c>
      <c r="O2908" s="12"/>
      <c r="P2908" s="13">
        <v>432</v>
      </c>
      <c r="Q2908" s="13">
        <v>1199</v>
      </c>
      <c r="S2908" s="13">
        <v>1223</v>
      </c>
      <c r="U2908" s="13">
        <v>1223</v>
      </c>
      <c r="AC2908" s="16" t="str">
        <f t="shared" si="135"/>
        <v/>
      </c>
      <c r="AD2908" s="17">
        <f t="shared" si="136"/>
        <v>1223</v>
      </c>
      <c r="AE2908" s="17">
        <f t="shared" si="137"/>
        <v>0</v>
      </c>
      <c r="AF2908" s="10" t="s">
        <v>7019</v>
      </c>
      <c r="AG2908" s="5" t="s">
        <v>1893</v>
      </c>
      <c r="AH2908" s="5" t="s">
        <v>7006</v>
      </c>
      <c r="AI2908" s="5" t="s">
        <v>7004</v>
      </c>
      <c r="AJ2908" s="5" t="s">
        <v>7020</v>
      </c>
    </row>
    <row r="2909" spans="1:36" ht="10" customHeight="1" x14ac:dyDescent="0.2">
      <c r="A2909" s="5" t="s">
        <v>6836</v>
      </c>
      <c r="B2909" s="5" t="s">
        <v>45</v>
      </c>
      <c r="D2909" s="5" t="s">
        <v>6998</v>
      </c>
      <c r="E2909" s="10" t="s">
        <v>57</v>
      </c>
      <c r="F2909" s="5" t="s">
        <v>7008</v>
      </c>
      <c r="I2909" s="11">
        <v>4</v>
      </c>
      <c r="K2909" s="10" t="s">
        <v>50</v>
      </c>
      <c r="L2909" s="5" t="s">
        <v>51</v>
      </c>
      <c r="M2909" s="5" t="s">
        <v>69</v>
      </c>
      <c r="N2909" s="5" t="s">
        <v>70</v>
      </c>
      <c r="O2909" s="12"/>
      <c r="P2909" s="13">
        <v>810</v>
      </c>
      <c r="Q2909" s="13">
        <v>586</v>
      </c>
      <c r="S2909" s="13">
        <v>598</v>
      </c>
      <c r="U2909" s="13">
        <v>598</v>
      </c>
      <c r="AC2909" s="16" t="str">
        <f t="shared" si="135"/>
        <v/>
      </c>
      <c r="AD2909" s="17">
        <f t="shared" si="136"/>
        <v>598</v>
      </c>
      <c r="AE2909" s="17">
        <f t="shared" si="137"/>
        <v>0</v>
      </c>
      <c r="AF2909" s="10" t="s">
        <v>7019</v>
      </c>
      <c r="AG2909" s="5" t="s">
        <v>1893</v>
      </c>
      <c r="AH2909" s="5" t="s">
        <v>7006</v>
      </c>
      <c r="AI2909" s="5" t="s">
        <v>7004</v>
      </c>
      <c r="AJ2909" s="5" t="s">
        <v>7020</v>
      </c>
    </row>
    <row r="2910" spans="1:36" ht="10" customHeight="1" x14ac:dyDescent="0.2">
      <c r="A2910" s="5" t="s">
        <v>6836</v>
      </c>
      <c r="B2910" s="5" t="s">
        <v>45</v>
      </c>
      <c r="D2910" s="5" t="s">
        <v>6877</v>
      </c>
      <c r="E2910" s="10" t="s">
        <v>57</v>
      </c>
      <c r="F2910" s="5" t="s">
        <v>7008</v>
      </c>
      <c r="I2910" s="11">
        <v>4</v>
      </c>
      <c r="K2910" s="10" t="s">
        <v>50</v>
      </c>
      <c r="L2910" s="5" t="s">
        <v>51</v>
      </c>
      <c r="M2910" s="5" t="s">
        <v>69</v>
      </c>
      <c r="N2910" s="5" t="s">
        <v>70</v>
      </c>
      <c r="O2910" s="12"/>
      <c r="P2910" s="13">
        <v>10458</v>
      </c>
      <c r="Q2910" s="13">
        <v>10712</v>
      </c>
      <c r="S2910" s="13">
        <v>13872</v>
      </c>
      <c r="U2910" s="13">
        <v>13872</v>
      </c>
      <c r="AC2910" s="16" t="str">
        <f t="shared" si="135"/>
        <v/>
      </c>
      <c r="AD2910" s="17">
        <f t="shared" si="136"/>
        <v>13872</v>
      </c>
      <c r="AE2910" s="17">
        <f t="shared" si="137"/>
        <v>0</v>
      </c>
      <c r="AF2910" s="10" t="s">
        <v>7019</v>
      </c>
      <c r="AG2910" s="5" t="s">
        <v>1893</v>
      </c>
      <c r="AH2910" s="5" t="s">
        <v>7006</v>
      </c>
      <c r="AI2910" s="5" t="s">
        <v>7004</v>
      </c>
      <c r="AJ2910" s="5" t="s">
        <v>7020</v>
      </c>
    </row>
    <row r="2911" spans="1:36" ht="10" customHeight="1" x14ac:dyDescent="0.2">
      <c r="A2911" s="5" t="s">
        <v>6836</v>
      </c>
      <c r="B2911" s="5" t="s">
        <v>45</v>
      </c>
      <c r="D2911" s="5" t="s">
        <v>7021</v>
      </c>
      <c r="E2911" s="10" t="s">
        <v>57</v>
      </c>
      <c r="F2911" s="5" t="s">
        <v>7008</v>
      </c>
      <c r="I2911" s="11">
        <v>4</v>
      </c>
      <c r="K2911" s="10" t="s">
        <v>50</v>
      </c>
      <c r="L2911" s="5" t="s">
        <v>51</v>
      </c>
      <c r="M2911" s="5" t="s">
        <v>69</v>
      </c>
      <c r="N2911" s="5" t="s">
        <v>70</v>
      </c>
      <c r="O2911" s="12"/>
      <c r="S2911" s="13">
        <v>341</v>
      </c>
      <c r="U2911" s="13">
        <v>341</v>
      </c>
      <c r="AC2911" s="16" t="str">
        <f t="shared" si="135"/>
        <v/>
      </c>
      <c r="AD2911" s="17">
        <f t="shared" si="136"/>
        <v>341</v>
      </c>
      <c r="AE2911" s="17">
        <f t="shared" si="137"/>
        <v>0</v>
      </c>
      <c r="AF2911" s="10" t="s">
        <v>7022</v>
      </c>
      <c r="AG2911" s="5" t="s">
        <v>1893</v>
      </c>
      <c r="AH2911" s="5" t="s">
        <v>7006</v>
      </c>
      <c r="AI2911" s="5" t="s">
        <v>7004</v>
      </c>
      <c r="AJ2911" s="5" t="s">
        <v>7023</v>
      </c>
    </row>
    <row r="2912" spans="1:36" ht="10" customHeight="1" x14ac:dyDescent="0.2">
      <c r="A2912" s="5" t="s">
        <v>6836</v>
      </c>
      <c r="B2912" s="5" t="s">
        <v>45</v>
      </c>
      <c r="D2912" s="5" t="s">
        <v>7024</v>
      </c>
      <c r="E2912" s="10" t="s">
        <v>57</v>
      </c>
      <c r="F2912" s="5" t="s">
        <v>7008</v>
      </c>
      <c r="I2912" s="11">
        <v>4</v>
      </c>
      <c r="K2912" s="10" t="s">
        <v>50</v>
      </c>
      <c r="L2912" s="5" t="s">
        <v>51</v>
      </c>
      <c r="M2912" s="5" t="s">
        <v>69</v>
      </c>
      <c r="N2912" s="5" t="s">
        <v>70</v>
      </c>
      <c r="O2912" s="12"/>
      <c r="Q2912" s="13">
        <v>75</v>
      </c>
      <c r="AC2912" s="16" t="str">
        <f t="shared" si="135"/>
        <v/>
      </c>
      <c r="AD2912" s="17">
        <f t="shared" si="136"/>
        <v>0</v>
      </c>
      <c r="AE2912" s="17">
        <f t="shared" si="137"/>
        <v>0</v>
      </c>
      <c r="AF2912" s="10" t="s">
        <v>7022</v>
      </c>
      <c r="AG2912" s="5" t="s">
        <v>1893</v>
      </c>
      <c r="AH2912" s="5" t="s">
        <v>7006</v>
      </c>
      <c r="AI2912" s="5" t="s">
        <v>7004</v>
      </c>
      <c r="AJ2912" s="5" t="s">
        <v>7023</v>
      </c>
    </row>
    <row r="2913" spans="1:36" ht="10" customHeight="1" x14ac:dyDescent="0.2">
      <c r="A2913" s="5" t="s">
        <v>6836</v>
      </c>
      <c r="B2913" s="5" t="s">
        <v>45</v>
      </c>
      <c r="C2913" s="5" t="s">
        <v>6154</v>
      </c>
      <c r="D2913" s="5" t="s">
        <v>7025</v>
      </c>
      <c r="E2913" s="10" t="s">
        <v>48</v>
      </c>
      <c r="I2913" s="11" t="s">
        <v>7026</v>
      </c>
      <c r="K2913" s="12"/>
      <c r="O2913" s="12"/>
      <c r="P2913" s="13">
        <v>19690</v>
      </c>
      <c r="Q2913" s="13">
        <v>17982</v>
      </c>
      <c r="S2913" s="13">
        <v>13806</v>
      </c>
      <c r="U2913" s="13">
        <v>13806</v>
      </c>
      <c r="X2913" s="13">
        <v>13806</v>
      </c>
      <c r="Y2913" s="13">
        <v>13806</v>
      </c>
      <c r="Z2913" s="13">
        <v>7477</v>
      </c>
      <c r="AB2913" s="13">
        <v>7477</v>
      </c>
      <c r="AC2913" s="16" t="str">
        <f t="shared" si="135"/>
        <v>ADD</v>
      </c>
      <c r="AD2913" s="17">
        <f t="shared" si="136"/>
        <v>13806</v>
      </c>
      <c r="AE2913" s="17">
        <f t="shared" si="137"/>
        <v>7477</v>
      </c>
      <c r="AF2913" s="10" t="s">
        <v>7027</v>
      </c>
      <c r="AG2913" s="5" t="s">
        <v>1960</v>
      </c>
      <c r="AH2913" s="5" t="s">
        <v>7028</v>
      </c>
    </row>
    <row r="2914" spans="1:36" ht="10" customHeight="1" x14ac:dyDescent="0.2">
      <c r="A2914" s="5" t="s">
        <v>6836</v>
      </c>
      <c r="B2914" s="5" t="s">
        <v>45</v>
      </c>
      <c r="D2914" s="5" t="s">
        <v>7029</v>
      </c>
      <c r="E2914" s="10" t="s">
        <v>57</v>
      </c>
      <c r="F2914" s="5" t="s">
        <v>7030</v>
      </c>
      <c r="I2914" s="11">
        <v>4</v>
      </c>
      <c r="K2914" s="12"/>
      <c r="O2914" s="12"/>
      <c r="P2914" s="13">
        <v>5287</v>
      </c>
      <c r="Q2914" s="13">
        <v>4314</v>
      </c>
      <c r="S2914" s="13">
        <v>3301</v>
      </c>
      <c r="U2914" s="13">
        <v>3301</v>
      </c>
      <c r="AC2914" s="16" t="str">
        <f t="shared" si="135"/>
        <v/>
      </c>
      <c r="AD2914" s="17">
        <f t="shared" si="136"/>
        <v>3301</v>
      </c>
      <c r="AE2914" s="17">
        <f t="shared" si="137"/>
        <v>0</v>
      </c>
      <c r="AF2914" s="10" t="s">
        <v>7031</v>
      </c>
      <c r="AG2914" s="5" t="s">
        <v>90</v>
      </c>
      <c r="AH2914" s="5" t="s">
        <v>7028</v>
      </c>
      <c r="AI2914" s="5" t="s">
        <v>7032</v>
      </c>
      <c r="AJ2914" s="5" t="s">
        <v>7033</v>
      </c>
    </row>
    <row r="2915" spans="1:36" ht="10" customHeight="1" x14ac:dyDescent="0.2">
      <c r="A2915" s="5" t="s">
        <v>6836</v>
      </c>
      <c r="B2915" s="5" t="s">
        <v>45</v>
      </c>
      <c r="D2915" s="5" t="s">
        <v>7034</v>
      </c>
      <c r="E2915" s="10" t="s">
        <v>57</v>
      </c>
      <c r="F2915" s="5" t="s">
        <v>7030</v>
      </c>
      <c r="I2915" s="11">
        <v>6</v>
      </c>
      <c r="K2915" s="12"/>
      <c r="O2915" s="12"/>
      <c r="P2915" s="13">
        <v>2943</v>
      </c>
      <c r="Q2915" s="13">
        <v>3118</v>
      </c>
      <c r="S2915" s="13">
        <v>2815</v>
      </c>
      <c r="U2915" s="13">
        <v>2815</v>
      </c>
      <c r="AC2915" s="16" t="str">
        <f t="shared" si="135"/>
        <v/>
      </c>
      <c r="AD2915" s="17">
        <f t="shared" si="136"/>
        <v>2815</v>
      </c>
      <c r="AE2915" s="17">
        <f t="shared" si="137"/>
        <v>0</v>
      </c>
      <c r="AF2915" s="10" t="s">
        <v>7035</v>
      </c>
      <c r="AG2915" s="5" t="s">
        <v>90</v>
      </c>
      <c r="AH2915" s="5" t="s">
        <v>7028</v>
      </c>
      <c r="AI2915" s="5" t="s">
        <v>7036</v>
      </c>
      <c r="AJ2915" s="5" t="s">
        <v>7037</v>
      </c>
    </row>
    <row r="2916" spans="1:36" ht="10" customHeight="1" x14ac:dyDescent="0.2">
      <c r="A2916" s="5" t="s">
        <v>6836</v>
      </c>
      <c r="B2916" s="5" t="s">
        <v>45</v>
      </c>
      <c r="D2916" s="5" t="s">
        <v>7038</v>
      </c>
      <c r="E2916" s="10" t="s">
        <v>57</v>
      </c>
      <c r="F2916" s="5" t="s">
        <v>7030</v>
      </c>
      <c r="I2916" s="11">
        <v>6</v>
      </c>
      <c r="K2916" s="12"/>
      <c r="O2916" s="12"/>
      <c r="P2916" s="13">
        <v>1586</v>
      </c>
      <c r="Q2916" s="13">
        <v>1415</v>
      </c>
      <c r="S2916" s="13">
        <v>1475</v>
      </c>
      <c r="U2916" s="13">
        <v>1475</v>
      </c>
      <c r="AC2916" s="16" t="str">
        <f t="shared" si="135"/>
        <v/>
      </c>
      <c r="AD2916" s="17">
        <f t="shared" si="136"/>
        <v>1475</v>
      </c>
      <c r="AE2916" s="17">
        <f t="shared" si="137"/>
        <v>0</v>
      </c>
      <c r="AF2916" s="10" t="s">
        <v>7035</v>
      </c>
      <c r="AG2916" s="5" t="s">
        <v>90</v>
      </c>
      <c r="AH2916" s="5" t="s">
        <v>7028</v>
      </c>
      <c r="AI2916" s="5" t="s">
        <v>7036</v>
      </c>
      <c r="AJ2916" s="5" t="s">
        <v>7037</v>
      </c>
    </row>
    <row r="2917" spans="1:36" ht="10" customHeight="1" x14ac:dyDescent="0.2">
      <c r="A2917" s="5" t="s">
        <v>6836</v>
      </c>
      <c r="B2917" s="5" t="s">
        <v>45</v>
      </c>
      <c r="D2917" s="5" t="s">
        <v>7039</v>
      </c>
      <c r="E2917" s="10" t="s">
        <v>57</v>
      </c>
      <c r="F2917" s="5" t="s">
        <v>7030</v>
      </c>
      <c r="I2917" s="11">
        <v>6</v>
      </c>
      <c r="K2917" s="10" t="s">
        <v>50</v>
      </c>
      <c r="L2917" s="5" t="s">
        <v>4675</v>
      </c>
      <c r="M2917" s="5" t="s">
        <v>4676</v>
      </c>
      <c r="O2917" s="12"/>
      <c r="P2917" s="13">
        <v>3616</v>
      </c>
      <c r="Q2917" s="13">
        <v>3688</v>
      </c>
      <c r="S2917" s="13">
        <v>3010</v>
      </c>
      <c r="U2917" s="13">
        <v>3010</v>
      </c>
      <c r="AC2917" s="16" t="str">
        <f t="shared" si="135"/>
        <v/>
      </c>
      <c r="AD2917" s="17">
        <f t="shared" si="136"/>
        <v>3010</v>
      </c>
      <c r="AE2917" s="17">
        <f t="shared" si="137"/>
        <v>0</v>
      </c>
      <c r="AF2917" s="10" t="s">
        <v>7040</v>
      </c>
      <c r="AG2917" s="5" t="s">
        <v>90</v>
      </c>
      <c r="AH2917" s="5" t="s">
        <v>7028</v>
      </c>
      <c r="AI2917" s="5" t="s">
        <v>7041</v>
      </c>
      <c r="AJ2917" s="5" t="s">
        <v>7042</v>
      </c>
    </row>
    <row r="2918" spans="1:36" ht="10" customHeight="1" x14ac:dyDescent="0.2">
      <c r="A2918" s="5" t="s">
        <v>6836</v>
      </c>
      <c r="B2918" s="5" t="s">
        <v>45</v>
      </c>
      <c r="D2918" s="5" t="s">
        <v>7043</v>
      </c>
      <c r="E2918" s="10" t="s">
        <v>57</v>
      </c>
      <c r="F2918" s="5" t="s">
        <v>7030</v>
      </c>
      <c r="I2918" s="11">
        <v>6</v>
      </c>
      <c r="K2918" s="10" t="s">
        <v>50</v>
      </c>
      <c r="L2918" s="5" t="s">
        <v>4675</v>
      </c>
      <c r="M2918" s="5" t="s">
        <v>4676</v>
      </c>
      <c r="O2918" s="12"/>
      <c r="P2918" s="13">
        <v>831</v>
      </c>
      <c r="Q2918" s="13">
        <v>802</v>
      </c>
      <c r="S2918" s="13">
        <v>741</v>
      </c>
      <c r="U2918" s="13">
        <v>741</v>
      </c>
      <c r="AC2918" s="16" t="str">
        <f t="shared" si="135"/>
        <v/>
      </c>
      <c r="AD2918" s="17">
        <f t="shared" si="136"/>
        <v>741</v>
      </c>
      <c r="AE2918" s="17">
        <f t="shared" si="137"/>
        <v>0</v>
      </c>
      <c r="AF2918" s="10" t="s">
        <v>7040</v>
      </c>
      <c r="AG2918" s="5" t="s">
        <v>90</v>
      </c>
      <c r="AH2918" s="5" t="s">
        <v>7028</v>
      </c>
      <c r="AI2918" s="5" t="s">
        <v>7041</v>
      </c>
      <c r="AJ2918" s="5" t="s">
        <v>7042</v>
      </c>
    </row>
    <row r="2919" spans="1:36" ht="10" customHeight="1" x14ac:dyDescent="0.2">
      <c r="A2919" s="5" t="s">
        <v>6836</v>
      </c>
      <c r="B2919" s="5" t="s">
        <v>45</v>
      </c>
      <c r="D2919" s="5" t="s">
        <v>7044</v>
      </c>
      <c r="E2919" s="10" t="s">
        <v>57</v>
      </c>
      <c r="F2919" s="5" t="s">
        <v>7030</v>
      </c>
      <c r="I2919" s="11">
        <v>6</v>
      </c>
      <c r="K2919" s="12"/>
      <c r="O2919" s="12"/>
      <c r="Q2919" s="13">
        <v>965</v>
      </c>
      <c r="S2919" s="13">
        <v>310</v>
      </c>
      <c r="U2919" s="13">
        <v>310</v>
      </c>
      <c r="AC2919" s="16" t="str">
        <f t="shared" si="135"/>
        <v/>
      </c>
      <c r="AD2919" s="17">
        <f t="shared" si="136"/>
        <v>310</v>
      </c>
      <c r="AE2919" s="17">
        <f t="shared" si="137"/>
        <v>0</v>
      </c>
      <c r="AF2919" s="10" t="s">
        <v>7045</v>
      </c>
      <c r="AG2919" s="5" t="s">
        <v>4649</v>
      </c>
      <c r="AH2919" s="5" t="s">
        <v>7028</v>
      </c>
      <c r="AI2919" s="5" t="s">
        <v>7046</v>
      </c>
      <c r="AJ2919" s="5" t="s">
        <v>7047</v>
      </c>
    </row>
    <row r="2920" spans="1:36" ht="10" customHeight="1" x14ac:dyDescent="0.2">
      <c r="A2920" s="5" t="s">
        <v>6836</v>
      </c>
      <c r="B2920" s="5" t="s">
        <v>45</v>
      </c>
      <c r="D2920" s="5" t="s">
        <v>7048</v>
      </c>
      <c r="E2920" s="10" t="s">
        <v>57</v>
      </c>
      <c r="F2920" s="5" t="s">
        <v>7030</v>
      </c>
      <c r="I2920" s="11">
        <v>4</v>
      </c>
      <c r="K2920" s="12"/>
      <c r="O2920" s="12"/>
      <c r="P2920" s="13">
        <v>1043</v>
      </c>
      <c r="Q2920" s="13">
        <v>702</v>
      </c>
      <c r="S2920" s="13">
        <v>716</v>
      </c>
      <c r="U2920" s="13">
        <v>716</v>
      </c>
      <c r="AC2920" s="16" t="str">
        <f t="shared" si="135"/>
        <v/>
      </c>
      <c r="AD2920" s="17">
        <f t="shared" si="136"/>
        <v>716</v>
      </c>
      <c r="AE2920" s="17">
        <f t="shared" si="137"/>
        <v>0</v>
      </c>
      <c r="AF2920" s="10" t="s">
        <v>7049</v>
      </c>
      <c r="AG2920" s="5" t="s">
        <v>4649</v>
      </c>
      <c r="AH2920" s="5" t="s">
        <v>7028</v>
      </c>
      <c r="AI2920" s="5" t="s">
        <v>7050</v>
      </c>
      <c r="AJ2920" s="5" t="s">
        <v>7051</v>
      </c>
    </row>
    <row r="2921" spans="1:36" ht="10" customHeight="1" x14ac:dyDescent="0.2">
      <c r="A2921" s="5" t="s">
        <v>6836</v>
      </c>
      <c r="B2921" s="5" t="s">
        <v>45</v>
      </c>
      <c r="D2921" s="5" t="s">
        <v>7052</v>
      </c>
      <c r="E2921" s="10" t="s">
        <v>57</v>
      </c>
      <c r="F2921" s="5" t="s">
        <v>7030</v>
      </c>
      <c r="I2921" s="11">
        <v>4</v>
      </c>
      <c r="K2921" s="12"/>
      <c r="O2921" s="12"/>
      <c r="P2921" s="13">
        <v>329</v>
      </c>
      <c r="Q2921" s="13">
        <v>259</v>
      </c>
      <c r="S2921" s="13">
        <v>217</v>
      </c>
      <c r="U2921" s="13">
        <v>217</v>
      </c>
      <c r="AC2921" s="16" t="str">
        <f t="shared" si="135"/>
        <v/>
      </c>
      <c r="AD2921" s="17">
        <f t="shared" si="136"/>
        <v>217</v>
      </c>
      <c r="AE2921" s="17">
        <f t="shared" si="137"/>
        <v>0</v>
      </c>
      <c r="AF2921" s="10" t="s">
        <v>7053</v>
      </c>
      <c r="AG2921" s="5" t="s">
        <v>4720</v>
      </c>
      <c r="AH2921" s="5" t="s">
        <v>7028</v>
      </c>
      <c r="AI2921" s="5" t="s">
        <v>7054</v>
      </c>
      <c r="AJ2921" s="5" t="s">
        <v>7055</v>
      </c>
    </row>
    <row r="2922" spans="1:36" ht="10" customHeight="1" x14ac:dyDescent="0.2">
      <c r="A2922" s="5" t="s">
        <v>6836</v>
      </c>
      <c r="B2922" s="5" t="s">
        <v>45</v>
      </c>
      <c r="D2922" s="5" t="s">
        <v>7056</v>
      </c>
      <c r="E2922" s="10" t="s">
        <v>57</v>
      </c>
      <c r="F2922" s="5" t="s">
        <v>7030</v>
      </c>
      <c r="I2922" s="11">
        <v>6</v>
      </c>
      <c r="K2922" s="10" t="s">
        <v>50</v>
      </c>
      <c r="L2922" s="5" t="s">
        <v>4675</v>
      </c>
      <c r="M2922" s="5" t="s">
        <v>4676</v>
      </c>
      <c r="O2922" s="12"/>
      <c r="P2922" s="13">
        <v>263</v>
      </c>
      <c r="Q2922" s="13">
        <v>256</v>
      </c>
      <c r="S2922" s="13">
        <v>167</v>
      </c>
      <c r="U2922" s="13">
        <v>167</v>
      </c>
      <c r="AC2922" s="16" t="str">
        <f t="shared" si="135"/>
        <v/>
      </c>
      <c r="AD2922" s="17">
        <f t="shared" si="136"/>
        <v>167</v>
      </c>
      <c r="AE2922" s="17">
        <f t="shared" si="137"/>
        <v>0</v>
      </c>
      <c r="AF2922" s="10" t="s">
        <v>7053</v>
      </c>
      <c r="AG2922" s="5" t="s">
        <v>4720</v>
      </c>
      <c r="AH2922" s="5" t="s">
        <v>7028</v>
      </c>
      <c r="AI2922" s="5" t="s">
        <v>7054</v>
      </c>
      <c r="AJ2922" s="5" t="s">
        <v>7055</v>
      </c>
    </row>
    <row r="2923" spans="1:36" ht="10" customHeight="1" x14ac:dyDescent="0.2">
      <c r="A2923" s="5" t="s">
        <v>6836</v>
      </c>
      <c r="B2923" s="5" t="s">
        <v>45</v>
      </c>
      <c r="D2923" s="5" t="s">
        <v>7057</v>
      </c>
      <c r="E2923" s="10" t="s">
        <v>57</v>
      </c>
      <c r="F2923" s="5" t="s">
        <v>7030</v>
      </c>
      <c r="I2923" s="11">
        <v>4</v>
      </c>
      <c r="K2923" s="12"/>
      <c r="O2923" s="12"/>
      <c r="P2923" s="13">
        <v>2305</v>
      </c>
      <c r="Q2923" s="13">
        <v>2148</v>
      </c>
      <c r="S2923" s="13">
        <v>725</v>
      </c>
      <c r="U2923" s="13">
        <v>725</v>
      </c>
      <c r="AC2923" s="16" t="str">
        <f t="shared" si="135"/>
        <v/>
      </c>
      <c r="AD2923" s="17">
        <f t="shared" si="136"/>
        <v>725</v>
      </c>
      <c r="AE2923" s="17">
        <f t="shared" si="137"/>
        <v>0</v>
      </c>
      <c r="AF2923" s="10" t="s">
        <v>7058</v>
      </c>
      <c r="AG2923" s="5" t="s">
        <v>4720</v>
      </c>
      <c r="AH2923" s="5" t="s">
        <v>7028</v>
      </c>
      <c r="AI2923" s="5" t="s">
        <v>7059</v>
      </c>
      <c r="AJ2923" s="5" t="s">
        <v>7060</v>
      </c>
    </row>
    <row r="2924" spans="1:36" ht="10" customHeight="1" x14ac:dyDescent="0.2">
      <c r="A2924" s="5" t="s">
        <v>6836</v>
      </c>
      <c r="B2924" s="5" t="s">
        <v>45</v>
      </c>
      <c r="D2924" s="5" t="s">
        <v>7061</v>
      </c>
      <c r="E2924" s="10" t="s">
        <v>57</v>
      </c>
      <c r="F2924" s="5" t="s">
        <v>7030</v>
      </c>
      <c r="I2924" s="11">
        <v>4</v>
      </c>
      <c r="K2924" s="12"/>
      <c r="O2924" s="12"/>
      <c r="P2924" s="13">
        <v>213</v>
      </c>
      <c r="Q2924" s="13">
        <v>154</v>
      </c>
      <c r="S2924" s="13">
        <v>165</v>
      </c>
      <c r="U2924" s="13">
        <v>165</v>
      </c>
      <c r="AC2924" s="16" t="str">
        <f t="shared" si="135"/>
        <v/>
      </c>
      <c r="AD2924" s="17">
        <f t="shared" si="136"/>
        <v>165</v>
      </c>
      <c r="AE2924" s="17">
        <f t="shared" si="137"/>
        <v>0</v>
      </c>
      <c r="AF2924" s="10" t="s">
        <v>7058</v>
      </c>
      <c r="AG2924" s="5" t="s">
        <v>4720</v>
      </c>
      <c r="AH2924" s="5" t="s">
        <v>7028</v>
      </c>
      <c r="AI2924" s="5" t="s">
        <v>7059</v>
      </c>
      <c r="AJ2924" s="5" t="s">
        <v>7060</v>
      </c>
    </row>
    <row r="2925" spans="1:36" ht="10" customHeight="1" x14ac:dyDescent="0.2">
      <c r="A2925" s="5" t="s">
        <v>6836</v>
      </c>
      <c r="B2925" s="5" t="s">
        <v>45</v>
      </c>
      <c r="D2925" s="5" t="s">
        <v>7062</v>
      </c>
      <c r="E2925" s="10" t="s">
        <v>57</v>
      </c>
      <c r="F2925" s="5" t="s">
        <v>7030</v>
      </c>
      <c r="I2925" s="11">
        <v>4</v>
      </c>
      <c r="K2925" s="12"/>
      <c r="O2925" s="12"/>
      <c r="P2925" s="13">
        <v>234</v>
      </c>
      <c r="Q2925" s="13">
        <v>161</v>
      </c>
      <c r="S2925" s="13">
        <v>164</v>
      </c>
      <c r="U2925" s="13">
        <v>164</v>
      </c>
      <c r="AC2925" s="16" t="str">
        <f t="shared" si="135"/>
        <v/>
      </c>
      <c r="AD2925" s="17">
        <f t="shared" si="136"/>
        <v>164</v>
      </c>
      <c r="AE2925" s="17">
        <f t="shared" si="137"/>
        <v>0</v>
      </c>
      <c r="AF2925" s="10" t="s">
        <v>7063</v>
      </c>
      <c r="AG2925" s="5" t="s">
        <v>4720</v>
      </c>
      <c r="AH2925" s="5" t="s">
        <v>7028</v>
      </c>
    </row>
    <row r="2926" spans="1:36" ht="10" customHeight="1" x14ac:dyDescent="0.2">
      <c r="A2926" s="5" t="s">
        <v>6836</v>
      </c>
      <c r="B2926" s="5" t="s">
        <v>45</v>
      </c>
      <c r="C2926" s="5" t="s">
        <v>1455</v>
      </c>
      <c r="D2926" s="5" t="s">
        <v>7064</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6" t="str">
        <f t="shared" si="135"/>
        <v>ADD</v>
      </c>
      <c r="AD2926" s="17">
        <f t="shared" si="136"/>
        <v>9643</v>
      </c>
      <c r="AE2926" s="17">
        <f t="shared" si="137"/>
        <v>9507</v>
      </c>
      <c r="AF2926" s="10" t="s">
        <v>7065</v>
      </c>
      <c r="AG2926" s="5" t="s">
        <v>4884</v>
      </c>
      <c r="AH2926" s="5" t="s">
        <v>7066</v>
      </c>
    </row>
    <row r="2927" spans="1:36" ht="10" customHeight="1" x14ac:dyDescent="0.2">
      <c r="A2927" s="5" t="s">
        <v>6836</v>
      </c>
      <c r="B2927" s="5" t="s">
        <v>45</v>
      </c>
      <c r="D2927" s="5" t="s">
        <v>7067</v>
      </c>
      <c r="E2927" s="10" t="s">
        <v>57</v>
      </c>
      <c r="F2927" s="5" t="s">
        <v>7068</v>
      </c>
      <c r="I2927" s="11">
        <v>4</v>
      </c>
      <c r="K2927" s="12"/>
      <c r="O2927" s="12"/>
      <c r="P2927" s="13">
        <v>7643</v>
      </c>
      <c r="Q2927" s="13">
        <v>9903</v>
      </c>
      <c r="S2927" s="13">
        <v>6882</v>
      </c>
      <c r="U2927" s="13">
        <v>6882</v>
      </c>
      <c r="AC2927" s="16" t="str">
        <f t="shared" si="135"/>
        <v/>
      </c>
      <c r="AD2927" s="17">
        <f t="shared" si="136"/>
        <v>6882</v>
      </c>
      <c r="AE2927" s="17">
        <f t="shared" si="137"/>
        <v>0</v>
      </c>
      <c r="AF2927" s="10" t="s">
        <v>7069</v>
      </c>
      <c r="AG2927" s="5" t="s">
        <v>2019</v>
      </c>
      <c r="AH2927" s="5" t="s">
        <v>7066</v>
      </c>
      <c r="AI2927" s="5" t="s">
        <v>7070</v>
      </c>
    </row>
    <row r="2928" spans="1:36" ht="10" customHeight="1" x14ac:dyDescent="0.2">
      <c r="A2928" s="5" t="s">
        <v>6836</v>
      </c>
      <c r="B2928" s="5" t="s">
        <v>45</v>
      </c>
      <c r="D2928" s="5" t="s">
        <v>7071</v>
      </c>
      <c r="E2928" s="10" t="s">
        <v>57</v>
      </c>
      <c r="F2928" s="5" t="s">
        <v>7068</v>
      </c>
      <c r="I2928" s="11">
        <v>4</v>
      </c>
      <c r="K2928" s="12"/>
      <c r="O2928" s="12"/>
      <c r="P2928" s="13">
        <v>801</v>
      </c>
      <c r="Q2928" s="13">
        <v>740</v>
      </c>
      <c r="S2928" s="13">
        <v>589</v>
      </c>
      <c r="U2928" s="13">
        <v>589</v>
      </c>
      <c r="AC2928" s="16" t="str">
        <f t="shared" si="135"/>
        <v/>
      </c>
      <c r="AD2928" s="17">
        <f t="shared" si="136"/>
        <v>589</v>
      </c>
      <c r="AE2928" s="17">
        <f t="shared" si="137"/>
        <v>0</v>
      </c>
      <c r="AF2928" s="10" t="s">
        <v>7069</v>
      </c>
      <c r="AG2928" s="5" t="s">
        <v>2019</v>
      </c>
      <c r="AH2928" s="5" t="s">
        <v>7066</v>
      </c>
      <c r="AI2928" s="5" t="s">
        <v>7071</v>
      </c>
    </row>
    <row r="2929" spans="1:36" ht="10" customHeight="1" x14ac:dyDescent="0.2">
      <c r="A2929" s="5" t="s">
        <v>6836</v>
      </c>
      <c r="B2929" s="5" t="s">
        <v>45</v>
      </c>
      <c r="D2929" s="5" t="s">
        <v>7072</v>
      </c>
      <c r="E2929" s="10" t="s">
        <v>57</v>
      </c>
      <c r="F2929" s="5" t="s">
        <v>7068</v>
      </c>
      <c r="I2929" s="11">
        <v>4</v>
      </c>
      <c r="K2929" s="12"/>
      <c r="O2929" s="12"/>
      <c r="S2929" s="13">
        <v>1808</v>
      </c>
      <c r="U2929" s="13">
        <v>1808</v>
      </c>
      <c r="AC2929" s="16" t="str">
        <f t="shared" si="135"/>
        <v/>
      </c>
      <c r="AD2929" s="17">
        <f t="shared" si="136"/>
        <v>1808</v>
      </c>
      <c r="AE2929" s="17">
        <f t="shared" si="137"/>
        <v>0</v>
      </c>
      <c r="AF2929" s="10" t="s">
        <v>7069</v>
      </c>
      <c r="AG2929" s="5" t="s">
        <v>2019</v>
      </c>
      <c r="AH2929" s="5" t="s">
        <v>7066</v>
      </c>
      <c r="AI2929" s="5" t="s">
        <v>7072</v>
      </c>
    </row>
    <row r="2930" spans="1:36" ht="10" customHeight="1" x14ac:dyDescent="0.2">
      <c r="A2930" s="5" t="s">
        <v>6836</v>
      </c>
      <c r="B2930" s="5" t="s">
        <v>45</v>
      </c>
      <c r="D2930" s="5" t="s">
        <v>7073</v>
      </c>
      <c r="E2930" s="10" t="s">
        <v>57</v>
      </c>
      <c r="F2930" s="5" t="s">
        <v>7068</v>
      </c>
      <c r="I2930" s="11">
        <v>4</v>
      </c>
      <c r="K2930" s="12"/>
      <c r="O2930" s="12"/>
      <c r="S2930" s="13">
        <v>364</v>
      </c>
      <c r="U2930" s="13">
        <v>364</v>
      </c>
      <c r="AC2930" s="16" t="str">
        <f t="shared" si="135"/>
        <v/>
      </c>
      <c r="AD2930" s="17">
        <f t="shared" si="136"/>
        <v>364</v>
      </c>
      <c r="AE2930" s="17">
        <f t="shared" si="137"/>
        <v>0</v>
      </c>
      <c r="AF2930" s="10" t="s">
        <v>7069</v>
      </c>
      <c r="AG2930" s="5" t="s">
        <v>2019</v>
      </c>
      <c r="AH2930" s="5" t="s">
        <v>7066</v>
      </c>
      <c r="AI2930" s="5" t="s">
        <v>7073</v>
      </c>
    </row>
    <row r="2931" spans="1:36" ht="10" customHeight="1" x14ac:dyDescent="0.2">
      <c r="A2931" s="5" t="s">
        <v>6836</v>
      </c>
      <c r="B2931" s="5" t="s">
        <v>45</v>
      </c>
      <c r="C2931" s="5" t="s">
        <v>1470</v>
      </c>
      <c r="D2931" s="5" t="s">
        <v>7074</v>
      </c>
      <c r="E2931" s="10" t="s">
        <v>48</v>
      </c>
      <c r="I2931" s="11" t="s">
        <v>7026</v>
      </c>
      <c r="K2931" s="12"/>
      <c r="O2931" s="12"/>
      <c r="P2931" s="13">
        <v>82061</v>
      </c>
      <c r="Q2931" s="13">
        <v>105981</v>
      </c>
      <c r="S2931" s="13">
        <v>111334</v>
      </c>
      <c r="U2931" s="13">
        <v>111334</v>
      </c>
      <c r="X2931" s="13">
        <v>111334</v>
      </c>
      <c r="Y2931" s="13">
        <v>111334</v>
      </c>
      <c r="Z2931" s="13">
        <v>116873</v>
      </c>
      <c r="AB2931" s="13">
        <v>116873</v>
      </c>
      <c r="AC2931" s="16" t="str">
        <f t="shared" si="135"/>
        <v>ADD</v>
      </c>
      <c r="AD2931" s="17">
        <f t="shared" si="136"/>
        <v>111334</v>
      </c>
      <c r="AE2931" s="17">
        <f t="shared" si="137"/>
        <v>116873</v>
      </c>
      <c r="AF2931" s="10" t="s">
        <v>7075</v>
      </c>
      <c r="AG2931" s="5" t="s">
        <v>2093</v>
      </c>
      <c r="AH2931" s="5" t="s">
        <v>7076</v>
      </c>
      <c r="AI2931" s="5" t="s">
        <v>7077</v>
      </c>
    </row>
    <row r="2932" spans="1:36" ht="10" customHeight="1" x14ac:dyDescent="0.2">
      <c r="A2932" s="5" t="s">
        <v>6836</v>
      </c>
      <c r="B2932" s="5" t="s">
        <v>45</v>
      </c>
      <c r="D2932" s="5" t="s">
        <v>7078</v>
      </c>
      <c r="E2932" s="10" t="s">
        <v>57</v>
      </c>
      <c r="F2932" s="5" t="s">
        <v>7079</v>
      </c>
      <c r="I2932" s="11">
        <v>6</v>
      </c>
      <c r="K2932" s="12"/>
      <c r="O2932" s="12"/>
      <c r="P2932" s="13">
        <v>45916</v>
      </c>
      <c r="Q2932" s="13">
        <v>63956</v>
      </c>
      <c r="S2932" s="13">
        <v>70200</v>
      </c>
      <c r="U2932" s="13">
        <v>70200</v>
      </c>
      <c r="AC2932" s="16" t="str">
        <f t="shared" si="135"/>
        <v/>
      </c>
      <c r="AD2932" s="17">
        <f t="shared" si="136"/>
        <v>70200</v>
      </c>
      <c r="AE2932" s="17">
        <f t="shared" si="137"/>
        <v>0</v>
      </c>
      <c r="AF2932" s="10" t="s">
        <v>7080</v>
      </c>
      <c r="AG2932" s="5" t="s">
        <v>5158</v>
      </c>
      <c r="AH2932" s="5" t="s">
        <v>7076</v>
      </c>
      <c r="AI2932" s="5" t="s">
        <v>7077</v>
      </c>
    </row>
    <row r="2933" spans="1:36" ht="10" customHeight="1" x14ac:dyDescent="0.2">
      <c r="A2933" s="5" t="s">
        <v>6836</v>
      </c>
      <c r="B2933" s="5" t="s">
        <v>45</v>
      </c>
      <c r="D2933" s="5" t="s">
        <v>7081</v>
      </c>
      <c r="E2933" s="10" t="s">
        <v>57</v>
      </c>
      <c r="F2933" s="5" t="s">
        <v>7082</v>
      </c>
      <c r="I2933" s="11">
        <v>6</v>
      </c>
      <c r="K2933" s="12"/>
      <c r="O2933" s="12"/>
      <c r="Q2933" s="13">
        <v>12119</v>
      </c>
      <c r="S2933" s="13">
        <v>19105</v>
      </c>
      <c r="U2933" s="13">
        <v>19105</v>
      </c>
      <c r="AC2933" s="16" t="str">
        <f t="shared" si="135"/>
        <v/>
      </c>
      <c r="AD2933" s="17">
        <f t="shared" si="136"/>
        <v>19105</v>
      </c>
      <c r="AE2933" s="17">
        <f t="shared" si="137"/>
        <v>0</v>
      </c>
      <c r="AF2933" s="10" t="s">
        <v>7080</v>
      </c>
      <c r="AG2933" s="5" t="s">
        <v>5158</v>
      </c>
      <c r="AH2933" s="5" t="s">
        <v>7076</v>
      </c>
      <c r="AJ2933" s="5" t="s">
        <v>7083</v>
      </c>
    </row>
    <row r="2934" spans="1:36" ht="10" customHeight="1" x14ac:dyDescent="0.2">
      <c r="A2934" s="5" t="s">
        <v>6836</v>
      </c>
      <c r="B2934" s="5" t="s">
        <v>45</v>
      </c>
      <c r="D2934" s="5" t="s">
        <v>7084</v>
      </c>
      <c r="E2934" s="10" t="s">
        <v>57</v>
      </c>
      <c r="F2934" s="5" t="s">
        <v>7082</v>
      </c>
      <c r="I2934" s="11">
        <v>6</v>
      </c>
      <c r="K2934" s="12"/>
      <c r="O2934" s="12"/>
      <c r="P2934" s="13">
        <v>12928</v>
      </c>
      <c r="Q2934" s="13">
        <v>8501</v>
      </c>
      <c r="S2934" s="13">
        <v>13556</v>
      </c>
      <c r="U2934" s="13">
        <v>13556</v>
      </c>
      <c r="AC2934" s="16" t="str">
        <f t="shared" si="135"/>
        <v/>
      </c>
      <c r="AD2934" s="17">
        <f t="shared" si="136"/>
        <v>13556</v>
      </c>
      <c r="AE2934" s="17">
        <f t="shared" si="137"/>
        <v>0</v>
      </c>
      <c r="AF2934" s="10" t="s">
        <v>7080</v>
      </c>
      <c r="AG2934" s="5" t="s">
        <v>5158</v>
      </c>
      <c r="AH2934" s="5" t="s">
        <v>7076</v>
      </c>
      <c r="AJ2934" s="5" t="s">
        <v>7085</v>
      </c>
    </row>
    <row r="2935" spans="1:36" ht="10" customHeight="1" x14ac:dyDescent="0.2">
      <c r="A2935" s="5" t="s">
        <v>6836</v>
      </c>
      <c r="B2935" s="5" t="s">
        <v>45</v>
      </c>
      <c r="D2935" s="5" t="s">
        <v>7086</v>
      </c>
      <c r="E2935" s="10" t="s">
        <v>57</v>
      </c>
      <c r="F2935" s="5" t="s">
        <v>7082</v>
      </c>
      <c r="I2935" s="11">
        <v>6</v>
      </c>
      <c r="K2935" s="12"/>
      <c r="O2935" s="12"/>
      <c r="S2935" s="13">
        <v>7500</v>
      </c>
      <c r="U2935" s="13">
        <v>7500</v>
      </c>
      <c r="AC2935" s="16" t="str">
        <f t="shared" si="135"/>
        <v/>
      </c>
      <c r="AD2935" s="17">
        <f t="shared" si="136"/>
        <v>7500</v>
      </c>
      <c r="AE2935" s="17">
        <f t="shared" si="137"/>
        <v>0</v>
      </c>
      <c r="AF2935" s="10" t="s">
        <v>7080</v>
      </c>
      <c r="AG2935" s="5" t="s">
        <v>5158</v>
      </c>
      <c r="AH2935" s="5" t="s">
        <v>7076</v>
      </c>
      <c r="AJ2935" s="5" t="s">
        <v>7087</v>
      </c>
    </row>
    <row r="2936" spans="1:36" ht="10" customHeight="1" x14ac:dyDescent="0.2">
      <c r="A2936" s="5" t="s">
        <v>6836</v>
      </c>
      <c r="B2936" s="5" t="s">
        <v>45</v>
      </c>
      <c r="D2936" s="5" t="s">
        <v>7088</v>
      </c>
      <c r="E2936" s="10" t="s">
        <v>57</v>
      </c>
      <c r="F2936" s="5" t="s">
        <v>7082</v>
      </c>
      <c r="I2936" s="11">
        <v>6</v>
      </c>
      <c r="K2936" s="12"/>
      <c r="O2936" s="12"/>
      <c r="Q2936" s="13">
        <v>700</v>
      </c>
      <c r="S2936" s="13">
        <v>3600</v>
      </c>
      <c r="U2936" s="13">
        <v>3600</v>
      </c>
      <c r="AC2936" s="16" t="str">
        <f t="shared" si="135"/>
        <v/>
      </c>
      <c r="AD2936" s="17">
        <f t="shared" si="136"/>
        <v>3600</v>
      </c>
      <c r="AE2936" s="17">
        <f t="shared" si="137"/>
        <v>0</v>
      </c>
      <c r="AF2936" s="10" t="s">
        <v>7080</v>
      </c>
      <c r="AG2936" s="5" t="s">
        <v>5158</v>
      </c>
      <c r="AH2936" s="5" t="s">
        <v>7076</v>
      </c>
      <c r="AJ2936" s="5" t="s">
        <v>7089</v>
      </c>
    </row>
    <row r="2937" spans="1:36" ht="10" customHeight="1" x14ac:dyDescent="0.2">
      <c r="A2937" s="5" t="s">
        <v>6836</v>
      </c>
      <c r="B2937" s="5" t="s">
        <v>45</v>
      </c>
      <c r="D2937" s="5" t="s">
        <v>7090</v>
      </c>
      <c r="E2937" s="10" t="s">
        <v>57</v>
      </c>
      <c r="F2937" s="5" t="s">
        <v>7082</v>
      </c>
      <c r="I2937" s="11">
        <v>6</v>
      </c>
      <c r="K2937" s="12"/>
      <c r="O2937" s="12"/>
      <c r="S2937" s="13">
        <v>9000</v>
      </c>
      <c r="U2937" s="13">
        <v>9000</v>
      </c>
      <c r="AC2937" s="16" t="str">
        <f t="shared" si="135"/>
        <v/>
      </c>
      <c r="AD2937" s="17">
        <f t="shared" si="136"/>
        <v>9000</v>
      </c>
      <c r="AE2937" s="17">
        <f t="shared" si="137"/>
        <v>0</v>
      </c>
      <c r="AF2937" s="10" t="s">
        <v>7080</v>
      </c>
      <c r="AG2937" s="5" t="s">
        <v>5158</v>
      </c>
      <c r="AH2937" s="5" t="s">
        <v>7076</v>
      </c>
      <c r="AJ2937" s="5" t="s">
        <v>7091</v>
      </c>
    </row>
    <row r="2938" spans="1:36" ht="10" customHeight="1" x14ac:dyDescent="0.2">
      <c r="A2938" s="5" t="s">
        <v>6836</v>
      </c>
      <c r="B2938" s="5" t="s">
        <v>45</v>
      </c>
      <c r="D2938" s="5" t="s">
        <v>7092</v>
      </c>
      <c r="E2938" s="10" t="s">
        <v>57</v>
      </c>
      <c r="F2938" s="5" t="s">
        <v>7082</v>
      </c>
      <c r="I2938" s="11">
        <v>6</v>
      </c>
      <c r="K2938" s="12"/>
      <c r="O2938" s="12"/>
      <c r="P2938" s="13">
        <v>9000</v>
      </c>
      <c r="Q2938" s="13">
        <v>5796</v>
      </c>
      <c r="S2938" s="13">
        <v>5792</v>
      </c>
      <c r="U2938" s="13">
        <v>5792</v>
      </c>
      <c r="AC2938" s="16" t="str">
        <f t="shared" si="135"/>
        <v/>
      </c>
      <c r="AD2938" s="17">
        <f t="shared" si="136"/>
        <v>5792</v>
      </c>
      <c r="AE2938" s="17">
        <f t="shared" si="137"/>
        <v>0</v>
      </c>
      <c r="AF2938" s="10" t="s">
        <v>7080</v>
      </c>
      <c r="AG2938" s="5" t="s">
        <v>5158</v>
      </c>
      <c r="AH2938" s="5" t="s">
        <v>7076</v>
      </c>
      <c r="AJ2938" s="5" t="s">
        <v>7093</v>
      </c>
    </row>
    <row r="2939" spans="1:36" ht="10" customHeight="1" x14ac:dyDescent="0.2">
      <c r="A2939" s="5" t="s">
        <v>6836</v>
      </c>
      <c r="B2939" s="5" t="s">
        <v>45</v>
      </c>
      <c r="D2939" s="5" t="s">
        <v>7094</v>
      </c>
      <c r="E2939" s="10" t="s">
        <v>57</v>
      </c>
      <c r="F2939" s="5" t="s">
        <v>7082</v>
      </c>
      <c r="I2939" s="11">
        <v>6</v>
      </c>
      <c r="K2939" s="12"/>
      <c r="O2939" s="12"/>
      <c r="P2939" s="13">
        <v>9896</v>
      </c>
      <c r="Q2939" s="13">
        <v>4771</v>
      </c>
      <c r="S2939" s="13">
        <v>6557</v>
      </c>
      <c r="U2939" s="13">
        <v>6557</v>
      </c>
      <c r="AC2939" s="16" t="str">
        <f t="shared" si="135"/>
        <v/>
      </c>
      <c r="AD2939" s="17">
        <f t="shared" si="136"/>
        <v>6557</v>
      </c>
      <c r="AE2939" s="17">
        <f t="shared" si="137"/>
        <v>0</v>
      </c>
      <c r="AF2939" s="10" t="s">
        <v>7080</v>
      </c>
      <c r="AG2939" s="5" t="s">
        <v>5158</v>
      </c>
      <c r="AH2939" s="5" t="s">
        <v>7076</v>
      </c>
      <c r="AJ2939" s="5" t="s">
        <v>7095</v>
      </c>
    </row>
    <row r="2940" spans="1:36" ht="10" customHeight="1" x14ac:dyDescent="0.2">
      <c r="A2940" s="5" t="s">
        <v>6836</v>
      </c>
      <c r="B2940" s="5" t="s">
        <v>45</v>
      </c>
      <c r="D2940" s="5" t="s">
        <v>7096</v>
      </c>
      <c r="E2940" s="10" t="s">
        <v>57</v>
      </c>
      <c r="F2940" s="5" t="s">
        <v>7079</v>
      </c>
      <c r="I2940" s="11">
        <v>6</v>
      </c>
      <c r="K2940" s="12"/>
      <c r="O2940" s="12"/>
      <c r="P2940" s="13">
        <v>17014</v>
      </c>
      <c r="Q2940" s="13">
        <v>17372</v>
      </c>
      <c r="S2940" s="13">
        <v>17577</v>
      </c>
      <c r="U2940" s="13">
        <v>17577</v>
      </c>
      <c r="AC2940" s="16" t="str">
        <f t="shared" si="135"/>
        <v/>
      </c>
      <c r="AD2940" s="17">
        <f t="shared" si="136"/>
        <v>17577</v>
      </c>
      <c r="AE2940" s="17">
        <f t="shared" si="137"/>
        <v>0</v>
      </c>
      <c r="AF2940" s="10" t="s">
        <v>7097</v>
      </c>
      <c r="AG2940" s="5" t="s">
        <v>2257</v>
      </c>
      <c r="AH2940" s="5" t="s">
        <v>7076</v>
      </c>
      <c r="AI2940" s="5" t="s">
        <v>7098</v>
      </c>
    </row>
    <row r="2941" spans="1:36" ht="10" customHeight="1" x14ac:dyDescent="0.2">
      <c r="A2941" s="5" t="s">
        <v>6836</v>
      </c>
      <c r="B2941" s="5" t="s">
        <v>45</v>
      </c>
      <c r="D2941" s="5" t="s">
        <v>7099</v>
      </c>
      <c r="E2941" s="10" t="s">
        <v>57</v>
      </c>
      <c r="F2941" s="5" t="s">
        <v>7100</v>
      </c>
      <c r="I2941" s="11">
        <v>6</v>
      </c>
      <c r="K2941" s="12"/>
      <c r="O2941" s="12"/>
      <c r="P2941" s="13">
        <v>12955</v>
      </c>
      <c r="Q2941" s="13">
        <v>13172</v>
      </c>
      <c r="S2941" s="13">
        <v>13610</v>
      </c>
      <c r="U2941" s="13">
        <v>13610</v>
      </c>
      <c r="AC2941" s="16" t="str">
        <f t="shared" si="135"/>
        <v/>
      </c>
      <c r="AD2941" s="17">
        <f t="shared" si="136"/>
        <v>13610</v>
      </c>
      <c r="AE2941" s="17">
        <f t="shared" si="137"/>
        <v>0</v>
      </c>
      <c r="AF2941" s="10" t="s">
        <v>7097</v>
      </c>
      <c r="AG2941" s="5" t="s">
        <v>2257</v>
      </c>
      <c r="AH2941" s="5" t="s">
        <v>7076</v>
      </c>
      <c r="AI2941" s="5" t="s">
        <v>7098</v>
      </c>
    </row>
    <row r="2942" spans="1:36" ht="10" customHeight="1" x14ac:dyDescent="0.2">
      <c r="A2942" s="5" t="s">
        <v>6836</v>
      </c>
      <c r="B2942" s="5" t="s">
        <v>45</v>
      </c>
      <c r="D2942" s="5" t="s">
        <v>7101</v>
      </c>
      <c r="E2942" s="10" t="s">
        <v>57</v>
      </c>
      <c r="F2942" s="5" t="s">
        <v>7100</v>
      </c>
      <c r="I2942" s="11">
        <v>6</v>
      </c>
      <c r="K2942" s="12"/>
      <c r="O2942" s="12"/>
      <c r="P2942" s="13">
        <v>4059</v>
      </c>
      <c r="Q2942" s="13">
        <v>4200</v>
      </c>
      <c r="S2942" s="13">
        <v>3967</v>
      </c>
      <c r="U2942" s="13">
        <v>3967</v>
      </c>
      <c r="AC2942" s="16" t="str">
        <f t="shared" si="135"/>
        <v/>
      </c>
      <c r="AD2942" s="17">
        <f t="shared" si="136"/>
        <v>3967</v>
      </c>
      <c r="AE2942" s="17">
        <f t="shared" si="137"/>
        <v>0</v>
      </c>
      <c r="AF2942" s="10" t="s">
        <v>7097</v>
      </c>
      <c r="AG2942" s="5" t="s">
        <v>2257</v>
      </c>
      <c r="AH2942" s="5" t="s">
        <v>7076</v>
      </c>
      <c r="AI2942" s="5" t="s">
        <v>6995</v>
      </c>
    </row>
    <row r="2943" spans="1:36" ht="10" customHeight="1" x14ac:dyDescent="0.2">
      <c r="A2943" s="5" t="s">
        <v>6836</v>
      </c>
      <c r="B2943" s="5" t="s">
        <v>45</v>
      </c>
      <c r="D2943" s="5" t="s">
        <v>7102</v>
      </c>
      <c r="E2943" s="10" t="s">
        <v>57</v>
      </c>
      <c r="F2943" s="5" t="s">
        <v>7079</v>
      </c>
      <c r="I2943" s="11">
        <v>4</v>
      </c>
      <c r="K2943" s="12"/>
      <c r="O2943" s="12"/>
      <c r="P2943" s="13">
        <v>4030</v>
      </c>
      <c r="Q2943" s="13">
        <v>4087</v>
      </c>
      <c r="S2943" s="13">
        <v>4122</v>
      </c>
      <c r="U2943" s="13">
        <v>4122</v>
      </c>
      <c r="AC2943" s="16" t="str">
        <f t="shared" si="135"/>
        <v/>
      </c>
      <c r="AD2943" s="17">
        <f t="shared" si="136"/>
        <v>4122</v>
      </c>
      <c r="AE2943" s="17">
        <f t="shared" si="137"/>
        <v>0</v>
      </c>
      <c r="AF2943" s="10" t="s">
        <v>7103</v>
      </c>
      <c r="AG2943" s="5" t="s">
        <v>2336</v>
      </c>
      <c r="AH2943" s="5" t="s">
        <v>7076</v>
      </c>
      <c r="AJ2943" s="5" t="s">
        <v>7104</v>
      </c>
    </row>
    <row r="2944" spans="1:36" ht="10" customHeight="1" x14ac:dyDescent="0.2">
      <c r="A2944" s="5" t="s">
        <v>6836</v>
      </c>
      <c r="B2944" s="5" t="s">
        <v>45</v>
      </c>
      <c r="D2944" s="5" t="s">
        <v>7105</v>
      </c>
      <c r="E2944" s="10" t="s">
        <v>57</v>
      </c>
      <c r="F2944" s="5" t="s">
        <v>7106</v>
      </c>
      <c r="I2944" s="11">
        <v>4</v>
      </c>
      <c r="K2944" s="12"/>
      <c r="O2944" s="12"/>
      <c r="P2944" s="13">
        <v>80</v>
      </c>
      <c r="Q2944" s="13">
        <v>80</v>
      </c>
      <c r="S2944" s="13">
        <v>80</v>
      </c>
      <c r="U2944" s="13">
        <v>80</v>
      </c>
      <c r="AC2944" s="16" t="str">
        <f t="shared" si="135"/>
        <v/>
      </c>
      <c r="AD2944" s="17">
        <f t="shared" si="136"/>
        <v>80</v>
      </c>
      <c r="AE2944" s="17">
        <f t="shared" si="137"/>
        <v>0</v>
      </c>
      <c r="AF2944" s="10" t="s">
        <v>7107</v>
      </c>
      <c r="AG2944" s="5" t="s">
        <v>2336</v>
      </c>
      <c r="AH2944" s="5" t="s">
        <v>7076</v>
      </c>
      <c r="AJ2944" s="5" t="s">
        <v>7108</v>
      </c>
    </row>
    <row r="2945" spans="1:36" ht="10" customHeight="1" x14ac:dyDescent="0.2">
      <c r="A2945" s="5" t="s">
        <v>6836</v>
      </c>
      <c r="B2945" s="5" t="s">
        <v>45</v>
      </c>
      <c r="D2945" s="5" t="s">
        <v>7109</v>
      </c>
      <c r="E2945" s="10" t="s">
        <v>57</v>
      </c>
      <c r="F2945" s="5" t="s">
        <v>7106</v>
      </c>
      <c r="I2945" s="11">
        <v>4</v>
      </c>
      <c r="K2945" s="12"/>
      <c r="O2945" s="12"/>
      <c r="P2945" s="13">
        <v>825</v>
      </c>
      <c r="Q2945" s="13">
        <v>882</v>
      </c>
      <c r="S2945" s="13">
        <v>894</v>
      </c>
      <c r="U2945" s="13">
        <v>894</v>
      </c>
      <c r="AC2945" s="16" t="str">
        <f t="shared" si="135"/>
        <v/>
      </c>
      <c r="AD2945" s="17">
        <f t="shared" si="136"/>
        <v>894</v>
      </c>
      <c r="AE2945" s="17">
        <f t="shared" si="137"/>
        <v>0</v>
      </c>
      <c r="AF2945" s="10" t="s">
        <v>7107</v>
      </c>
      <c r="AG2945" s="5" t="s">
        <v>2336</v>
      </c>
      <c r="AH2945" s="5" t="s">
        <v>7076</v>
      </c>
      <c r="AJ2945" s="5" t="s">
        <v>7108</v>
      </c>
    </row>
    <row r="2946" spans="1:36" ht="10" customHeight="1" x14ac:dyDescent="0.2">
      <c r="A2946" s="5" t="s">
        <v>6836</v>
      </c>
      <c r="B2946" s="5" t="s">
        <v>45</v>
      </c>
      <c r="D2946" s="5" t="s">
        <v>7110</v>
      </c>
      <c r="E2946" s="10" t="s">
        <v>57</v>
      </c>
      <c r="F2946" s="5" t="s">
        <v>7106</v>
      </c>
      <c r="I2946" s="11">
        <v>4</v>
      </c>
      <c r="K2946" s="12"/>
      <c r="O2946" s="12"/>
      <c r="P2946" s="13">
        <v>825</v>
      </c>
      <c r="Q2946" s="13">
        <v>824</v>
      </c>
      <c r="S2946" s="13">
        <v>833</v>
      </c>
      <c r="U2946" s="13">
        <v>833</v>
      </c>
      <c r="AC2946" s="16" t="str">
        <f t="shared" si="135"/>
        <v/>
      </c>
      <c r="AD2946" s="17">
        <f t="shared" si="136"/>
        <v>833</v>
      </c>
      <c r="AE2946" s="17">
        <f t="shared" si="137"/>
        <v>0</v>
      </c>
      <c r="AF2946" s="10" t="s">
        <v>7107</v>
      </c>
      <c r="AG2946" s="5" t="s">
        <v>2336</v>
      </c>
      <c r="AH2946" s="5" t="s">
        <v>7076</v>
      </c>
      <c r="AJ2946" s="5" t="s">
        <v>7108</v>
      </c>
    </row>
    <row r="2947" spans="1:36" ht="10" customHeight="1" x14ac:dyDescent="0.2">
      <c r="A2947" s="5" t="s">
        <v>6836</v>
      </c>
      <c r="B2947" s="5" t="s">
        <v>45</v>
      </c>
      <c r="D2947" s="5" t="s">
        <v>7111</v>
      </c>
      <c r="E2947" s="10" t="s">
        <v>57</v>
      </c>
      <c r="F2947" s="5" t="s">
        <v>7106</v>
      </c>
      <c r="I2947" s="11">
        <v>4</v>
      </c>
      <c r="K2947" s="12"/>
      <c r="O2947" s="12"/>
      <c r="P2947" s="13">
        <v>2300</v>
      </c>
      <c r="Q2947" s="13">
        <v>2301</v>
      </c>
      <c r="S2947" s="13">
        <v>2315</v>
      </c>
      <c r="U2947" s="13">
        <v>2315</v>
      </c>
      <c r="AC2947" s="16" t="str">
        <f t="shared" si="135"/>
        <v/>
      </c>
      <c r="AD2947" s="17">
        <f t="shared" si="136"/>
        <v>2315</v>
      </c>
      <c r="AE2947" s="17">
        <f t="shared" si="137"/>
        <v>0</v>
      </c>
      <c r="AF2947" s="10" t="s">
        <v>7107</v>
      </c>
      <c r="AG2947" s="5" t="s">
        <v>2336</v>
      </c>
      <c r="AH2947" s="5" t="s">
        <v>7076</v>
      </c>
      <c r="AJ2947" s="5" t="s">
        <v>7108</v>
      </c>
    </row>
    <row r="2948" spans="1:36" ht="10" customHeight="1" x14ac:dyDescent="0.2">
      <c r="A2948" s="5" t="s">
        <v>6836</v>
      </c>
      <c r="B2948" s="5" t="s">
        <v>45</v>
      </c>
      <c r="C2948" s="5" t="s">
        <v>1542</v>
      </c>
      <c r="D2948" s="5" t="s">
        <v>7112</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6" t="str">
        <f t="shared" si="135"/>
        <v>ADD</v>
      </c>
      <c r="AD2948" s="17">
        <f t="shared" si="136"/>
        <v>186909</v>
      </c>
      <c r="AE2948" s="17">
        <f t="shared" si="137"/>
        <v>211216</v>
      </c>
      <c r="AF2948" s="10" t="s">
        <v>7113</v>
      </c>
      <c r="AG2948" s="5" t="s">
        <v>2418</v>
      </c>
      <c r="AH2948" s="5" t="s">
        <v>7114</v>
      </c>
      <c r="AI2948" s="5" t="s">
        <v>7112</v>
      </c>
    </row>
    <row r="2949" spans="1:36" ht="10" customHeight="1" x14ac:dyDescent="0.2">
      <c r="A2949" s="5" t="s">
        <v>6836</v>
      </c>
      <c r="B2949" s="5" t="s">
        <v>45</v>
      </c>
      <c r="D2949" s="5" t="s">
        <v>7115</v>
      </c>
      <c r="E2949" s="10" t="s">
        <v>57</v>
      </c>
      <c r="F2949" s="5" t="s">
        <v>7116</v>
      </c>
      <c r="I2949" s="11">
        <v>4</v>
      </c>
      <c r="K2949" s="10" t="s">
        <v>50</v>
      </c>
      <c r="L2949" s="5" t="s">
        <v>51</v>
      </c>
      <c r="M2949" s="5" t="s">
        <v>69</v>
      </c>
      <c r="N2949" s="5" t="s">
        <v>70</v>
      </c>
      <c r="O2949" s="12"/>
      <c r="P2949" s="13">
        <v>5406</v>
      </c>
      <c r="AC2949" s="16" t="str">
        <f t="shared" si="135"/>
        <v/>
      </c>
      <c r="AD2949" s="17">
        <f t="shared" si="136"/>
        <v>0</v>
      </c>
      <c r="AE2949" s="17">
        <f t="shared" si="137"/>
        <v>0</v>
      </c>
      <c r="AF2949" s="10" t="s">
        <v>7117</v>
      </c>
      <c r="AG2949" s="5" t="s">
        <v>2453</v>
      </c>
      <c r="AH2949" s="5" t="s">
        <v>7114</v>
      </c>
      <c r="AI2949" s="5" t="s">
        <v>7112</v>
      </c>
    </row>
    <row r="2950" spans="1:36" ht="10" customHeight="1" x14ac:dyDescent="0.2">
      <c r="A2950" s="5" t="s">
        <v>6836</v>
      </c>
      <c r="B2950" s="5" t="s">
        <v>45</v>
      </c>
      <c r="D2950" s="5" t="s">
        <v>7118</v>
      </c>
      <c r="E2950" s="10" t="s">
        <v>57</v>
      </c>
      <c r="F2950" s="5" t="s">
        <v>7116</v>
      </c>
      <c r="I2950" s="11">
        <v>4</v>
      </c>
      <c r="K2950" s="12"/>
      <c r="O2950" s="12"/>
      <c r="S2950" s="13">
        <v>5306</v>
      </c>
      <c r="U2950" s="13">
        <v>5306</v>
      </c>
      <c r="AC2950" s="16" t="str">
        <f t="shared" ref="AC2950:AC3013" si="138">IF(OR(E2950="",E2950="[PARENT]"),"ADD",IF(E2950="[ALT_VIEW]","ALT",""))</f>
        <v/>
      </c>
      <c r="AD2950" s="17">
        <f t="shared" ref="AD2950:AD3013" si="139">IF(Y2950&lt;&gt;"",Y2950,IF(U2950&lt;&gt;"",U2950,S2950))</f>
        <v>5306</v>
      </c>
      <c r="AE2950" s="17">
        <f t="shared" ref="AE2950:AE3013" si="140">IF(AB2950&lt;&gt;"",AB2950,Z2950)</f>
        <v>0</v>
      </c>
      <c r="AF2950" s="10" t="s">
        <v>7117</v>
      </c>
      <c r="AG2950" s="5" t="s">
        <v>2453</v>
      </c>
      <c r="AH2950" s="5" t="s">
        <v>7114</v>
      </c>
      <c r="AI2950" s="5" t="s">
        <v>7112</v>
      </c>
    </row>
    <row r="2951" spans="1:36" ht="10" customHeight="1" x14ac:dyDescent="0.2">
      <c r="A2951" s="5" t="s">
        <v>6836</v>
      </c>
      <c r="B2951" s="5" t="s">
        <v>45</v>
      </c>
      <c r="D2951" s="5" t="s">
        <v>7119</v>
      </c>
      <c r="E2951" s="10" t="s">
        <v>57</v>
      </c>
      <c r="F2951" s="5" t="s">
        <v>7116</v>
      </c>
      <c r="I2951" s="11">
        <v>4</v>
      </c>
      <c r="K2951" s="10" t="s">
        <v>50</v>
      </c>
      <c r="L2951" s="5" t="s">
        <v>51</v>
      </c>
      <c r="M2951" s="5" t="s">
        <v>69</v>
      </c>
      <c r="N2951" s="5" t="s">
        <v>70</v>
      </c>
      <c r="O2951" s="12"/>
      <c r="P2951" s="13">
        <v>3354</v>
      </c>
      <c r="S2951" s="13">
        <v>1163</v>
      </c>
      <c r="U2951" s="13">
        <v>1163</v>
      </c>
      <c r="AC2951" s="16" t="str">
        <f t="shared" si="138"/>
        <v/>
      </c>
      <c r="AD2951" s="17">
        <f t="shared" si="139"/>
        <v>1163</v>
      </c>
      <c r="AE2951" s="17">
        <f t="shared" si="140"/>
        <v>0</v>
      </c>
      <c r="AF2951" s="10" t="s">
        <v>7117</v>
      </c>
      <c r="AG2951" s="5" t="s">
        <v>2453</v>
      </c>
      <c r="AH2951" s="5" t="s">
        <v>7114</v>
      </c>
      <c r="AI2951" s="5" t="s">
        <v>7112</v>
      </c>
    </row>
    <row r="2952" spans="1:36" ht="10" customHeight="1" x14ac:dyDescent="0.2">
      <c r="A2952" s="5" t="s">
        <v>6836</v>
      </c>
      <c r="B2952" s="5" t="s">
        <v>45</v>
      </c>
      <c r="D2952" s="5" t="s">
        <v>7120</v>
      </c>
      <c r="E2952" s="10" t="s">
        <v>57</v>
      </c>
      <c r="F2952" s="5" t="s">
        <v>7116</v>
      </c>
      <c r="I2952" s="11">
        <v>4</v>
      </c>
      <c r="K2952" s="10" t="s">
        <v>50</v>
      </c>
      <c r="L2952" s="5" t="s">
        <v>51</v>
      </c>
      <c r="M2952" s="5" t="s">
        <v>69</v>
      </c>
      <c r="N2952" s="5" t="s">
        <v>70</v>
      </c>
      <c r="O2952" s="12"/>
      <c r="P2952" s="13">
        <v>5144</v>
      </c>
      <c r="S2952" s="13">
        <v>2725</v>
      </c>
      <c r="U2952" s="13">
        <v>2725</v>
      </c>
      <c r="AC2952" s="16" t="str">
        <f t="shared" si="138"/>
        <v/>
      </c>
      <c r="AD2952" s="17">
        <f t="shared" si="139"/>
        <v>2725</v>
      </c>
      <c r="AE2952" s="17">
        <f t="shared" si="140"/>
        <v>0</v>
      </c>
      <c r="AF2952" s="10" t="s">
        <v>7117</v>
      </c>
      <c r="AG2952" s="5" t="s">
        <v>2453</v>
      </c>
      <c r="AH2952" s="5" t="s">
        <v>7114</v>
      </c>
      <c r="AI2952" s="5" t="s">
        <v>7112</v>
      </c>
    </row>
    <row r="2953" spans="1:36" ht="10" customHeight="1" x14ac:dyDescent="0.2">
      <c r="A2953" s="5" t="s">
        <v>6836</v>
      </c>
      <c r="B2953" s="5" t="s">
        <v>45</v>
      </c>
      <c r="D2953" s="5" t="s">
        <v>7121</v>
      </c>
      <c r="E2953" s="10" t="s">
        <v>57</v>
      </c>
      <c r="F2953" s="5" t="s">
        <v>7116</v>
      </c>
      <c r="I2953" s="11">
        <v>4</v>
      </c>
      <c r="K2953" s="10" t="s">
        <v>50</v>
      </c>
      <c r="L2953" s="5" t="s">
        <v>51</v>
      </c>
      <c r="M2953" s="5" t="s">
        <v>69</v>
      </c>
      <c r="N2953" s="5" t="s">
        <v>70</v>
      </c>
      <c r="O2953" s="12"/>
      <c r="P2953" s="13">
        <v>525</v>
      </c>
      <c r="Q2953" s="13">
        <v>536</v>
      </c>
      <c r="AC2953" s="16" t="str">
        <f t="shared" si="138"/>
        <v/>
      </c>
      <c r="AD2953" s="17">
        <f t="shared" si="139"/>
        <v>0</v>
      </c>
      <c r="AE2953" s="17">
        <f t="shared" si="140"/>
        <v>0</v>
      </c>
      <c r="AF2953" s="10" t="s">
        <v>7117</v>
      </c>
      <c r="AG2953" s="5" t="s">
        <v>2453</v>
      </c>
      <c r="AH2953" s="5" t="s">
        <v>7114</v>
      </c>
      <c r="AI2953" s="5" t="s">
        <v>7112</v>
      </c>
    </row>
    <row r="2954" spans="1:36" ht="10" customHeight="1" x14ac:dyDescent="0.2">
      <c r="A2954" s="5" t="s">
        <v>6836</v>
      </c>
      <c r="B2954" s="5" t="s">
        <v>45</v>
      </c>
      <c r="D2954" s="5" t="s">
        <v>7122</v>
      </c>
      <c r="E2954" s="10" t="s">
        <v>57</v>
      </c>
      <c r="F2954" s="5" t="s">
        <v>7116</v>
      </c>
      <c r="I2954" s="11">
        <v>4</v>
      </c>
      <c r="K2954" s="12"/>
      <c r="O2954" s="12"/>
      <c r="S2954" s="13">
        <v>2644</v>
      </c>
      <c r="U2954" s="13">
        <v>2644</v>
      </c>
      <c r="AC2954" s="16" t="str">
        <f t="shared" si="138"/>
        <v/>
      </c>
      <c r="AD2954" s="17">
        <f t="shared" si="139"/>
        <v>2644</v>
      </c>
      <c r="AE2954" s="17">
        <f t="shared" si="140"/>
        <v>0</v>
      </c>
      <c r="AF2954" s="10" t="s">
        <v>7117</v>
      </c>
      <c r="AG2954" s="5" t="s">
        <v>2453</v>
      </c>
      <c r="AH2954" s="5" t="s">
        <v>7114</v>
      </c>
      <c r="AI2954" s="5" t="s">
        <v>7112</v>
      </c>
    </row>
    <row r="2955" spans="1:36" ht="10" customHeight="1" x14ac:dyDescent="0.2">
      <c r="A2955" s="5" t="s">
        <v>6836</v>
      </c>
      <c r="B2955" s="5" t="s">
        <v>45</v>
      </c>
      <c r="D2955" s="5" t="s">
        <v>7123</v>
      </c>
      <c r="E2955" s="10" t="s">
        <v>57</v>
      </c>
      <c r="F2955" s="5" t="s">
        <v>7116</v>
      </c>
      <c r="I2955" s="11">
        <v>4</v>
      </c>
      <c r="K2955" s="12"/>
      <c r="O2955" s="12"/>
      <c r="P2955" s="13">
        <v>656</v>
      </c>
      <c r="S2955" s="13">
        <v>343</v>
      </c>
      <c r="U2955" s="13">
        <v>343</v>
      </c>
      <c r="AC2955" s="16" t="str">
        <f t="shared" si="138"/>
        <v/>
      </c>
      <c r="AD2955" s="17">
        <f t="shared" si="139"/>
        <v>343</v>
      </c>
      <c r="AE2955" s="17">
        <f t="shared" si="140"/>
        <v>0</v>
      </c>
      <c r="AF2955" s="10" t="s">
        <v>7117</v>
      </c>
      <c r="AG2955" s="5" t="s">
        <v>2453</v>
      </c>
      <c r="AH2955" s="5" t="s">
        <v>7114</v>
      </c>
      <c r="AI2955" s="5" t="s">
        <v>7112</v>
      </c>
    </row>
    <row r="2956" spans="1:36" ht="10" customHeight="1" x14ac:dyDescent="0.2">
      <c r="A2956" s="5" t="s">
        <v>6836</v>
      </c>
      <c r="B2956" s="5" t="s">
        <v>45</v>
      </c>
      <c r="D2956" s="5" t="s">
        <v>7124</v>
      </c>
      <c r="E2956" s="10" t="s">
        <v>57</v>
      </c>
      <c r="F2956" s="5" t="s">
        <v>7116</v>
      </c>
      <c r="I2956" s="11">
        <v>4</v>
      </c>
      <c r="K2956" s="10" t="s">
        <v>50</v>
      </c>
      <c r="L2956" s="5" t="s">
        <v>51</v>
      </c>
      <c r="M2956" s="5" t="s">
        <v>69</v>
      </c>
      <c r="N2956" s="5" t="s">
        <v>70</v>
      </c>
      <c r="O2956" s="12"/>
      <c r="P2956" s="13">
        <v>1938</v>
      </c>
      <c r="Q2956" s="13">
        <v>1978</v>
      </c>
      <c r="S2956" s="13">
        <v>16341</v>
      </c>
      <c r="U2956" s="13">
        <v>16341</v>
      </c>
      <c r="AC2956" s="16" t="str">
        <f t="shared" si="138"/>
        <v/>
      </c>
      <c r="AD2956" s="17">
        <f t="shared" si="139"/>
        <v>16341</v>
      </c>
      <c r="AE2956" s="17">
        <f t="shared" si="140"/>
        <v>0</v>
      </c>
      <c r="AF2956" s="10" t="s">
        <v>7117</v>
      </c>
      <c r="AG2956" s="5" t="s">
        <v>2453</v>
      </c>
      <c r="AH2956" s="5" t="s">
        <v>7114</v>
      </c>
      <c r="AI2956" s="5" t="s">
        <v>7112</v>
      </c>
    </row>
    <row r="2957" spans="1:36" ht="10" customHeight="1" x14ac:dyDescent="0.2">
      <c r="A2957" s="5" t="s">
        <v>6836</v>
      </c>
      <c r="B2957" s="5" t="s">
        <v>45</v>
      </c>
      <c r="D2957" s="5" t="s">
        <v>7125</v>
      </c>
      <c r="E2957" s="10" t="s">
        <v>57</v>
      </c>
      <c r="F2957" s="5" t="s">
        <v>7116</v>
      </c>
      <c r="I2957" s="11">
        <v>4</v>
      </c>
      <c r="K2957" s="12"/>
      <c r="O2957" s="12"/>
      <c r="P2957" s="13">
        <v>1626</v>
      </c>
      <c r="S2957" s="13">
        <v>1252</v>
      </c>
      <c r="U2957" s="13">
        <v>1252</v>
      </c>
      <c r="AC2957" s="16" t="str">
        <f t="shared" si="138"/>
        <v/>
      </c>
      <c r="AD2957" s="17">
        <f t="shared" si="139"/>
        <v>1252</v>
      </c>
      <c r="AE2957" s="17">
        <f t="shared" si="140"/>
        <v>0</v>
      </c>
      <c r="AF2957" s="10" t="s">
        <v>7117</v>
      </c>
      <c r="AG2957" s="5" t="s">
        <v>2453</v>
      </c>
      <c r="AH2957" s="5" t="s">
        <v>7114</v>
      </c>
      <c r="AI2957" s="5" t="s">
        <v>7112</v>
      </c>
    </row>
    <row r="2958" spans="1:36" ht="10" customHeight="1" x14ac:dyDescent="0.2">
      <c r="A2958" s="5" t="s">
        <v>6836</v>
      </c>
      <c r="B2958" s="5" t="s">
        <v>45</v>
      </c>
      <c r="D2958" s="5" t="s">
        <v>7126</v>
      </c>
      <c r="E2958" s="10" t="s">
        <v>57</v>
      </c>
      <c r="F2958" s="5" t="s">
        <v>7116</v>
      </c>
      <c r="I2958" s="11">
        <v>4</v>
      </c>
      <c r="K2958" s="12"/>
      <c r="O2958" s="12"/>
      <c r="Q2958" s="13">
        <v>1871</v>
      </c>
      <c r="S2958" s="13">
        <v>1908</v>
      </c>
      <c r="U2958" s="13">
        <v>1908</v>
      </c>
      <c r="AC2958" s="16" t="str">
        <f t="shared" si="138"/>
        <v/>
      </c>
      <c r="AD2958" s="17">
        <f t="shared" si="139"/>
        <v>1908</v>
      </c>
      <c r="AE2958" s="17">
        <f t="shared" si="140"/>
        <v>0</v>
      </c>
      <c r="AF2958" s="10" t="s">
        <v>7117</v>
      </c>
      <c r="AG2958" s="5" t="s">
        <v>2453</v>
      </c>
      <c r="AH2958" s="5" t="s">
        <v>7114</v>
      </c>
      <c r="AI2958" s="5" t="s">
        <v>7112</v>
      </c>
    </row>
    <row r="2959" spans="1:36" ht="10" customHeight="1" x14ac:dyDescent="0.2">
      <c r="A2959" s="5" t="s">
        <v>6836</v>
      </c>
      <c r="B2959" s="5" t="s">
        <v>45</v>
      </c>
      <c r="D2959" s="5" t="s">
        <v>7127</v>
      </c>
      <c r="E2959" s="10" t="s">
        <v>57</v>
      </c>
      <c r="F2959" s="5" t="s">
        <v>7116</v>
      </c>
      <c r="I2959" s="11">
        <v>4</v>
      </c>
      <c r="K2959" s="10" t="s">
        <v>50</v>
      </c>
      <c r="L2959" s="5" t="s">
        <v>51</v>
      </c>
      <c r="M2959" s="5" t="s">
        <v>69</v>
      </c>
      <c r="N2959" s="5" t="s">
        <v>70</v>
      </c>
      <c r="O2959" s="12"/>
      <c r="P2959" s="13">
        <v>1974</v>
      </c>
      <c r="S2959" s="13">
        <v>1160</v>
      </c>
      <c r="U2959" s="13">
        <v>1160</v>
      </c>
      <c r="AC2959" s="16" t="str">
        <f t="shared" si="138"/>
        <v/>
      </c>
      <c r="AD2959" s="17">
        <f t="shared" si="139"/>
        <v>1160</v>
      </c>
      <c r="AE2959" s="17">
        <f t="shared" si="140"/>
        <v>0</v>
      </c>
      <c r="AF2959" s="10" t="s">
        <v>7117</v>
      </c>
      <c r="AG2959" s="5" t="s">
        <v>2453</v>
      </c>
      <c r="AH2959" s="5" t="s">
        <v>7114</v>
      </c>
      <c r="AI2959" s="5" t="s">
        <v>7112</v>
      </c>
    </row>
    <row r="2960" spans="1:36" ht="10" customHeight="1" x14ac:dyDescent="0.2">
      <c r="A2960" s="5" t="s">
        <v>6836</v>
      </c>
      <c r="B2960" s="5" t="s">
        <v>45</v>
      </c>
      <c r="D2960" s="5" t="s">
        <v>7128</v>
      </c>
      <c r="E2960" s="10" t="s">
        <v>57</v>
      </c>
      <c r="F2960" s="5" t="s">
        <v>7116</v>
      </c>
      <c r="I2960" s="11">
        <v>4</v>
      </c>
      <c r="K2960" s="10" t="s">
        <v>50</v>
      </c>
      <c r="L2960" s="5" t="s">
        <v>51</v>
      </c>
      <c r="M2960" s="5" t="s">
        <v>69</v>
      </c>
      <c r="N2960" s="5" t="s">
        <v>70</v>
      </c>
      <c r="O2960" s="12"/>
      <c r="Q2960" s="13">
        <v>88</v>
      </c>
      <c r="S2960" s="13">
        <v>70</v>
      </c>
      <c r="U2960" s="13">
        <v>70</v>
      </c>
      <c r="AC2960" s="16" t="str">
        <f t="shared" si="138"/>
        <v/>
      </c>
      <c r="AD2960" s="17">
        <f t="shared" si="139"/>
        <v>70</v>
      </c>
      <c r="AE2960" s="17">
        <f t="shared" si="140"/>
        <v>0</v>
      </c>
      <c r="AF2960" s="10" t="s">
        <v>7117</v>
      </c>
      <c r="AG2960" s="5" t="s">
        <v>2453</v>
      </c>
      <c r="AH2960" s="5" t="s">
        <v>7114</v>
      </c>
      <c r="AI2960" s="5" t="s">
        <v>7112</v>
      </c>
    </row>
    <row r="2961" spans="1:35" ht="10" customHeight="1" x14ac:dyDescent="0.2">
      <c r="A2961" s="5" t="s">
        <v>6836</v>
      </c>
      <c r="B2961" s="5" t="s">
        <v>45</v>
      </c>
      <c r="D2961" s="5" t="s">
        <v>7129</v>
      </c>
      <c r="E2961" s="10" t="s">
        <v>57</v>
      </c>
      <c r="F2961" s="5" t="s">
        <v>7116</v>
      </c>
      <c r="I2961" s="11">
        <v>4</v>
      </c>
      <c r="K2961" s="12"/>
      <c r="O2961" s="12"/>
      <c r="P2961" s="13">
        <v>652</v>
      </c>
      <c r="S2961" s="13">
        <v>1945</v>
      </c>
      <c r="U2961" s="13">
        <v>1945</v>
      </c>
      <c r="AC2961" s="16" t="str">
        <f t="shared" si="138"/>
        <v/>
      </c>
      <c r="AD2961" s="17">
        <f t="shared" si="139"/>
        <v>1945</v>
      </c>
      <c r="AE2961" s="17">
        <f t="shared" si="140"/>
        <v>0</v>
      </c>
      <c r="AF2961" s="10" t="s">
        <v>7117</v>
      </c>
      <c r="AG2961" s="5" t="s">
        <v>2453</v>
      </c>
      <c r="AH2961" s="5" t="s">
        <v>7114</v>
      </c>
      <c r="AI2961" s="5" t="s">
        <v>7112</v>
      </c>
    </row>
    <row r="2962" spans="1:35" ht="10" customHeight="1" x14ac:dyDescent="0.2">
      <c r="A2962" s="5" t="s">
        <v>6836</v>
      </c>
      <c r="B2962" s="5" t="s">
        <v>45</v>
      </c>
      <c r="D2962" s="5" t="s">
        <v>7130</v>
      </c>
      <c r="E2962" s="10" t="s">
        <v>57</v>
      </c>
      <c r="F2962" s="5" t="s">
        <v>7116</v>
      </c>
      <c r="I2962" s="11">
        <v>4</v>
      </c>
      <c r="K2962" s="12"/>
      <c r="O2962" s="12"/>
      <c r="S2962" s="13">
        <v>200</v>
      </c>
      <c r="U2962" s="13">
        <v>200</v>
      </c>
      <c r="AC2962" s="16" t="str">
        <f t="shared" si="138"/>
        <v/>
      </c>
      <c r="AD2962" s="17">
        <f t="shared" si="139"/>
        <v>200</v>
      </c>
      <c r="AE2962" s="17">
        <f t="shared" si="140"/>
        <v>0</v>
      </c>
      <c r="AF2962" s="10" t="s">
        <v>7117</v>
      </c>
      <c r="AG2962" s="5" t="s">
        <v>2453</v>
      </c>
      <c r="AH2962" s="5" t="s">
        <v>7114</v>
      </c>
      <c r="AI2962" s="5" t="s">
        <v>7112</v>
      </c>
    </row>
    <row r="2963" spans="1:35" ht="10" customHeight="1" x14ac:dyDescent="0.2">
      <c r="A2963" s="5" t="s">
        <v>6836</v>
      </c>
      <c r="B2963" s="5" t="s">
        <v>45</v>
      </c>
      <c r="D2963" s="5" t="s">
        <v>7131</v>
      </c>
      <c r="E2963" s="10" t="s">
        <v>57</v>
      </c>
      <c r="F2963" s="5" t="s">
        <v>7116</v>
      </c>
      <c r="I2963" s="11">
        <v>4</v>
      </c>
      <c r="K2963" s="10" t="s">
        <v>50</v>
      </c>
      <c r="L2963" s="5" t="s">
        <v>51</v>
      </c>
      <c r="M2963" s="5" t="s">
        <v>69</v>
      </c>
      <c r="N2963" s="5" t="s">
        <v>70</v>
      </c>
      <c r="O2963" s="12"/>
      <c r="P2963" s="13">
        <v>48716</v>
      </c>
      <c r="Q2963" s="13">
        <v>47393</v>
      </c>
      <c r="S2963" s="13">
        <v>48596</v>
      </c>
      <c r="U2963" s="13">
        <v>48596</v>
      </c>
      <c r="AC2963" s="16" t="str">
        <f t="shared" si="138"/>
        <v/>
      </c>
      <c r="AD2963" s="17">
        <f t="shared" si="139"/>
        <v>48596</v>
      </c>
      <c r="AE2963" s="17">
        <f t="shared" si="140"/>
        <v>0</v>
      </c>
      <c r="AF2963" s="10" t="s">
        <v>7132</v>
      </c>
      <c r="AG2963" s="5" t="s">
        <v>2453</v>
      </c>
      <c r="AH2963" s="5" t="s">
        <v>7114</v>
      </c>
      <c r="AI2963" s="5" t="s">
        <v>7112</v>
      </c>
    </row>
    <row r="2964" spans="1:35" ht="10" customHeight="1" x14ac:dyDescent="0.2">
      <c r="A2964" s="5" t="s">
        <v>6836</v>
      </c>
      <c r="B2964" s="5" t="s">
        <v>45</v>
      </c>
      <c r="D2964" s="5" t="s">
        <v>7133</v>
      </c>
      <c r="E2964" s="10" t="s">
        <v>57</v>
      </c>
      <c r="F2964" s="5" t="s">
        <v>7116</v>
      </c>
      <c r="I2964" s="11">
        <v>4</v>
      </c>
      <c r="K2964" s="10" t="s">
        <v>50</v>
      </c>
      <c r="L2964" s="5" t="s">
        <v>51</v>
      </c>
      <c r="M2964" s="5" t="s">
        <v>69</v>
      </c>
      <c r="N2964" s="5" t="s">
        <v>70</v>
      </c>
      <c r="O2964" s="12"/>
      <c r="P2964" s="13">
        <v>6191</v>
      </c>
      <c r="Q2964" s="13">
        <v>6418</v>
      </c>
      <c r="S2964" s="13">
        <v>4756</v>
      </c>
      <c r="U2964" s="13">
        <v>4756</v>
      </c>
      <c r="AC2964" s="16" t="str">
        <f t="shared" si="138"/>
        <v/>
      </c>
      <c r="AD2964" s="17">
        <f t="shared" si="139"/>
        <v>4756</v>
      </c>
      <c r="AE2964" s="17">
        <f t="shared" si="140"/>
        <v>0</v>
      </c>
      <c r="AF2964" s="10" t="s">
        <v>7132</v>
      </c>
      <c r="AG2964" s="5" t="s">
        <v>2453</v>
      </c>
      <c r="AH2964" s="5" t="s">
        <v>7114</v>
      </c>
      <c r="AI2964" s="5" t="s">
        <v>7112</v>
      </c>
    </row>
    <row r="2965" spans="1:35" ht="10" customHeight="1" x14ac:dyDescent="0.2">
      <c r="A2965" s="5" t="s">
        <v>6836</v>
      </c>
      <c r="B2965" s="5" t="s">
        <v>45</v>
      </c>
      <c r="D2965" s="5" t="s">
        <v>7134</v>
      </c>
      <c r="E2965" s="10" t="s">
        <v>57</v>
      </c>
      <c r="F2965" s="5" t="s">
        <v>7116</v>
      </c>
      <c r="I2965" s="11">
        <v>4</v>
      </c>
      <c r="K2965" s="10" t="s">
        <v>50</v>
      </c>
      <c r="L2965" s="5" t="s">
        <v>51</v>
      </c>
      <c r="M2965" s="5" t="s">
        <v>69</v>
      </c>
      <c r="N2965" s="5" t="s">
        <v>70</v>
      </c>
      <c r="O2965" s="12"/>
      <c r="P2965" s="13">
        <v>17008</v>
      </c>
      <c r="Q2965" s="13">
        <v>17348</v>
      </c>
      <c r="S2965" s="13">
        <v>16670</v>
      </c>
      <c r="U2965" s="13">
        <v>16670</v>
      </c>
      <c r="AC2965" s="16" t="str">
        <f t="shared" si="138"/>
        <v/>
      </c>
      <c r="AD2965" s="17">
        <f t="shared" si="139"/>
        <v>16670</v>
      </c>
      <c r="AE2965" s="17">
        <f t="shared" si="140"/>
        <v>0</v>
      </c>
      <c r="AF2965" s="10" t="s">
        <v>7132</v>
      </c>
      <c r="AG2965" s="5" t="s">
        <v>2453</v>
      </c>
      <c r="AH2965" s="5" t="s">
        <v>7114</v>
      </c>
      <c r="AI2965" s="5" t="s">
        <v>7112</v>
      </c>
    </row>
    <row r="2966" spans="1:35" ht="10" customHeight="1" x14ac:dyDescent="0.2">
      <c r="A2966" s="5" t="s">
        <v>6836</v>
      </c>
      <c r="B2966" s="5" t="s">
        <v>45</v>
      </c>
      <c r="D2966" s="5" t="s">
        <v>7135</v>
      </c>
      <c r="E2966" s="10" t="s">
        <v>57</v>
      </c>
      <c r="F2966" s="5" t="s">
        <v>7116</v>
      </c>
      <c r="I2966" s="11">
        <v>4</v>
      </c>
      <c r="K2966" s="10" t="s">
        <v>50</v>
      </c>
      <c r="L2966" s="5" t="s">
        <v>51</v>
      </c>
      <c r="M2966" s="5" t="s">
        <v>69</v>
      </c>
      <c r="N2966" s="5" t="s">
        <v>70</v>
      </c>
      <c r="O2966" s="12"/>
      <c r="P2966" s="13">
        <v>5539</v>
      </c>
      <c r="Q2966" s="13">
        <v>4342</v>
      </c>
      <c r="S2966" s="13">
        <v>10735</v>
      </c>
      <c r="U2966" s="13">
        <v>10735</v>
      </c>
      <c r="AC2966" s="16" t="str">
        <f t="shared" si="138"/>
        <v/>
      </c>
      <c r="AD2966" s="17">
        <f t="shared" si="139"/>
        <v>10735</v>
      </c>
      <c r="AE2966" s="17">
        <f t="shared" si="140"/>
        <v>0</v>
      </c>
      <c r="AF2966" s="10" t="s">
        <v>7132</v>
      </c>
      <c r="AG2966" s="5" t="s">
        <v>2453</v>
      </c>
      <c r="AH2966" s="5" t="s">
        <v>7114</v>
      </c>
      <c r="AI2966" s="5" t="s">
        <v>7112</v>
      </c>
    </row>
    <row r="2967" spans="1:35" ht="10" customHeight="1" x14ac:dyDescent="0.2">
      <c r="A2967" s="5" t="s">
        <v>6836</v>
      </c>
      <c r="B2967" s="5" t="s">
        <v>45</v>
      </c>
      <c r="D2967" s="5" t="s">
        <v>7136</v>
      </c>
      <c r="E2967" s="10" t="s">
        <v>57</v>
      </c>
      <c r="F2967" s="5" t="s">
        <v>7116</v>
      </c>
      <c r="I2967" s="11">
        <v>4</v>
      </c>
      <c r="K2967" s="12"/>
      <c r="O2967" s="12"/>
      <c r="P2967" s="13">
        <v>18009</v>
      </c>
      <c r="Q2967" s="13">
        <v>15073</v>
      </c>
      <c r="S2967" s="13">
        <v>26321</v>
      </c>
      <c r="U2967" s="13">
        <v>26321</v>
      </c>
      <c r="AC2967" s="16" t="str">
        <f t="shared" si="138"/>
        <v/>
      </c>
      <c r="AD2967" s="17">
        <f t="shared" si="139"/>
        <v>26321</v>
      </c>
      <c r="AE2967" s="17">
        <f t="shared" si="140"/>
        <v>0</v>
      </c>
      <c r="AF2967" s="10" t="s">
        <v>7132</v>
      </c>
      <c r="AG2967" s="5" t="s">
        <v>2453</v>
      </c>
      <c r="AH2967" s="5" t="s">
        <v>7114</v>
      </c>
      <c r="AI2967" s="5" t="s">
        <v>7112</v>
      </c>
    </row>
    <row r="2968" spans="1:35" ht="10" customHeight="1" x14ac:dyDescent="0.2">
      <c r="A2968" s="5" t="s">
        <v>6836</v>
      </c>
      <c r="B2968" s="5" t="s">
        <v>45</v>
      </c>
      <c r="D2968" s="5" t="s">
        <v>7137</v>
      </c>
      <c r="E2968" s="10" t="s">
        <v>57</v>
      </c>
      <c r="F2968" s="5" t="s">
        <v>7116</v>
      </c>
      <c r="I2968" s="11">
        <v>4</v>
      </c>
      <c r="K2968" s="12"/>
      <c r="O2968" s="12"/>
      <c r="P2968" s="13">
        <v>2859</v>
      </c>
      <c r="Q2968" s="13">
        <v>5375</v>
      </c>
      <c r="S2968" s="13">
        <v>6438</v>
      </c>
      <c r="U2968" s="13">
        <v>6438</v>
      </c>
      <c r="AC2968" s="16" t="str">
        <f t="shared" si="138"/>
        <v/>
      </c>
      <c r="AD2968" s="17">
        <f t="shared" si="139"/>
        <v>6438</v>
      </c>
      <c r="AE2968" s="17">
        <f t="shared" si="140"/>
        <v>0</v>
      </c>
      <c r="AF2968" s="10" t="s">
        <v>7132</v>
      </c>
      <c r="AG2968" s="5" t="s">
        <v>2453</v>
      </c>
      <c r="AH2968" s="5" t="s">
        <v>7114</v>
      </c>
      <c r="AI2968" s="5" t="s">
        <v>7112</v>
      </c>
    </row>
    <row r="2969" spans="1:35" ht="10" customHeight="1" x14ac:dyDescent="0.2">
      <c r="A2969" s="5" t="s">
        <v>6836</v>
      </c>
      <c r="B2969" s="5" t="s">
        <v>45</v>
      </c>
      <c r="D2969" s="5" t="s">
        <v>7138</v>
      </c>
      <c r="E2969" s="10" t="s">
        <v>57</v>
      </c>
      <c r="F2969" s="5" t="s">
        <v>7116</v>
      </c>
      <c r="I2969" s="11">
        <v>4</v>
      </c>
      <c r="K2969" s="10" t="s">
        <v>50</v>
      </c>
      <c r="L2969" s="5" t="s">
        <v>51</v>
      </c>
      <c r="M2969" s="5" t="s">
        <v>69</v>
      </c>
      <c r="N2969" s="5" t="s">
        <v>70</v>
      </c>
      <c r="O2969" s="12"/>
      <c r="P2969" s="13">
        <v>13693</v>
      </c>
      <c r="Q2969" s="13">
        <v>8100</v>
      </c>
      <c r="S2969" s="13">
        <v>19298</v>
      </c>
      <c r="U2969" s="13">
        <v>19298</v>
      </c>
      <c r="AC2969" s="16" t="str">
        <f t="shared" si="138"/>
        <v/>
      </c>
      <c r="AD2969" s="17">
        <f t="shared" si="139"/>
        <v>19298</v>
      </c>
      <c r="AE2969" s="17">
        <f t="shared" si="140"/>
        <v>0</v>
      </c>
      <c r="AF2969" s="10" t="s">
        <v>7132</v>
      </c>
      <c r="AG2969" s="5" t="s">
        <v>2453</v>
      </c>
      <c r="AH2969" s="5" t="s">
        <v>7114</v>
      </c>
      <c r="AI2969" s="5" t="s">
        <v>7112</v>
      </c>
    </row>
    <row r="2970" spans="1:35" ht="10" customHeight="1" x14ac:dyDescent="0.2">
      <c r="A2970" s="5" t="s">
        <v>6836</v>
      </c>
      <c r="B2970" s="5" t="s">
        <v>45</v>
      </c>
      <c r="D2970" s="5" t="s">
        <v>7139</v>
      </c>
      <c r="E2970" s="10" t="s">
        <v>57</v>
      </c>
      <c r="F2970" s="5" t="s">
        <v>7116</v>
      </c>
      <c r="I2970" s="11">
        <v>4</v>
      </c>
      <c r="K2970" s="12"/>
      <c r="O2970" s="12"/>
      <c r="P2970" s="13">
        <v>2843</v>
      </c>
      <c r="Q2970" s="13">
        <v>3790</v>
      </c>
      <c r="S2970" s="13">
        <v>6267</v>
      </c>
      <c r="U2970" s="13">
        <v>6267</v>
      </c>
      <c r="AC2970" s="16" t="str">
        <f t="shared" si="138"/>
        <v/>
      </c>
      <c r="AD2970" s="17">
        <f t="shared" si="139"/>
        <v>6267</v>
      </c>
      <c r="AE2970" s="17">
        <f t="shared" si="140"/>
        <v>0</v>
      </c>
      <c r="AF2970" s="10" t="s">
        <v>7140</v>
      </c>
      <c r="AG2970" s="5" t="s">
        <v>2453</v>
      </c>
      <c r="AH2970" s="5" t="s">
        <v>7114</v>
      </c>
      <c r="AI2970" s="5" t="s">
        <v>7112</v>
      </c>
    </row>
    <row r="2971" spans="1:35" ht="10" customHeight="1" x14ac:dyDescent="0.2">
      <c r="A2971" s="5" t="s">
        <v>6836</v>
      </c>
      <c r="B2971" s="5" t="s">
        <v>45</v>
      </c>
      <c r="D2971" s="5" t="s">
        <v>7141</v>
      </c>
      <c r="E2971" s="10" t="s">
        <v>57</v>
      </c>
      <c r="F2971" s="5" t="s">
        <v>7116</v>
      </c>
      <c r="I2971" s="11">
        <v>4</v>
      </c>
      <c r="K2971" s="12"/>
      <c r="O2971" s="12"/>
      <c r="P2971" s="13">
        <v>3488</v>
      </c>
      <c r="Q2971" s="13">
        <v>3561</v>
      </c>
      <c r="S2971" s="13">
        <v>7135</v>
      </c>
      <c r="U2971" s="13">
        <v>7135</v>
      </c>
      <c r="AC2971" s="16" t="str">
        <f t="shared" si="138"/>
        <v/>
      </c>
      <c r="AD2971" s="17">
        <f t="shared" si="139"/>
        <v>7135</v>
      </c>
      <c r="AE2971" s="17">
        <f t="shared" si="140"/>
        <v>0</v>
      </c>
      <c r="AF2971" s="10" t="s">
        <v>7142</v>
      </c>
      <c r="AG2971" s="5" t="s">
        <v>2453</v>
      </c>
      <c r="AH2971" s="5" t="s">
        <v>7114</v>
      </c>
      <c r="AI2971" s="5" t="s">
        <v>7112</v>
      </c>
    </row>
    <row r="2972" spans="1:35" ht="10" customHeight="1" x14ac:dyDescent="0.2">
      <c r="A2972" s="5" t="s">
        <v>6836</v>
      </c>
      <c r="B2972" s="5" t="s">
        <v>45</v>
      </c>
      <c r="D2972" s="5" t="s">
        <v>7143</v>
      </c>
      <c r="E2972" s="10" t="s">
        <v>57</v>
      </c>
      <c r="F2972" s="5" t="s">
        <v>7116</v>
      </c>
      <c r="I2972" s="11">
        <v>4</v>
      </c>
      <c r="K2972" s="12"/>
      <c r="O2972" s="12"/>
      <c r="P2972" s="13">
        <v>3616</v>
      </c>
      <c r="Q2972" s="13">
        <v>3688</v>
      </c>
      <c r="S2972" s="13">
        <v>8280</v>
      </c>
      <c r="U2972" s="13">
        <v>8280</v>
      </c>
      <c r="AC2972" s="16" t="str">
        <f t="shared" si="138"/>
        <v/>
      </c>
      <c r="AD2972" s="17">
        <f t="shared" si="139"/>
        <v>8280</v>
      </c>
      <c r="AE2972" s="17">
        <f t="shared" si="140"/>
        <v>0</v>
      </c>
      <c r="AF2972" s="10" t="s">
        <v>7142</v>
      </c>
      <c r="AG2972" s="5" t="s">
        <v>2453</v>
      </c>
      <c r="AH2972" s="5" t="s">
        <v>7114</v>
      </c>
      <c r="AI2972" s="5" t="s">
        <v>7112</v>
      </c>
    </row>
    <row r="2973" spans="1:35" ht="10" customHeight="1" x14ac:dyDescent="0.2">
      <c r="A2973" s="5" t="s">
        <v>6836</v>
      </c>
      <c r="B2973" s="5" t="s">
        <v>45</v>
      </c>
      <c r="C2973" s="5" t="s">
        <v>1571</v>
      </c>
      <c r="D2973" s="5" t="s">
        <v>7144</v>
      </c>
      <c r="E2973" s="12"/>
      <c r="I2973" s="11">
        <v>6</v>
      </c>
      <c r="K2973" s="12"/>
      <c r="O2973" s="12"/>
      <c r="P2973" s="13">
        <v>1611</v>
      </c>
      <c r="AC2973" s="16" t="str">
        <f t="shared" si="138"/>
        <v>ADD</v>
      </c>
      <c r="AD2973" s="17">
        <f t="shared" si="139"/>
        <v>0</v>
      </c>
      <c r="AE2973" s="17">
        <f t="shared" si="140"/>
        <v>0</v>
      </c>
      <c r="AF2973" s="10" t="s">
        <v>7145</v>
      </c>
      <c r="AG2973" s="5" t="s">
        <v>2602</v>
      </c>
      <c r="AH2973" s="5" t="s">
        <v>7146</v>
      </c>
      <c r="AI2973" s="5" t="s">
        <v>7147</v>
      </c>
    </row>
    <row r="2974" spans="1:35" ht="10" customHeight="1" x14ac:dyDescent="0.2">
      <c r="A2974" s="5" t="s">
        <v>6836</v>
      </c>
      <c r="B2974" s="5" t="s">
        <v>45</v>
      </c>
      <c r="C2974" s="5" t="s">
        <v>7148</v>
      </c>
      <c r="D2974" s="5" t="s">
        <v>5451</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6" t="str">
        <f t="shared" si="138"/>
        <v>ADD</v>
      </c>
      <c r="AD2974" s="17">
        <f t="shared" si="139"/>
        <v>728189</v>
      </c>
      <c r="AE2974" s="17">
        <f t="shared" si="140"/>
        <v>765711</v>
      </c>
      <c r="AF2974" s="10" t="s">
        <v>7149</v>
      </c>
      <c r="AG2974" s="5" t="s">
        <v>6423</v>
      </c>
      <c r="AH2974" s="5" t="s">
        <v>7150</v>
      </c>
    </row>
    <row r="2975" spans="1:35" ht="10" customHeight="1" x14ac:dyDescent="0.2">
      <c r="A2975" s="5" t="s">
        <v>6836</v>
      </c>
      <c r="B2975" s="5" t="s">
        <v>45</v>
      </c>
      <c r="C2975" s="5" t="s">
        <v>4806</v>
      </c>
      <c r="D2975" s="5" t="s">
        <v>7151</v>
      </c>
      <c r="E2975" s="12"/>
      <c r="I2975" s="11">
        <v>6</v>
      </c>
      <c r="K2975" s="10" t="s">
        <v>50</v>
      </c>
      <c r="L2975" s="5" t="s">
        <v>51</v>
      </c>
      <c r="M2975" s="5" t="s">
        <v>52</v>
      </c>
      <c r="N2975" s="5" t="s">
        <v>88</v>
      </c>
      <c r="O2975" s="12"/>
      <c r="P2975" s="13">
        <v>478691</v>
      </c>
      <c r="AC2975" s="16" t="str">
        <f t="shared" si="138"/>
        <v>ADD</v>
      </c>
      <c r="AD2975" s="17">
        <f t="shared" si="139"/>
        <v>0</v>
      </c>
      <c r="AE2975" s="17">
        <f t="shared" si="140"/>
        <v>0</v>
      </c>
      <c r="AF2975" s="10" t="s">
        <v>7149</v>
      </c>
      <c r="AG2975" s="5" t="s">
        <v>6423</v>
      </c>
      <c r="AH2975" s="5" t="s">
        <v>7152</v>
      </c>
    </row>
    <row r="2976" spans="1:35" ht="10" customHeight="1" x14ac:dyDescent="0.2">
      <c r="A2976" s="5" t="s">
        <v>7153</v>
      </c>
      <c r="B2976" s="5" t="s">
        <v>45</v>
      </c>
      <c r="C2976" s="5" t="s">
        <v>7154</v>
      </c>
      <c r="D2976" s="5" t="s">
        <v>7155</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6" t="str">
        <f t="shared" si="138"/>
        <v>ADD</v>
      </c>
      <c r="AD2976" s="17">
        <f t="shared" si="139"/>
        <v>7358</v>
      </c>
      <c r="AE2976" s="17">
        <f t="shared" si="140"/>
        <v>6962</v>
      </c>
      <c r="AF2976" s="10" t="s">
        <v>7156</v>
      </c>
      <c r="AG2976" s="5" t="s">
        <v>66</v>
      </c>
      <c r="AH2976" s="5" t="s">
        <v>7154</v>
      </c>
    </row>
    <row r="2977" spans="1:36" ht="10" customHeight="1" x14ac:dyDescent="0.2">
      <c r="A2977" s="5" t="s">
        <v>7153</v>
      </c>
      <c r="B2977" s="5" t="s">
        <v>45</v>
      </c>
      <c r="D2977" s="5" t="s">
        <v>7157</v>
      </c>
      <c r="E2977" s="10" t="s">
        <v>57</v>
      </c>
      <c r="F2977" s="5" t="s">
        <v>7158</v>
      </c>
      <c r="I2977" s="11">
        <v>4</v>
      </c>
      <c r="K2977" s="12"/>
      <c r="O2977" s="14">
        <v>4112</v>
      </c>
      <c r="P2977" s="13">
        <v>488</v>
      </c>
      <c r="Q2977" s="13">
        <v>421</v>
      </c>
      <c r="S2977" s="13">
        <v>417</v>
      </c>
      <c r="T2977" s="13">
        <v>0</v>
      </c>
      <c r="U2977" s="13">
        <v>417</v>
      </c>
      <c r="AC2977" s="16" t="str">
        <f t="shared" si="138"/>
        <v/>
      </c>
      <c r="AD2977" s="17">
        <f t="shared" si="139"/>
        <v>417</v>
      </c>
      <c r="AE2977" s="17">
        <f t="shared" si="140"/>
        <v>0</v>
      </c>
      <c r="AF2977" s="10" t="s">
        <v>7159</v>
      </c>
      <c r="AG2977" s="5" t="s">
        <v>617</v>
      </c>
      <c r="AH2977" s="5" t="s">
        <v>7154</v>
      </c>
    </row>
    <row r="2978" spans="1:36" ht="10" customHeight="1" x14ac:dyDescent="0.2">
      <c r="A2978" s="5" t="s">
        <v>7153</v>
      </c>
      <c r="B2978" s="5" t="s">
        <v>45</v>
      </c>
      <c r="C2978" s="5" t="s">
        <v>7160</v>
      </c>
      <c r="D2978" s="5" t="s">
        <v>7161</v>
      </c>
      <c r="E2978" s="10" t="s">
        <v>57</v>
      </c>
      <c r="F2978" s="5" t="s">
        <v>7157</v>
      </c>
      <c r="I2978" s="11">
        <v>4</v>
      </c>
      <c r="K2978" s="12"/>
      <c r="O2978" s="14">
        <v>2011</v>
      </c>
      <c r="P2978" s="13">
        <v>225</v>
      </c>
      <c r="Q2978" s="13">
        <v>195</v>
      </c>
      <c r="S2978" s="13">
        <v>193</v>
      </c>
      <c r="U2978" s="13">
        <v>193</v>
      </c>
      <c r="AC2978" s="16" t="str">
        <f t="shared" si="138"/>
        <v/>
      </c>
      <c r="AD2978" s="17">
        <f t="shared" si="139"/>
        <v>193</v>
      </c>
      <c r="AE2978" s="17">
        <f t="shared" si="140"/>
        <v>0</v>
      </c>
      <c r="AF2978" s="10" t="s">
        <v>7162</v>
      </c>
      <c r="AG2978" s="5" t="s">
        <v>617</v>
      </c>
      <c r="AH2978" s="5" t="s">
        <v>7154</v>
      </c>
      <c r="AJ2978" s="5" t="s">
        <v>7160</v>
      </c>
    </row>
    <row r="2979" spans="1:36" ht="10" customHeight="1" x14ac:dyDescent="0.2">
      <c r="A2979" s="5" t="s">
        <v>7153</v>
      </c>
      <c r="B2979" s="5" t="s">
        <v>45</v>
      </c>
      <c r="C2979" s="5" t="s">
        <v>7163</v>
      </c>
      <c r="D2979" s="5" t="s">
        <v>7164</v>
      </c>
      <c r="E2979" s="10" t="s">
        <v>57</v>
      </c>
      <c r="F2979" s="5" t="s">
        <v>7157</v>
      </c>
      <c r="I2979" s="11">
        <v>4</v>
      </c>
      <c r="K2979" s="12"/>
      <c r="O2979" s="14">
        <v>926</v>
      </c>
      <c r="P2979" s="13">
        <v>123</v>
      </c>
      <c r="Q2979" s="13">
        <v>106</v>
      </c>
      <c r="S2979" s="13">
        <v>105</v>
      </c>
      <c r="U2979" s="13">
        <v>105</v>
      </c>
      <c r="AC2979" s="16" t="str">
        <f t="shared" si="138"/>
        <v/>
      </c>
      <c r="AD2979" s="17">
        <f t="shared" si="139"/>
        <v>105</v>
      </c>
      <c r="AE2979" s="17">
        <f t="shared" si="140"/>
        <v>0</v>
      </c>
      <c r="AF2979" s="10" t="s">
        <v>7165</v>
      </c>
      <c r="AG2979" s="5" t="s">
        <v>617</v>
      </c>
      <c r="AH2979" s="5" t="s">
        <v>7154</v>
      </c>
      <c r="AJ2979" s="5" t="s">
        <v>7163</v>
      </c>
    </row>
    <row r="2980" spans="1:36" ht="10" customHeight="1" x14ac:dyDescent="0.2">
      <c r="A2980" s="5" t="s">
        <v>7153</v>
      </c>
      <c r="B2980" s="5" t="s">
        <v>45</v>
      </c>
      <c r="C2980" s="5" t="s">
        <v>7166</v>
      </c>
      <c r="D2980" s="5" t="s">
        <v>7167</v>
      </c>
      <c r="E2980" s="10" t="s">
        <v>57</v>
      </c>
      <c r="F2980" s="5" t="s">
        <v>7157</v>
      </c>
      <c r="I2980" s="11">
        <v>6</v>
      </c>
      <c r="K2980" s="12"/>
      <c r="O2980" s="14">
        <v>1175</v>
      </c>
      <c r="P2980" s="13">
        <v>140</v>
      </c>
      <c r="Q2980" s="13">
        <v>120</v>
      </c>
      <c r="S2980" s="13">
        <v>119</v>
      </c>
      <c r="U2980" s="13">
        <v>119</v>
      </c>
      <c r="AC2980" s="16" t="str">
        <f t="shared" si="138"/>
        <v/>
      </c>
      <c r="AD2980" s="17">
        <f t="shared" si="139"/>
        <v>119</v>
      </c>
      <c r="AE2980" s="17">
        <f t="shared" si="140"/>
        <v>0</v>
      </c>
      <c r="AF2980" s="10" t="s">
        <v>7168</v>
      </c>
      <c r="AG2980" s="5" t="s">
        <v>664</v>
      </c>
      <c r="AH2980" s="5" t="s">
        <v>7154</v>
      </c>
      <c r="AJ2980" s="5" t="s">
        <v>7166</v>
      </c>
    </row>
    <row r="2981" spans="1:36" ht="10" customHeight="1" x14ac:dyDescent="0.2">
      <c r="A2981" s="5" t="s">
        <v>7153</v>
      </c>
      <c r="B2981" s="5" t="s">
        <v>45</v>
      </c>
      <c r="D2981" s="5" t="s">
        <v>7169</v>
      </c>
      <c r="E2981" s="10" t="s">
        <v>57</v>
      </c>
      <c r="F2981" s="5" t="s">
        <v>7158</v>
      </c>
      <c r="I2981" s="11">
        <v>4</v>
      </c>
      <c r="K2981" s="10" t="s">
        <v>50</v>
      </c>
      <c r="L2981" s="5" t="s">
        <v>51</v>
      </c>
      <c r="M2981" s="5" t="s">
        <v>119</v>
      </c>
      <c r="O2981" s="14">
        <v>45749</v>
      </c>
      <c r="P2981" s="13">
        <v>15762</v>
      </c>
      <c r="Q2981" s="13">
        <v>5995</v>
      </c>
      <c r="S2981" s="13">
        <v>6941</v>
      </c>
      <c r="T2981" s="13">
        <v>0</v>
      </c>
      <c r="U2981" s="13">
        <v>6941</v>
      </c>
      <c r="AC2981" s="16" t="str">
        <f t="shared" si="138"/>
        <v/>
      </c>
      <c r="AD2981" s="17">
        <f t="shared" si="139"/>
        <v>6941</v>
      </c>
      <c r="AE2981" s="17">
        <f t="shared" si="140"/>
        <v>0</v>
      </c>
      <c r="AF2981" s="10" t="s">
        <v>7170</v>
      </c>
      <c r="AG2981" s="5" t="s">
        <v>664</v>
      </c>
      <c r="AH2981" s="5" t="s">
        <v>7154</v>
      </c>
    </row>
    <row r="2982" spans="1:36" ht="10" customHeight="1" x14ac:dyDescent="0.2">
      <c r="A2982" s="5" t="s">
        <v>7153</v>
      </c>
      <c r="B2982" s="5" t="s">
        <v>45</v>
      </c>
      <c r="C2982" s="5" t="s">
        <v>7171</v>
      </c>
      <c r="D2982" s="5" t="s">
        <v>7172</v>
      </c>
      <c r="E2982" s="10" t="s">
        <v>57</v>
      </c>
      <c r="F2982" s="5" t="s">
        <v>7169</v>
      </c>
      <c r="I2982" s="11">
        <v>4</v>
      </c>
      <c r="K2982" s="10" t="s">
        <v>50</v>
      </c>
      <c r="L2982" s="5" t="s">
        <v>51</v>
      </c>
      <c r="M2982" s="5" t="s">
        <v>119</v>
      </c>
      <c r="O2982" s="14">
        <v>24513</v>
      </c>
      <c r="P2982" s="13">
        <v>2898</v>
      </c>
      <c r="Q2982" s="13">
        <v>2954</v>
      </c>
      <c r="S2982" s="13">
        <v>2931</v>
      </c>
      <c r="U2982" s="13">
        <v>2931</v>
      </c>
      <c r="AC2982" s="16" t="str">
        <f t="shared" si="138"/>
        <v/>
      </c>
      <c r="AD2982" s="17">
        <f t="shared" si="139"/>
        <v>2931</v>
      </c>
      <c r="AE2982" s="17">
        <f t="shared" si="140"/>
        <v>0</v>
      </c>
      <c r="AF2982" s="10" t="s">
        <v>7173</v>
      </c>
      <c r="AG2982" s="5" t="s">
        <v>715</v>
      </c>
      <c r="AH2982" s="5" t="s">
        <v>7154</v>
      </c>
      <c r="AJ2982" s="5" t="s">
        <v>7171</v>
      </c>
    </row>
    <row r="2983" spans="1:36" ht="10" customHeight="1" x14ac:dyDescent="0.2">
      <c r="A2983" s="5" t="s">
        <v>7153</v>
      </c>
      <c r="B2983" s="5" t="s">
        <v>45</v>
      </c>
      <c r="D2983" s="5" t="s">
        <v>7174</v>
      </c>
      <c r="E2983" s="10" t="s">
        <v>57</v>
      </c>
      <c r="F2983" s="5" t="s">
        <v>7169</v>
      </c>
      <c r="I2983" s="11">
        <v>4</v>
      </c>
      <c r="K2983" s="12"/>
      <c r="O2983" s="14">
        <v>6734</v>
      </c>
      <c r="P2983" s="13">
        <v>12744</v>
      </c>
      <c r="Q2983" s="13">
        <v>2904</v>
      </c>
      <c r="S2983" s="13">
        <v>3857</v>
      </c>
      <c r="U2983" s="13">
        <v>3857</v>
      </c>
      <c r="AC2983" s="16" t="str">
        <f t="shared" si="138"/>
        <v/>
      </c>
      <c r="AD2983" s="17">
        <f t="shared" si="139"/>
        <v>3857</v>
      </c>
      <c r="AE2983" s="17">
        <f t="shared" si="140"/>
        <v>0</v>
      </c>
      <c r="AF2983" s="10" t="s">
        <v>7175</v>
      </c>
      <c r="AG2983" s="5" t="s">
        <v>767</v>
      </c>
      <c r="AH2983" s="5" t="s">
        <v>7154</v>
      </c>
    </row>
    <row r="2984" spans="1:36" ht="10" customHeight="1" x14ac:dyDescent="0.2">
      <c r="A2984" s="5" t="s">
        <v>7153</v>
      </c>
      <c r="B2984" s="5" t="s">
        <v>45</v>
      </c>
      <c r="D2984" s="5" t="s">
        <v>7176</v>
      </c>
      <c r="E2984" s="10" t="s">
        <v>57</v>
      </c>
      <c r="F2984" s="5" t="s">
        <v>7169</v>
      </c>
      <c r="I2984" s="11">
        <v>4</v>
      </c>
      <c r="K2984" s="12"/>
      <c r="O2984" s="14">
        <v>476</v>
      </c>
      <c r="P2984" s="13">
        <v>94</v>
      </c>
      <c r="Q2984" s="13">
        <v>108</v>
      </c>
      <c r="S2984" s="13">
        <v>117</v>
      </c>
      <c r="U2984" s="13">
        <v>117</v>
      </c>
      <c r="AC2984" s="16" t="str">
        <f t="shared" si="138"/>
        <v/>
      </c>
      <c r="AD2984" s="17">
        <f t="shared" si="139"/>
        <v>117</v>
      </c>
      <c r="AE2984" s="17">
        <f t="shared" si="140"/>
        <v>0</v>
      </c>
      <c r="AF2984" s="10" t="s">
        <v>7177</v>
      </c>
      <c r="AG2984" s="5" t="s">
        <v>767</v>
      </c>
      <c r="AH2984" s="5" t="s">
        <v>7154</v>
      </c>
    </row>
    <row r="2985" spans="1:36" ht="10" customHeight="1" x14ac:dyDescent="0.2">
      <c r="A2985" s="5" t="s">
        <v>7153</v>
      </c>
      <c r="B2985" s="5" t="s">
        <v>45</v>
      </c>
      <c r="D2985" s="5" t="s">
        <v>7178</v>
      </c>
      <c r="E2985" s="10" t="s">
        <v>57</v>
      </c>
      <c r="F2985" s="5" t="s">
        <v>7169</v>
      </c>
      <c r="I2985" s="11">
        <v>4</v>
      </c>
      <c r="K2985" s="12"/>
      <c r="O2985" s="14">
        <v>83</v>
      </c>
      <c r="P2985" s="13">
        <v>26</v>
      </c>
      <c r="Q2985" s="13">
        <v>29</v>
      </c>
      <c r="S2985" s="13">
        <v>36</v>
      </c>
      <c r="U2985" s="13">
        <v>36</v>
      </c>
      <c r="AC2985" s="16" t="str">
        <f t="shared" si="138"/>
        <v/>
      </c>
      <c r="AD2985" s="17">
        <f t="shared" si="139"/>
        <v>36</v>
      </c>
      <c r="AE2985" s="17">
        <f t="shared" si="140"/>
        <v>0</v>
      </c>
      <c r="AF2985" s="10" t="s">
        <v>7179</v>
      </c>
      <c r="AG2985" s="5" t="s">
        <v>767</v>
      </c>
      <c r="AH2985" s="5" t="s">
        <v>7154</v>
      </c>
    </row>
    <row r="2986" spans="1:36" ht="10" customHeight="1" x14ac:dyDescent="0.2">
      <c r="A2986" s="5" t="s">
        <v>7153</v>
      </c>
      <c r="B2986" s="5" t="s">
        <v>45</v>
      </c>
      <c r="C2986" s="5" t="s">
        <v>7180</v>
      </c>
      <c r="D2986" s="5" t="s">
        <v>7181</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6" t="str">
        <f t="shared" si="138"/>
        <v>ADD</v>
      </c>
      <c r="AD2986" s="17">
        <f t="shared" si="139"/>
        <v>209</v>
      </c>
      <c r="AE2986" s="17">
        <f t="shared" si="140"/>
        <v>195</v>
      </c>
      <c r="AF2986" s="10" t="s">
        <v>7182</v>
      </c>
      <c r="AG2986" s="5" t="s">
        <v>805</v>
      </c>
      <c r="AH2986" s="5" t="s">
        <v>7180</v>
      </c>
      <c r="AI2986" s="5" t="s">
        <v>7183</v>
      </c>
    </row>
    <row r="2987" spans="1:36" ht="10" customHeight="1" x14ac:dyDescent="0.2">
      <c r="A2987" s="5" t="s">
        <v>7153</v>
      </c>
      <c r="B2987" s="5" t="s">
        <v>45</v>
      </c>
      <c r="D2987" s="5" t="s">
        <v>7184</v>
      </c>
      <c r="E2987" s="10" t="s">
        <v>57</v>
      </c>
      <c r="F2987" s="5" t="s">
        <v>7185</v>
      </c>
      <c r="I2987" s="11">
        <v>6</v>
      </c>
      <c r="K2987" s="10" t="s">
        <v>50</v>
      </c>
      <c r="L2987" s="5" t="s">
        <v>51</v>
      </c>
      <c r="M2987" s="5" t="s">
        <v>52</v>
      </c>
      <c r="N2987" s="5" t="s">
        <v>88</v>
      </c>
      <c r="O2987" s="14">
        <v>421</v>
      </c>
      <c r="P2987" s="13">
        <v>227</v>
      </c>
      <c r="Q2987" s="13">
        <v>226</v>
      </c>
      <c r="S2987" s="13">
        <v>209</v>
      </c>
      <c r="U2987" s="13">
        <v>209</v>
      </c>
      <c r="AC2987" s="16" t="str">
        <f t="shared" si="138"/>
        <v/>
      </c>
      <c r="AD2987" s="17">
        <f t="shared" si="139"/>
        <v>209</v>
      </c>
      <c r="AE2987" s="17">
        <f t="shared" si="140"/>
        <v>0</v>
      </c>
      <c r="AF2987" s="10" t="s">
        <v>7186</v>
      </c>
      <c r="AG2987" s="5" t="s">
        <v>812</v>
      </c>
      <c r="AH2987" s="5" t="s">
        <v>7180</v>
      </c>
      <c r="AI2987" s="5" t="s">
        <v>7183</v>
      </c>
    </row>
    <row r="2988" spans="1:36" ht="10" customHeight="1" x14ac:dyDescent="0.2">
      <c r="A2988" s="5" t="s">
        <v>7153</v>
      </c>
      <c r="B2988" s="5" t="s">
        <v>45</v>
      </c>
      <c r="C2988" s="5" t="s">
        <v>7187</v>
      </c>
      <c r="D2988" s="5" t="s">
        <v>7188</v>
      </c>
      <c r="E2988" s="10" t="s">
        <v>48</v>
      </c>
      <c r="I2988" s="11">
        <v>4</v>
      </c>
      <c r="K2988" s="12"/>
      <c r="O2988" s="14">
        <v>1851886</v>
      </c>
      <c r="P2988" s="13">
        <v>283972</v>
      </c>
      <c r="Q2988" s="13">
        <v>376830</v>
      </c>
      <c r="S2988" s="13">
        <v>455822</v>
      </c>
      <c r="T2988" s="13">
        <v>0</v>
      </c>
      <c r="U2988" s="13">
        <v>455822</v>
      </c>
      <c r="Z2988" s="13">
        <v>431069</v>
      </c>
      <c r="AB2988" s="13">
        <v>431069</v>
      </c>
      <c r="AC2988" s="16" t="str">
        <f t="shared" si="138"/>
        <v>ADD</v>
      </c>
      <c r="AD2988" s="17">
        <f t="shared" si="139"/>
        <v>455822</v>
      </c>
      <c r="AE2988" s="17">
        <f t="shared" si="140"/>
        <v>431069</v>
      </c>
      <c r="AF2988" s="10" t="s">
        <v>7189</v>
      </c>
      <c r="AG2988" s="5" t="s">
        <v>841</v>
      </c>
      <c r="AH2988" s="5" t="s">
        <v>7187</v>
      </c>
    </row>
    <row r="2989" spans="1:36" ht="10" customHeight="1" x14ac:dyDescent="0.2">
      <c r="A2989" s="5" t="s">
        <v>7153</v>
      </c>
      <c r="B2989" s="5" t="s">
        <v>45</v>
      </c>
      <c r="D2989" s="5" t="s">
        <v>7190</v>
      </c>
      <c r="E2989" s="10" t="s">
        <v>57</v>
      </c>
      <c r="F2989" s="5" t="s">
        <v>7191</v>
      </c>
      <c r="I2989" s="11">
        <v>4</v>
      </c>
      <c r="K2989" s="12"/>
      <c r="O2989" s="14">
        <v>77785</v>
      </c>
      <c r="P2989" s="13">
        <v>14200</v>
      </c>
      <c r="Q2989" s="13">
        <v>20556</v>
      </c>
      <c r="S2989" s="13">
        <v>50282</v>
      </c>
      <c r="U2989" s="13">
        <v>50282</v>
      </c>
      <c r="AC2989" s="16" t="str">
        <f t="shared" si="138"/>
        <v/>
      </c>
      <c r="AD2989" s="17">
        <f t="shared" si="139"/>
        <v>50282</v>
      </c>
      <c r="AE2989" s="17">
        <f t="shared" si="140"/>
        <v>0</v>
      </c>
      <c r="AF2989" s="10" t="s">
        <v>7192</v>
      </c>
      <c r="AG2989" s="5" t="s">
        <v>4602</v>
      </c>
      <c r="AH2989" s="5" t="s">
        <v>7187</v>
      </c>
    </row>
    <row r="2990" spans="1:36" ht="10" customHeight="1" x14ac:dyDescent="0.2">
      <c r="A2990" s="5" t="s">
        <v>7153</v>
      </c>
      <c r="B2990" s="5" t="s">
        <v>45</v>
      </c>
      <c r="D2990" s="5" t="s">
        <v>7193</v>
      </c>
      <c r="E2990" s="10" t="s">
        <v>57</v>
      </c>
      <c r="F2990" s="5" t="s">
        <v>7190</v>
      </c>
      <c r="I2990" s="11">
        <v>4</v>
      </c>
      <c r="K2990" s="12"/>
      <c r="O2990" s="14">
        <v>13448</v>
      </c>
      <c r="P2990" s="13">
        <v>3364</v>
      </c>
      <c r="Q2990" s="13">
        <v>4067</v>
      </c>
      <c r="S2990" s="13">
        <v>3236</v>
      </c>
      <c r="U2990" s="13">
        <v>3236</v>
      </c>
      <c r="AC2990" s="16" t="str">
        <f t="shared" si="138"/>
        <v/>
      </c>
      <c r="AD2990" s="17">
        <f t="shared" si="139"/>
        <v>3236</v>
      </c>
      <c r="AE2990" s="17">
        <f t="shared" si="140"/>
        <v>0</v>
      </c>
      <c r="AF2990" s="10" t="s">
        <v>7194</v>
      </c>
      <c r="AG2990" s="5" t="s">
        <v>4602</v>
      </c>
      <c r="AH2990" s="5" t="s">
        <v>7187</v>
      </c>
    </row>
    <row r="2991" spans="1:36" ht="10" customHeight="1" x14ac:dyDescent="0.2">
      <c r="A2991" s="5" t="s">
        <v>7153</v>
      </c>
      <c r="B2991" s="5" t="s">
        <v>45</v>
      </c>
      <c r="D2991" s="5" t="s">
        <v>7195</v>
      </c>
      <c r="E2991" s="10" t="s">
        <v>57</v>
      </c>
      <c r="F2991" s="5" t="s">
        <v>7190</v>
      </c>
      <c r="I2991" s="11">
        <v>6</v>
      </c>
      <c r="K2991" s="12"/>
      <c r="O2991" s="12"/>
      <c r="S2991" s="13">
        <v>33035</v>
      </c>
      <c r="U2991" s="13">
        <v>33035</v>
      </c>
      <c r="AC2991" s="16" t="str">
        <f t="shared" si="138"/>
        <v/>
      </c>
      <c r="AD2991" s="17">
        <f t="shared" si="139"/>
        <v>33035</v>
      </c>
      <c r="AE2991" s="17">
        <f t="shared" si="140"/>
        <v>0</v>
      </c>
      <c r="AF2991" s="10" t="s">
        <v>7196</v>
      </c>
      <c r="AG2991" s="5" t="s">
        <v>844</v>
      </c>
      <c r="AH2991" s="5" t="s">
        <v>7187</v>
      </c>
      <c r="AI2991" s="5" t="s">
        <v>7197</v>
      </c>
    </row>
    <row r="2992" spans="1:36" ht="10" customHeight="1" x14ac:dyDescent="0.2">
      <c r="A2992" s="5" t="s">
        <v>7153</v>
      </c>
      <c r="B2992" s="5" t="s">
        <v>45</v>
      </c>
      <c r="D2992" s="5" t="s">
        <v>7198</v>
      </c>
      <c r="E2992" s="10" t="s">
        <v>57</v>
      </c>
      <c r="F2992" s="5" t="s">
        <v>7190</v>
      </c>
      <c r="I2992" s="11">
        <v>6</v>
      </c>
      <c r="K2992" s="12"/>
      <c r="O2992" s="12"/>
      <c r="S2992" s="13">
        <v>3154</v>
      </c>
      <c r="U2992" s="13">
        <v>3154</v>
      </c>
      <c r="AC2992" s="16" t="str">
        <f t="shared" si="138"/>
        <v/>
      </c>
      <c r="AD2992" s="17">
        <f t="shared" si="139"/>
        <v>3154</v>
      </c>
      <c r="AE2992" s="17">
        <f t="shared" si="140"/>
        <v>0</v>
      </c>
      <c r="AF2992" s="10" t="s">
        <v>7199</v>
      </c>
      <c r="AG2992" s="5" t="s">
        <v>844</v>
      </c>
      <c r="AH2992" s="5" t="s">
        <v>7187</v>
      </c>
      <c r="AI2992" s="5" t="s">
        <v>7197</v>
      </c>
    </row>
    <row r="2993" spans="1:36" ht="10" customHeight="1" x14ac:dyDescent="0.2">
      <c r="A2993" s="5" t="s">
        <v>7153</v>
      </c>
      <c r="B2993" s="5" t="s">
        <v>45</v>
      </c>
      <c r="D2993" s="5" t="s">
        <v>7200</v>
      </c>
      <c r="E2993" s="10" t="s">
        <v>57</v>
      </c>
      <c r="F2993" s="5" t="s">
        <v>7190</v>
      </c>
      <c r="I2993" s="11">
        <v>6</v>
      </c>
      <c r="K2993" s="12"/>
      <c r="O2993" s="12"/>
      <c r="S2993" s="13">
        <v>5236</v>
      </c>
      <c r="U2993" s="13">
        <v>5236</v>
      </c>
      <c r="AC2993" s="16" t="str">
        <f t="shared" si="138"/>
        <v/>
      </c>
      <c r="AD2993" s="17">
        <f t="shared" si="139"/>
        <v>5236</v>
      </c>
      <c r="AE2993" s="17">
        <f t="shared" si="140"/>
        <v>0</v>
      </c>
      <c r="AF2993" s="10" t="s">
        <v>7201</v>
      </c>
      <c r="AG2993" s="5" t="s">
        <v>844</v>
      </c>
      <c r="AH2993" s="5" t="s">
        <v>7187</v>
      </c>
      <c r="AI2993" s="5" t="s">
        <v>7197</v>
      </c>
    </row>
    <row r="2994" spans="1:36" ht="10" customHeight="1" x14ac:dyDescent="0.2">
      <c r="A2994" s="5" t="s">
        <v>7153</v>
      </c>
      <c r="B2994" s="5" t="s">
        <v>45</v>
      </c>
      <c r="D2994" s="5" t="s">
        <v>7202</v>
      </c>
      <c r="E2994" s="10" t="s">
        <v>57</v>
      </c>
      <c r="F2994" s="5" t="s">
        <v>7190</v>
      </c>
      <c r="I2994" s="11">
        <v>4</v>
      </c>
      <c r="K2994" s="12"/>
      <c r="O2994" s="12"/>
      <c r="S2994" s="13">
        <v>4791</v>
      </c>
      <c r="U2994" s="13">
        <v>4791</v>
      </c>
      <c r="AC2994" s="16" t="str">
        <f t="shared" si="138"/>
        <v/>
      </c>
      <c r="AD2994" s="17">
        <f t="shared" si="139"/>
        <v>4791</v>
      </c>
      <c r="AE2994" s="17">
        <f t="shared" si="140"/>
        <v>0</v>
      </c>
      <c r="AF2994" s="10" t="s">
        <v>7203</v>
      </c>
      <c r="AG2994" s="5" t="s">
        <v>844</v>
      </c>
      <c r="AH2994" s="5" t="s">
        <v>7187</v>
      </c>
      <c r="AI2994" s="5" t="s">
        <v>7197</v>
      </c>
    </row>
    <row r="2995" spans="1:36" ht="10" customHeight="1" x14ac:dyDescent="0.2">
      <c r="A2995" s="5" t="s">
        <v>7153</v>
      </c>
      <c r="B2995" s="5" t="s">
        <v>45</v>
      </c>
      <c r="D2995" s="5" t="s">
        <v>7204</v>
      </c>
      <c r="E2995" s="10" t="s">
        <v>57</v>
      </c>
      <c r="F2995" s="5" t="s">
        <v>7190</v>
      </c>
      <c r="I2995" s="11">
        <v>6</v>
      </c>
      <c r="K2995" s="12"/>
      <c r="O2995" s="12"/>
      <c r="S2995" s="13">
        <v>830</v>
      </c>
      <c r="U2995" s="13">
        <v>830</v>
      </c>
      <c r="AC2995" s="16" t="str">
        <f t="shared" si="138"/>
        <v/>
      </c>
      <c r="AD2995" s="17">
        <f t="shared" si="139"/>
        <v>830</v>
      </c>
      <c r="AE2995" s="17">
        <f t="shared" si="140"/>
        <v>0</v>
      </c>
      <c r="AF2995" s="10" t="s">
        <v>7205</v>
      </c>
      <c r="AG2995" s="5" t="s">
        <v>844</v>
      </c>
      <c r="AH2995" s="5" t="s">
        <v>7187</v>
      </c>
      <c r="AI2995" s="5" t="s">
        <v>7197</v>
      </c>
    </row>
    <row r="2996" spans="1:36" ht="10" customHeight="1" x14ac:dyDescent="0.2">
      <c r="A2996" s="5" t="s">
        <v>7153</v>
      </c>
      <c r="B2996" s="5" t="s">
        <v>45</v>
      </c>
      <c r="D2996" s="5" t="s">
        <v>7206</v>
      </c>
      <c r="E2996" s="10" t="s">
        <v>57</v>
      </c>
      <c r="F2996" s="5" t="s">
        <v>7191</v>
      </c>
      <c r="I2996" s="11">
        <v>4</v>
      </c>
      <c r="K2996" s="12"/>
      <c r="O2996" s="14">
        <v>0</v>
      </c>
      <c r="P2996" s="13">
        <v>9085</v>
      </c>
      <c r="AC2996" s="16" t="str">
        <f t="shared" si="138"/>
        <v/>
      </c>
      <c r="AD2996" s="17">
        <f t="shared" si="139"/>
        <v>0</v>
      </c>
      <c r="AE2996" s="17">
        <f t="shared" si="140"/>
        <v>0</v>
      </c>
      <c r="AF2996" s="10" t="s">
        <v>7207</v>
      </c>
      <c r="AG2996" s="5" t="s">
        <v>844</v>
      </c>
      <c r="AH2996" s="5" t="s">
        <v>7187</v>
      </c>
    </row>
    <row r="2997" spans="1:36" ht="10" customHeight="1" x14ac:dyDescent="0.2">
      <c r="A2997" s="5" t="s">
        <v>7153</v>
      </c>
      <c r="B2997" s="5" t="s">
        <v>45</v>
      </c>
      <c r="D2997" s="5" t="s">
        <v>7208</v>
      </c>
      <c r="E2997" s="10" t="s">
        <v>57</v>
      </c>
      <c r="F2997" s="5" t="s">
        <v>7191</v>
      </c>
      <c r="I2997" s="11">
        <v>4</v>
      </c>
      <c r="K2997" s="12"/>
      <c r="O2997" s="14">
        <v>25311</v>
      </c>
      <c r="P2997" s="13">
        <v>559</v>
      </c>
      <c r="Q2997" s="13">
        <v>2000</v>
      </c>
      <c r="S2997" s="13">
        <v>2042</v>
      </c>
      <c r="U2997" s="13">
        <v>2042</v>
      </c>
      <c r="AC2997" s="16" t="str">
        <f t="shared" si="138"/>
        <v/>
      </c>
      <c r="AD2997" s="17">
        <f t="shared" si="139"/>
        <v>2042</v>
      </c>
      <c r="AE2997" s="17">
        <f t="shared" si="140"/>
        <v>0</v>
      </c>
      <c r="AF2997" s="10" t="s">
        <v>7209</v>
      </c>
      <c r="AG2997" s="5" t="s">
        <v>946</v>
      </c>
      <c r="AH2997" s="5" t="s">
        <v>7187</v>
      </c>
    </row>
    <row r="2998" spans="1:36" ht="10" customHeight="1" x14ac:dyDescent="0.2">
      <c r="A2998" s="5" t="s">
        <v>7153</v>
      </c>
      <c r="B2998" s="5" t="s">
        <v>45</v>
      </c>
      <c r="C2998" s="5" t="s">
        <v>7210</v>
      </c>
      <c r="D2998" s="5" t="s">
        <v>7211</v>
      </c>
      <c r="E2998" s="10" t="s">
        <v>57</v>
      </c>
      <c r="F2998" s="5" t="s">
        <v>7208</v>
      </c>
      <c r="I2998" s="11">
        <v>6</v>
      </c>
      <c r="K2998" s="12"/>
      <c r="O2998" s="14">
        <v>19472</v>
      </c>
      <c r="P2998" s="13">
        <v>559</v>
      </c>
      <c r="Q2998" s="13">
        <v>2000</v>
      </c>
      <c r="S2998" s="13">
        <v>2042</v>
      </c>
      <c r="U2998" s="13">
        <v>2042</v>
      </c>
      <c r="AC2998" s="16" t="str">
        <f t="shared" si="138"/>
        <v/>
      </c>
      <c r="AD2998" s="17">
        <f t="shared" si="139"/>
        <v>2042</v>
      </c>
      <c r="AE2998" s="17">
        <f t="shared" si="140"/>
        <v>0</v>
      </c>
      <c r="AF2998" s="10" t="s">
        <v>7212</v>
      </c>
      <c r="AG2998" s="5" t="s">
        <v>946</v>
      </c>
      <c r="AH2998" s="5" t="s">
        <v>7187</v>
      </c>
      <c r="AI2998" s="5" t="s">
        <v>7211</v>
      </c>
      <c r="AJ2998" s="5" t="s">
        <v>7210</v>
      </c>
    </row>
    <row r="2999" spans="1:36" ht="10" customHeight="1" x14ac:dyDescent="0.2">
      <c r="A2999" s="5" t="s">
        <v>7153</v>
      </c>
      <c r="B2999" s="5" t="s">
        <v>45</v>
      </c>
      <c r="D2999" s="5" t="s">
        <v>7213</v>
      </c>
      <c r="E2999" s="10" t="s">
        <v>57</v>
      </c>
      <c r="F2999" s="5" t="s">
        <v>7191</v>
      </c>
      <c r="I2999" s="11">
        <v>4</v>
      </c>
      <c r="K2999" s="12"/>
      <c r="O2999" s="14">
        <v>146274</v>
      </c>
      <c r="P2999" s="13">
        <v>30150</v>
      </c>
      <c r="Q2999" s="13">
        <v>24151</v>
      </c>
      <c r="S2999" s="13">
        <v>28336</v>
      </c>
      <c r="U2999" s="13">
        <v>28336</v>
      </c>
      <c r="AC2999" s="16" t="str">
        <f t="shared" si="138"/>
        <v/>
      </c>
      <c r="AD2999" s="17">
        <f t="shared" si="139"/>
        <v>28336</v>
      </c>
      <c r="AE2999" s="17">
        <f t="shared" si="140"/>
        <v>0</v>
      </c>
      <c r="AF2999" s="10" t="s">
        <v>7214</v>
      </c>
      <c r="AG2999" s="5" t="s">
        <v>1004</v>
      </c>
      <c r="AH2999" s="5" t="s">
        <v>7187</v>
      </c>
    </row>
    <row r="3000" spans="1:36" ht="10" customHeight="1" x14ac:dyDescent="0.2">
      <c r="A3000" s="5" t="s">
        <v>7153</v>
      </c>
      <c r="B3000" s="5" t="s">
        <v>45</v>
      </c>
      <c r="C3000" s="5" t="s">
        <v>7215</v>
      </c>
      <c r="D3000" s="5" t="s">
        <v>7216</v>
      </c>
      <c r="E3000" s="10" t="s">
        <v>57</v>
      </c>
      <c r="F3000" s="5" t="s">
        <v>7213</v>
      </c>
      <c r="I3000" s="11">
        <v>6</v>
      </c>
      <c r="K3000" s="12"/>
      <c r="O3000" s="14">
        <v>24347</v>
      </c>
      <c r="P3000" s="13">
        <v>8774</v>
      </c>
      <c r="Q3000" s="13">
        <v>8786</v>
      </c>
      <c r="S3000" s="13">
        <v>8769</v>
      </c>
      <c r="U3000" s="13">
        <v>8769</v>
      </c>
      <c r="AC3000" s="16" t="str">
        <f t="shared" si="138"/>
        <v/>
      </c>
      <c r="AD3000" s="17">
        <f t="shared" si="139"/>
        <v>8769</v>
      </c>
      <c r="AE3000" s="17">
        <f t="shared" si="140"/>
        <v>0</v>
      </c>
      <c r="AF3000" s="10" t="s">
        <v>7217</v>
      </c>
      <c r="AG3000" s="5" t="s">
        <v>1004</v>
      </c>
      <c r="AH3000" s="5" t="s">
        <v>7187</v>
      </c>
      <c r="AJ3000" s="5" t="s">
        <v>7215</v>
      </c>
    </row>
    <row r="3001" spans="1:36" ht="10" customHeight="1" x14ac:dyDescent="0.2">
      <c r="A3001" s="5" t="s">
        <v>7153</v>
      </c>
      <c r="B3001" s="5" t="s">
        <v>45</v>
      </c>
      <c r="C3001" s="5" t="s">
        <v>7218</v>
      </c>
      <c r="D3001" s="5" t="s">
        <v>7219</v>
      </c>
      <c r="E3001" s="10" t="s">
        <v>57</v>
      </c>
      <c r="F3001" s="5" t="s">
        <v>7213</v>
      </c>
      <c r="I3001" s="11">
        <v>4</v>
      </c>
      <c r="K3001" s="12"/>
      <c r="O3001" s="14">
        <v>3468</v>
      </c>
      <c r="P3001" s="13">
        <v>1299</v>
      </c>
      <c r="Q3001" s="13">
        <v>1027</v>
      </c>
      <c r="S3001" s="13">
        <v>1191</v>
      </c>
      <c r="U3001" s="13">
        <v>1191</v>
      </c>
      <c r="AC3001" s="16" t="str">
        <f t="shared" si="138"/>
        <v/>
      </c>
      <c r="AD3001" s="17">
        <f t="shared" si="139"/>
        <v>1191</v>
      </c>
      <c r="AE3001" s="17">
        <f t="shared" si="140"/>
        <v>0</v>
      </c>
      <c r="AF3001" s="10" t="s">
        <v>7220</v>
      </c>
      <c r="AG3001" s="5" t="s">
        <v>1004</v>
      </c>
      <c r="AH3001" s="5" t="s">
        <v>7187</v>
      </c>
      <c r="AJ3001" s="5" t="s">
        <v>7218</v>
      </c>
    </row>
    <row r="3002" spans="1:36" ht="10" customHeight="1" x14ac:dyDescent="0.2">
      <c r="A3002" s="5" t="s">
        <v>7153</v>
      </c>
      <c r="B3002" s="5" t="s">
        <v>45</v>
      </c>
      <c r="C3002" s="5" t="s">
        <v>7221</v>
      </c>
      <c r="D3002" s="5" t="s">
        <v>7222</v>
      </c>
      <c r="E3002" s="10" t="s">
        <v>57</v>
      </c>
      <c r="F3002" s="5" t="s">
        <v>7213</v>
      </c>
      <c r="I3002" s="11">
        <v>6</v>
      </c>
      <c r="K3002" s="12"/>
      <c r="O3002" s="14">
        <v>7522</v>
      </c>
      <c r="P3002" s="13">
        <v>1573</v>
      </c>
      <c r="Q3002" s="13">
        <v>1159</v>
      </c>
      <c r="S3002" s="13">
        <v>1449</v>
      </c>
      <c r="U3002" s="13">
        <v>1449</v>
      </c>
      <c r="AC3002" s="16" t="str">
        <f t="shared" si="138"/>
        <v/>
      </c>
      <c r="AD3002" s="17">
        <f t="shared" si="139"/>
        <v>1449</v>
      </c>
      <c r="AE3002" s="17">
        <f t="shared" si="140"/>
        <v>0</v>
      </c>
      <c r="AF3002" s="10" t="s">
        <v>7223</v>
      </c>
      <c r="AG3002" s="5" t="s">
        <v>1004</v>
      </c>
      <c r="AH3002" s="5" t="s">
        <v>7187</v>
      </c>
      <c r="AJ3002" s="5" t="s">
        <v>7221</v>
      </c>
    </row>
    <row r="3003" spans="1:36" ht="10" customHeight="1" x14ac:dyDescent="0.2">
      <c r="A3003" s="5" t="s">
        <v>7153</v>
      </c>
      <c r="B3003" s="5" t="s">
        <v>45</v>
      </c>
      <c r="C3003" s="5" t="s">
        <v>7224</v>
      </c>
      <c r="D3003" s="5" t="s">
        <v>7225</v>
      </c>
      <c r="E3003" s="10" t="s">
        <v>57</v>
      </c>
      <c r="F3003" s="5" t="s">
        <v>7213</v>
      </c>
      <c r="I3003" s="11">
        <v>4</v>
      </c>
      <c r="K3003" s="12"/>
      <c r="O3003" s="14">
        <v>20591</v>
      </c>
      <c r="P3003" s="13">
        <v>911</v>
      </c>
      <c r="Q3003" s="13">
        <v>840</v>
      </c>
      <c r="S3003" s="13">
        <v>817</v>
      </c>
      <c r="U3003" s="13">
        <v>817</v>
      </c>
      <c r="AC3003" s="16" t="str">
        <f t="shared" si="138"/>
        <v/>
      </c>
      <c r="AD3003" s="17">
        <f t="shared" si="139"/>
        <v>817</v>
      </c>
      <c r="AE3003" s="17">
        <f t="shared" si="140"/>
        <v>0</v>
      </c>
      <c r="AF3003" s="10" t="s">
        <v>7226</v>
      </c>
      <c r="AG3003" s="5" t="s">
        <v>1004</v>
      </c>
      <c r="AH3003" s="5" t="s">
        <v>7187</v>
      </c>
      <c r="AJ3003" s="5" t="s">
        <v>7224</v>
      </c>
    </row>
    <row r="3004" spans="1:36" ht="10" customHeight="1" x14ac:dyDescent="0.2">
      <c r="A3004" s="5" t="s">
        <v>7153</v>
      </c>
      <c r="B3004" s="5" t="s">
        <v>45</v>
      </c>
      <c r="C3004" s="5" t="s">
        <v>7227</v>
      </c>
      <c r="D3004" s="5" t="s">
        <v>7228</v>
      </c>
      <c r="E3004" s="10" t="s">
        <v>57</v>
      </c>
      <c r="F3004" s="5" t="s">
        <v>7213</v>
      </c>
      <c r="I3004" s="11">
        <v>6</v>
      </c>
      <c r="K3004" s="10" t="s">
        <v>50</v>
      </c>
      <c r="L3004" s="5" t="s">
        <v>51</v>
      </c>
      <c r="M3004" s="5" t="s">
        <v>149</v>
      </c>
      <c r="O3004" s="14">
        <v>64643</v>
      </c>
      <c r="P3004" s="13">
        <v>12426</v>
      </c>
      <c r="Q3004" s="13">
        <v>7095</v>
      </c>
      <c r="S3004" s="13">
        <v>11284</v>
      </c>
      <c r="U3004" s="13">
        <v>11284</v>
      </c>
      <c r="AC3004" s="16" t="str">
        <f t="shared" si="138"/>
        <v/>
      </c>
      <c r="AD3004" s="17">
        <f t="shared" si="139"/>
        <v>11284</v>
      </c>
      <c r="AE3004" s="17">
        <f t="shared" si="140"/>
        <v>0</v>
      </c>
      <c r="AF3004" s="10" t="s">
        <v>7229</v>
      </c>
      <c r="AG3004" s="5" t="s">
        <v>1004</v>
      </c>
      <c r="AH3004" s="5" t="s">
        <v>7187</v>
      </c>
      <c r="AJ3004" s="5" t="s">
        <v>7227</v>
      </c>
    </row>
    <row r="3005" spans="1:36" ht="10" customHeight="1" x14ac:dyDescent="0.2">
      <c r="A3005" s="5" t="s">
        <v>7153</v>
      </c>
      <c r="B3005" s="5" t="s">
        <v>45</v>
      </c>
      <c r="C3005" s="5" t="s">
        <v>7230</v>
      </c>
      <c r="D3005" s="5" t="s">
        <v>7231</v>
      </c>
      <c r="E3005" s="10" t="s">
        <v>57</v>
      </c>
      <c r="F3005" s="5" t="s">
        <v>7213</v>
      </c>
      <c r="I3005" s="11">
        <v>6</v>
      </c>
      <c r="K3005" s="12"/>
      <c r="O3005" s="14">
        <v>25703</v>
      </c>
      <c r="P3005" s="13">
        <v>5167</v>
      </c>
      <c r="Q3005" s="13">
        <v>5244</v>
      </c>
      <c r="S3005" s="13">
        <v>4826</v>
      </c>
      <c r="U3005" s="13">
        <v>4826</v>
      </c>
      <c r="AC3005" s="16" t="str">
        <f t="shared" si="138"/>
        <v/>
      </c>
      <c r="AD3005" s="17">
        <f t="shared" si="139"/>
        <v>4826</v>
      </c>
      <c r="AE3005" s="17">
        <f t="shared" si="140"/>
        <v>0</v>
      </c>
      <c r="AF3005" s="10" t="s">
        <v>7232</v>
      </c>
      <c r="AG3005" s="5" t="s">
        <v>1009</v>
      </c>
      <c r="AH3005" s="5" t="s">
        <v>7187</v>
      </c>
      <c r="AJ3005" s="5" t="s">
        <v>7230</v>
      </c>
    </row>
    <row r="3006" spans="1:36" ht="10" customHeight="1" x14ac:dyDescent="0.2">
      <c r="A3006" s="5" t="s">
        <v>7153</v>
      </c>
      <c r="B3006" s="5" t="s">
        <v>45</v>
      </c>
      <c r="D3006" s="5" t="s">
        <v>7233</v>
      </c>
      <c r="E3006" s="10" t="s">
        <v>57</v>
      </c>
      <c r="F3006" s="5" t="s">
        <v>7191</v>
      </c>
      <c r="I3006" s="11">
        <v>4</v>
      </c>
      <c r="K3006" s="10" t="s">
        <v>50</v>
      </c>
      <c r="L3006" s="5" t="s">
        <v>51</v>
      </c>
      <c r="M3006" s="5" t="s">
        <v>119</v>
      </c>
      <c r="O3006" s="14">
        <v>746742</v>
      </c>
      <c r="P3006" s="13">
        <v>106795</v>
      </c>
      <c r="Q3006" s="13">
        <v>123988</v>
      </c>
      <c r="S3006" s="13">
        <v>187988</v>
      </c>
      <c r="U3006" s="13">
        <v>187988</v>
      </c>
      <c r="AC3006" s="16" t="str">
        <f t="shared" si="138"/>
        <v/>
      </c>
      <c r="AD3006" s="17">
        <f t="shared" si="139"/>
        <v>187988</v>
      </c>
      <c r="AE3006" s="17">
        <f t="shared" si="140"/>
        <v>0</v>
      </c>
      <c r="AF3006" s="10" t="s">
        <v>7234</v>
      </c>
      <c r="AG3006" s="5" t="s">
        <v>1009</v>
      </c>
      <c r="AH3006" s="5" t="s">
        <v>7187</v>
      </c>
    </row>
    <row r="3007" spans="1:36" ht="10" customHeight="1" x14ac:dyDescent="0.2">
      <c r="A3007" s="5" t="s">
        <v>7153</v>
      </c>
      <c r="B3007" s="5" t="s">
        <v>45</v>
      </c>
      <c r="C3007" s="5" t="s">
        <v>7235</v>
      </c>
      <c r="D3007" s="5" t="s">
        <v>7236</v>
      </c>
      <c r="E3007" s="10" t="s">
        <v>57</v>
      </c>
      <c r="F3007" s="5" t="s">
        <v>7233</v>
      </c>
      <c r="I3007" s="11">
        <v>6</v>
      </c>
      <c r="K3007" s="10" t="s">
        <v>50</v>
      </c>
      <c r="L3007" s="5" t="s">
        <v>51</v>
      </c>
      <c r="M3007" s="5" t="s">
        <v>119</v>
      </c>
      <c r="O3007" s="14">
        <v>43929</v>
      </c>
      <c r="P3007" s="13">
        <v>7061</v>
      </c>
      <c r="Q3007" s="13">
        <v>10934</v>
      </c>
      <c r="S3007" s="13">
        <v>9023</v>
      </c>
      <c r="U3007" s="13">
        <v>9023</v>
      </c>
      <c r="AC3007" s="16" t="str">
        <f t="shared" si="138"/>
        <v/>
      </c>
      <c r="AD3007" s="17">
        <f t="shared" si="139"/>
        <v>9023</v>
      </c>
      <c r="AE3007" s="17">
        <f t="shared" si="140"/>
        <v>0</v>
      </c>
      <c r="AF3007" s="10" t="s">
        <v>7237</v>
      </c>
      <c r="AG3007" s="5" t="s">
        <v>1009</v>
      </c>
      <c r="AH3007" s="5" t="s">
        <v>7187</v>
      </c>
    </row>
    <row r="3008" spans="1:36" ht="10" customHeight="1" x14ac:dyDescent="0.2">
      <c r="A3008" s="5" t="s">
        <v>7153</v>
      </c>
      <c r="B3008" s="5" t="s">
        <v>45</v>
      </c>
      <c r="C3008" s="5" t="s">
        <v>7238</v>
      </c>
      <c r="D3008" s="5" t="s">
        <v>7239</v>
      </c>
      <c r="E3008" s="10" t="s">
        <v>57</v>
      </c>
      <c r="F3008" s="5" t="s">
        <v>7233</v>
      </c>
      <c r="I3008" s="11">
        <v>6</v>
      </c>
      <c r="K3008" s="12"/>
      <c r="O3008" s="14">
        <v>131396</v>
      </c>
      <c r="P3008" s="13">
        <v>3664</v>
      </c>
      <c r="Q3008" s="13">
        <v>15419</v>
      </c>
      <c r="S3008" s="13">
        <v>8294</v>
      </c>
      <c r="U3008" s="13">
        <v>8294</v>
      </c>
      <c r="AC3008" s="16" t="str">
        <f t="shared" si="138"/>
        <v/>
      </c>
      <c r="AD3008" s="17">
        <f t="shared" si="139"/>
        <v>8294</v>
      </c>
      <c r="AE3008" s="17">
        <f t="shared" si="140"/>
        <v>0</v>
      </c>
      <c r="AF3008" s="10" t="s">
        <v>7240</v>
      </c>
      <c r="AG3008" s="5" t="s">
        <v>1025</v>
      </c>
      <c r="AH3008" s="5" t="s">
        <v>7187</v>
      </c>
    </row>
    <row r="3009" spans="1:34" ht="10" customHeight="1" x14ac:dyDescent="0.2">
      <c r="A3009" s="5" t="s">
        <v>7153</v>
      </c>
      <c r="B3009" s="5" t="s">
        <v>45</v>
      </c>
      <c r="C3009" s="5" t="s">
        <v>7241</v>
      </c>
      <c r="D3009" s="5" t="s">
        <v>7242</v>
      </c>
      <c r="E3009" s="10" t="s">
        <v>57</v>
      </c>
      <c r="F3009" s="5" t="s">
        <v>7233</v>
      </c>
      <c r="I3009" s="11">
        <v>6</v>
      </c>
      <c r="K3009" s="12"/>
      <c r="O3009" s="14">
        <v>76909</v>
      </c>
      <c r="P3009" s="13">
        <v>3247</v>
      </c>
      <c r="Q3009" s="13">
        <v>4896</v>
      </c>
      <c r="S3009" s="13">
        <v>5032</v>
      </c>
      <c r="U3009" s="13">
        <v>5032</v>
      </c>
      <c r="AC3009" s="16" t="str">
        <f t="shared" si="138"/>
        <v/>
      </c>
      <c r="AD3009" s="17">
        <f t="shared" si="139"/>
        <v>5032</v>
      </c>
      <c r="AE3009" s="17">
        <f t="shared" si="140"/>
        <v>0</v>
      </c>
      <c r="AF3009" s="10" t="s">
        <v>7243</v>
      </c>
      <c r="AG3009" s="5" t="s">
        <v>1025</v>
      </c>
      <c r="AH3009" s="5" t="s">
        <v>7187</v>
      </c>
    </row>
    <row r="3010" spans="1:34" ht="10" customHeight="1" x14ac:dyDescent="0.2">
      <c r="A3010" s="5" t="s">
        <v>7153</v>
      </c>
      <c r="B3010" s="5" t="s">
        <v>45</v>
      </c>
      <c r="C3010" s="5" t="s">
        <v>7244</v>
      </c>
      <c r="D3010" s="5" t="s">
        <v>7245</v>
      </c>
      <c r="E3010" s="10" t="s">
        <v>57</v>
      </c>
      <c r="F3010" s="5" t="s">
        <v>7233</v>
      </c>
      <c r="I3010" s="11">
        <v>6</v>
      </c>
      <c r="K3010" s="12"/>
      <c r="O3010" s="12"/>
      <c r="S3010" s="13">
        <v>1450</v>
      </c>
      <c r="U3010" s="13">
        <v>1450</v>
      </c>
      <c r="AC3010" s="16" t="str">
        <f t="shared" si="138"/>
        <v/>
      </c>
      <c r="AD3010" s="17">
        <f t="shared" si="139"/>
        <v>1450</v>
      </c>
      <c r="AE3010" s="17">
        <f t="shared" si="140"/>
        <v>0</v>
      </c>
      <c r="AF3010" s="10" t="s">
        <v>7246</v>
      </c>
      <c r="AG3010" s="5" t="s">
        <v>1025</v>
      </c>
      <c r="AH3010" s="5" t="s">
        <v>7187</v>
      </c>
    </row>
    <row r="3011" spans="1:34" ht="10" customHeight="1" x14ac:dyDescent="0.2">
      <c r="A3011" s="5" t="s">
        <v>7153</v>
      </c>
      <c r="B3011" s="5" t="s">
        <v>45</v>
      </c>
      <c r="C3011" s="5" t="s">
        <v>7247</v>
      </c>
      <c r="D3011" s="5" t="s">
        <v>7248</v>
      </c>
      <c r="E3011" s="10" t="s">
        <v>57</v>
      </c>
      <c r="F3011" s="5" t="s">
        <v>7233</v>
      </c>
      <c r="I3011" s="11">
        <v>4</v>
      </c>
      <c r="K3011" s="10" t="s">
        <v>50</v>
      </c>
      <c r="L3011" s="5" t="s">
        <v>51</v>
      </c>
      <c r="M3011" s="5" t="s">
        <v>119</v>
      </c>
      <c r="N3011" s="5" t="s">
        <v>120</v>
      </c>
      <c r="O3011" s="14">
        <v>95851</v>
      </c>
      <c r="P3011" s="13">
        <v>6823</v>
      </c>
      <c r="Q3011" s="13">
        <v>6107</v>
      </c>
      <c r="S3011" s="13">
        <v>14217</v>
      </c>
      <c r="U3011" s="13">
        <v>14217</v>
      </c>
      <c r="AC3011" s="16" t="str">
        <f t="shared" si="138"/>
        <v/>
      </c>
      <c r="AD3011" s="17">
        <f t="shared" si="139"/>
        <v>14217</v>
      </c>
      <c r="AE3011" s="17">
        <f t="shared" si="140"/>
        <v>0</v>
      </c>
      <c r="AF3011" s="10" t="s">
        <v>7249</v>
      </c>
      <c r="AG3011" s="5" t="s">
        <v>1025</v>
      </c>
      <c r="AH3011" s="5" t="s">
        <v>7187</v>
      </c>
    </row>
    <row r="3012" spans="1:34" ht="10" customHeight="1" x14ac:dyDescent="0.2">
      <c r="A3012" s="5" t="s">
        <v>7153</v>
      </c>
      <c r="B3012" s="5" t="s">
        <v>45</v>
      </c>
      <c r="C3012" s="5" t="s">
        <v>7250</v>
      </c>
      <c r="D3012" s="5" t="s">
        <v>7251</v>
      </c>
      <c r="E3012" s="10" t="s">
        <v>57</v>
      </c>
      <c r="F3012" s="5" t="s">
        <v>7233</v>
      </c>
      <c r="I3012" s="11">
        <v>4</v>
      </c>
      <c r="K3012" s="10" t="s">
        <v>50</v>
      </c>
      <c r="L3012" s="5" t="s">
        <v>51</v>
      </c>
      <c r="M3012" s="5" t="s">
        <v>119</v>
      </c>
      <c r="N3012" s="5" t="s">
        <v>120</v>
      </c>
      <c r="O3012" s="14">
        <v>93833</v>
      </c>
      <c r="P3012" s="13">
        <v>21200</v>
      </c>
      <c r="Q3012" s="13">
        <v>21524</v>
      </c>
      <c r="S3012" s="13">
        <v>96370</v>
      </c>
      <c r="U3012" s="13">
        <v>96370</v>
      </c>
      <c r="AC3012" s="16" t="str">
        <f t="shared" si="138"/>
        <v/>
      </c>
      <c r="AD3012" s="17">
        <f t="shared" si="139"/>
        <v>96370</v>
      </c>
      <c r="AE3012" s="17">
        <f t="shared" si="140"/>
        <v>0</v>
      </c>
      <c r="AF3012" s="10" t="s">
        <v>7252</v>
      </c>
      <c r="AG3012" s="5" t="s">
        <v>1025</v>
      </c>
      <c r="AH3012" s="5" t="s">
        <v>7187</v>
      </c>
    </row>
    <row r="3013" spans="1:34" ht="10" customHeight="1" x14ac:dyDescent="0.2">
      <c r="A3013" s="5" t="s">
        <v>7153</v>
      </c>
      <c r="B3013" s="5" t="s">
        <v>45</v>
      </c>
      <c r="C3013" s="5" t="s">
        <v>7253</v>
      </c>
      <c r="D3013" s="5" t="s">
        <v>7254</v>
      </c>
      <c r="E3013" s="10" t="s">
        <v>57</v>
      </c>
      <c r="F3013" s="5" t="s">
        <v>7233</v>
      </c>
      <c r="I3013" s="11">
        <v>4</v>
      </c>
      <c r="K3013" s="10" t="s">
        <v>50</v>
      </c>
      <c r="L3013" s="5" t="s">
        <v>51</v>
      </c>
      <c r="M3013" s="5" t="s">
        <v>119</v>
      </c>
      <c r="N3013" s="5" t="s">
        <v>120</v>
      </c>
      <c r="O3013" s="14">
        <v>147388</v>
      </c>
      <c r="P3013" s="13">
        <v>56484</v>
      </c>
      <c r="Q3013" s="13">
        <v>25771</v>
      </c>
      <c r="S3013" s="13">
        <v>8020</v>
      </c>
      <c r="U3013" s="13">
        <v>8020</v>
      </c>
      <c r="AC3013" s="16" t="str">
        <f t="shared" si="138"/>
        <v/>
      </c>
      <c r="AD3013" s="17">
        <f t="shared" si="139"/>
        <v>8020</v>
      </c>
      <c r="AE3013" s="17">
        <f t="shared" si="140"/>
        <v>0</v>
      </c>
      <c r="AF3013" s="10" t="s">
        <v>7255</v>
      </c>
      <c r="AG3013" s="5" t="s">
        <v>1025</v>
      </c>
      <c r="AH3013" s="5" t="s">
        <v>7187</v>
      </c>
    </row>
    <row r="3014" spans="1:34" ht="10" customHeight="1" x14ac:dyDescent="0.2">
      <c r="A3014" s="5" t="s">
        <v>7153</v>
      </c>
      <c r="B3014" s="5" t="s">
        <v>45</v>
      </c>
      <c r="C3014" s="5" t="s">
        <v>7256</v>
      </c>
      <c r="D3014" s="5" t="s">
        <v>7257</v>
      </c>
      <c r="E3014" s="10" t="s">
        <v>57</v>
      </c>
      <c r="F3014" s="5" t="s">
        <v>7233</v>
      </c>
      <c r="I3014" s="11">
        <v>4</v>
      </c>
      <c r="K3014" s="10" t="s">
        <v>50</v>
      </c>
      <c r="L3014" s="5" t="s">
        <v>51</v>
      </c>
      <c r="M3014" s="5" t="s">
        <v>119</v>
      </c>
      <c r="O3014" s="12"/>
      <c r="S3014" s="13">
        <v>8500</v>
      </c>
      <c r="U3014" s="13">
        <v>8500</v>
      </c>
      <c r="AC3014" s="16" t="str">
        <f t="shared" ref="AC3014:AC3077" si="141">IF(OR(E3014="",E3014="[PARENT]"),"ADD",IF(E3014="[ALT_VIEW]","ALT",""))</f>
        <v/>
      </c>
      <c r="AD3014" s="17">
        <f t="shared" ref="AD3014:AD3077" si="142">IF(Y3014&lt;&gt;"",Y3014,IF(U3014&lt;&gt;"",U3014,S3014))</f>
        <v>8500</v>
      </c>
      <c r="AE3014" s="17">
        <f t="shared" ref="AE3014:AE3077" si="143">IF(AB3014&lt;&gt;"",AB3014,Z3014)</f>
        <v>0</v>
      </c>
      <c r="AF3014" s="10" t="s">
        <v>7258</v>
      </c>
      <c r="AG3014" s="5" t="s">
        <v>1025</v>
      </c>
      <c r="AH3014" s="5" t="s">
        <v>7187</v>
      </c>
    </row>
    <row r="3015" spans="1:34" ht="10" customHeight="1" x14ac:dyDescent="0.2">
      <c r="A3015" s="5" t="s">
        <v>7153</v>
      </c>
      <c r="B3015" s="5" t="s">
        <v>45</v>
      </c>
      <c r="C3015" s="5" t="s">
        <v>7259</v>
      </c>
      <c r="D3015" s="5" t="s">
        <v>7260</v>
      </c>
      <c r="E3015" s="10" t="s">
        <v>57</v>
      </c>
      <c r="F3015" s="5" t="s">
        <v>7233</v>
      </c>
      <c r="I3015" s="11">
        <v>2</v>
      </c>
      <c r="K3015" s="10" t="s">
        <v>50</v>
      </c>
      <c r="L3015" s="5" t="s">
        <v>51</v>
      </c>
      <c r="M3015" s="5" t="s">
        <v>119</v>
      </c>
      <c r="O3015" s="12"/>
      <c r="S3015" s="13">
        <v>19996</v>
      </c>
      <c r="U3015" s="13">
        <v>19996</v>
      </c>
      <c r="AC3015" s="16" t="str">
        <f t="shared" si="141"/>
        <v/>
      </c>
      <c r="AD3015" s="17">
        <f t="shared" si="142"/>
        <v>19996</v>
      </c>
      <c r="AE3015" s="17">
        <f t="shared" si="143"/>
        <v>0</v>
      </c>
      <c r="AF3015" s="10" t="s">
        <v>7261</v>
      </c>
      <c r="AG3015" s="5" t="s">
        <v>1025</v>
      </c>
      <c r="AH3015" s="5" t="s">
        <v>7187</v>
      </c>
    </row>
    <row r="3016" spans="1:34" ht="10" customHeight="1" x14ac:dyDescent="0.2">
      <c r="A3016" s="5" t="s">
        <v>7153</v>
      </c>
      <c r="B3016" s="5" t="s">
        <v>45</v>
      </c>
      <c r="C3016" s="5" t="s">
        <v>7262</v>
      </c>
      <c r="D3016" s="5" t="s">
        <v>7263</v>
      </c>
      <c r="E3016" s="10" t="s">
        <v>57</v>
      </c>
      <c r="F3016" s="5" t="s">
        <v>7233</v>
      </c>
      <c r="I3016" s="11">
        <v>4</v>
      </c>
      <c r="K3016" s="10" t="s">
        <v>50</v>
      </c>
      <c r="L3016" s="5" t="s">
        <v>51</v>
      </c>
      <c r="M3016" s="5" t="s">
        <v>119</v>
      </c>
      <c r="O3016" s="14">
        <v>75263</v>
      </c>
      <c r="P3016" s="13">
        <v>8316</v>
      </c>
      <c r="Q3016" s="13">
        <v>14578</v>
      </c>
      <c r="S3016" s="13">
        <v>17086</v>
      </c>
      <c r="U3016" s="13">
        <v>17086</v>
      </c>
      <c r="AC3016" s="16" t="str">
        <f t="shared" si="141"/>
        <v/>
      </c>
      <c r="AD3016" s="17">
        <f t="shared" si="142"/>
        <v>17086</v>
      </c>
      <c r="AE3016" s="17">
        <f t="shared" si="143"/>
        <v>0</v>
      </c>
      <c r="AF3016" s="10" t="s">
        <v>7264</v>
      </c>
      <c r="AG3016" s="5" t="s">
        <v>1025</v>
      </c>
      <c r="AH3016" s="5" t="s">
        <v>7187</v>
      </c>
    </row>
    <row r="3017" spans="1:34" ht="10" customHeight="1" x14ac:dyDescent="0.2">
      <c r="A3017" s="5" t="s">
        <v>7153</v>
      </c>
      <c r="B3017" s="5" t="s">
        <v>45</v>
      </c>
      <c r="D3017" s="5" t="s">
        <v>7265</v>
      </c>
      <c r="E3017" s="10" t="s">
        <v>57</v>
      </c>
      <c r="F3017" s="5" t="s">
        <v>7191</v>
      </c>
      <c r="I3017" s="11">
        <v>4</v>
      </c>
      <c r="K3017" s="10" t="s">
        <v>50</v>
      </c>
      <c r="L3017" s="5" t="s">
        <v>51</v>
      </c>
      <c r="M3017" s="5" t="s">
        <v>119</v>
      </c>
      <c r="O3017" s="14">
        <v>0</v>
      </c>
      <c r="P3017" s="13">
        <v>20134</v>
      </c>
      <c r="Q3017" s="13">
        <v>24134</v>
      </c>
      <c r="S3017" s="13">
        <v>27333</v>
      </c>
      <c r="U3017" s="13">
        <v>27333</v>
      </c>
      <c r="AC3017" s="16" t="str">
        <f t="shared" si="141"/>
        <v/>
      </c>
      <c r="AD3017" s="17">
        <f t="shared" si="142"/>
        <v>27333</v>
      </c>
      <c r="AE3017" s="17">
        <f t="shared" si="143"/>
        <v>0</v>
      </c>
      <c r="AF3017" s="10" t="s">
        <v>7266</v>
      </c>
      <c r="AG3017" s="5" t="s">
        <v>1093</v>
      </c>
      <c r="AH3017" s="5" t="s">
        <v>7187</v>
      </c>
    </row>
    <row r="3018" spans="1:34" ht="10" customHeight="1" x14ac:dyDescent="0.2">
      <c r="A3018" s="5" t="s">
        <v>7153</v>
      </c>
      <c r="B3018" s="5" t="s">
        <v>45</v>
      </c>
      <c r="D3018" s="5" t="s">
        <v>7267</v>
      </c>
      <c r="E3018" s="10" t="s">
        <v>57</v>
      </c>
      <c r="F3018" s="5" t="s">
        <v>7191</v>
      </c>
      <c r="I3018" s="11">
        <v>4</v>
      </c>
      <c r="K3018" s="10" t="s">
        <v>50</v>
      </c>
      <c r="L3018" s="5" t="s">
        <v>51</v>
      </c>
      <c r="M3018" s="5" t="s">
        <v>119</v>
      </c>
      <c r="N3018" s="5" t="s">
        <v>120</v>
      </c>
      <c r="O3018" s="14">
        <v>40477</v>
      </c>
      <c r="P3018" s="13">
        <v>184</v>
      </c>
      <c r="Q3018" s="13">
        <v>235</v>
      </c>
      <c r="S3018" s="13">
        <v>223</v>
      </c>
      <c r="U3018" s="13">
        <v>223</v>
      </c>
      <c r="AC3018" s="16" t="str">
        <f t="shared" si="141"/>
        <v/>
      </c>
      <c r="AD3018" s="17">
        <f t="shared" si="142"/>
        <v>223</v>
      </c>
      <c r="AE3018" s="17">
        <f t="shared" si="143"/>
        <v>0</v>
      </c>
      <c r="AF3018" s="10" t="s">
        <v>7268</v>
      </c>
      <c r="AG3018" s="5" t="s">
        <v>1096</v>
      </c>
      <c r="AH3018" s="5" t="s">
        <v>7187</v>
      </c>
    </row>
    <row r="3019" spans="1:34" ht="10" customHeight="1" x14ac:dyDescent="0.2">
      <c r="A3019" s="5" t="s">
        <v>7153</v>
      </c>
      <c r="B3019" s="5" t="s">
        <v>45</v>
      </c>
      <c r="D3019" s="5" t="s">
        <v>7269</v>
      </c>
      <c r="E3019" s="10" t="s">
        <v>57</v>
      </c>
      <c r="F3019" s="5" t="s">
        <v>7270</v>
      </c>
      <c r="I3019" s="11">
        <v>6</v>
      </c>
      <c r="K3019" s="10" t="s">
        <v>50</v>
      </c>
      <c r="L3019" s="5" t="s">
        <v>51</v>
      </c>
      <c r="M3019" s="5" t="s">
        <v>119</v>
      </c>
      <c r="N3019" s="5" t="s">
        <v>120</v>
      </c>
      <c r="O3019" s="14">
        <v>6243</v>
      </c>
      <c r="P3019" s="13">
        <v>184</v>
      </c>
      <c r="Q3019" s="13">
        <v>235</v>
      </c>
      <c r="S3019" s="13">
        <v>223</v>
      </c>
      <c r="U3019" s="13">
        <v>223</v>
      </c>
      <c r="AC3019" s="16" t="str">
        <f t="shared" si="141"/>
        <v/>
      </c>
      <c r="AD3019" s="17">
        <f t="shared" si="142"/>
        <v>223</v>
      </c>
      <c r="AE3019" s="17">
        <f t="shared" si="143"/>
        <v>0</v>
      </c>
      <c r="AF3019" s="10" t="s">
        <v>7271</v>
      </c>
      <c r="AG3019" s="5" t="s">
        <v>1096</v>
      </c>
      <c r="AH3019" s="5" t="s">
        <v>7187</v>
      </c>
    </row>
    <row r="3020" spans="1:34" ht="10" customHeight="1" x14ac:dyDescent="0.2">
      <c r="A3020" s="5" t="s">
        <v>7153</v>
      </c>
      <c r="B3020" s="5" t="s">
        <v>45</v>
      </c>
      <c r="D3020" s="5" t="s">
        <v>7272</v>
      </c>
      <c r="E3020" s="10" t="s">
        <v>57</v>
      </c>
      <c r="F3020" s="5" t="s">
        <v>7191</v>
      </c>
      <c r="I3020" s="11">
        <v>4</v>
      </c>
      <c r="K3020" s="10" t="s">
        <v>50</v>
      </c>
      <c r="L3020" s="5" t="s">
        <v>51</v>
      </c>
      <c r="M3020" s="5" t="s">
        <v>119</v>
      </c>
      <c r="O3020" s="14">
        <v>6151</v>
      </c>
      <c r="P3020" s="13">
        <v>762</v>
      </c>
      <c r="Q3020" s="13">
        <v>1209</v>
      </c>
      <c r="S3020" s="13">
        <v>1568</v>
      </c>
      <c r="U3020" s="13">
        <v>1568</v>
      </c>
      <c r="AC3020" s="16" t="str">
        <f t="shared" si="141"/>
        <v/>
      </c>
      <c r="AD3020" s="17">
        <f t="shared" si="142"/>
        <v>1568</v>
      </c>
      <c r="AE3020" s="17">
        <f t="shared" si="143"/>
        <v>0</v>
      </c>
      <c r="AF3020" s="10" t="s">
        <v>7273</v>
      </c>
      <c r="AG3020" s="5" t="s">
        <v>1157</v>
      </c>
      <c r="AH3020" s="5" t="s">
        <v>7187</v>
      </c>
    </row>
    <row r="3021" spans="1:34" ht="10" customHeight="1" x14ac:dyDescent="0.2">
      <c r="A3021" s="5" t="s">
        <v>7153</v>
      </c>
      <c r="B3021" s="5" t="s">
        <v>45</v>
      </c>
      <c r="D3021" s="5" t="s">
        <v>7274</v>
      </c>
      <c r="E3021" s="10" t="s">
        <v>57</v>
      </c>
      <c r="F3021" s="5" t="s">
        <v>7272</v>
      </c>
      <c r="I3021" s="11">
        <v>4</v>
      </c>
      <c r="K3021" s="10" t="s">
        <v>50</v>
      </c>
      <c r="L3021" s="5" t="s">
        <v>51</v>
      </c>
      <c r="M3021" s="5" t="s">
        <v>119</v>
      </c>
      <c r="O3021" s="14">
        <v>4009</v>
      </c>
      <c r="P3021" s="13">
        <v>484</v>
      </c>
      <c r="Q3021" s="13">
        <v>967</v>
      </c>
      <c r="S3021" s="13">
        <v>1333</v>
      </c>
      <c r="U3021" s="13">
        <v>1333</v>
      </c>
      <c r="AC3021" s="16" t="str">
        <f t="shared" si="141"/>
        <v/>
      </c>
      <c r="AD3021" s="17">
        <f t="shared" si="142"/>
        <v>1333</v>
      </c>
      <c r="AE3021" s="17">
        <f t="shared" si="143"/>
        <v>0</v>
      </c>
      <c r="AF3021" s="10" t="s">
        <v>7275</v>
      </c>
      <c r="AG3021" s="5" t="s">
        <v>1157</v>
      </c>
      <c r="AH3021" s="5" t="s">
        <v>7187</v>
      </c>
    </row>
    <row r="3022" spans="1:34" ht="10" customHeight="1" x14ac:dyDescent="0.2">
      <c r="A3022" s="5" t="s">
        <v>7153</v>
      </c>
      <c r="B3022" s="5" t="s">
        <v>45</v>
      </c>
      <c r="D3022" s="5" t="s">
        <v>7276</v>
      </c>
      <c r="E3022" s="10" t="s">
        <v>57</v>
      </c>
      <c r="F3022" s="5" t="s">
        <v>7272</v>
      </c>
      <c r="I3022" s="11">
        <v>6</v>
      </c>
      <c r="K3022" s="12"/>
      <c r="O3022" s="14">
        <v>1635</v>
      </c>
      <c r="P3022" s="13">
        <v>219</v>
      </c>
      <c r="Q3022" s="13">
        <v>179</v>
      </c>
      <c r="S3022" s="13">
        <v>171</v>
      </c>
      <c r="U3022" s="13">
        <v>171</v>
      </c>
      <c r="AC3022" s="16" t="str">
        <f t="shared" si="141"/>
        <v/>
      </c>
      <c r="AD3022" s="17">
        <f t="shared" si="142"/>
        <v>171</v>
      </c>
      <c r="AE3022" s="17">
        <f t="shared" si="143"/>
        <v>0</v>
      </c>
      <c r="AF3022" s="10" t="s">
        <v>7277</v>
      </c>
      <c r="AG3022" s="5" t="s">
        <v>1157</v>
      </c>
      <c r="AH3022" s="5" t="s">
        <v>7187</v>
      </c>
    </row>
    <row r="3023" spans="1:34" ht="10" customHeight="1" x14ac:dyDescent="0.2">
      <c r="A3023" s="5" t="s">
        <v>7153</v>
      </c>
      <c r="B3023" s="5" t="s">
        <v>45</v>
      </c>
      <c r="D3023" s="5" t="s">
        <v>7278</v>
      </c>
      <c r="E3023" s="10" t="s">
        <v>57</v>
      </c>
      <c r="F3023" s="5" t="s">
        <v>7272</v>
      </c>
      <c r="I3023" s="11">
        <v>4</v>
      </c>
      <c r="K3023" s="12"/>
      <c r="O3023" s="14">
        <v>507</v>
      </c>
      <c r="P3023" s="13">
        <v>59</v>
      </c>
      <c r="Q3023" s="13">
        <v>63</v>
      </c>
      <c r="S3023" s="13">
        <v>64</v>
      </c>
      <c r="U3023" s="13">
        <v>64</v>
      </c>
      <c r="AC3023" s="16" t="str">
        <f t="shared" si="141"/>
        <v/>
      </c>
      <c r="AD3023" s="17">
        <f t="shared" si="142"/>
        <v>64</v>
      </c>
      <c r="AE3023" s="17">
        <f t="shared" si="143"/>
        <v>0</v>
      </c>
      <c r="AF3023" s="10" t="s">
        <v>7279</v>
      </c>
      <c r="AG3023" s="5" t="s">
        <v>1157</v>
      </c>
      <c r="AH3023" s="5" t="s">
        <v>7187</v>
      </c>
    </row>
    <row r="3024" spans="1:34" ht="10" customHeight="1" x14ac:dyDescent="0.2">
      <c r="A3024" s="5" t="s">
        <v>7153</v>
      </c>
      <c r="B3024" s="5" t="s">
        <v>45</v>
      </c>
      <c r="D3024" s="5" t="s">
        <v>7280</v>
      </c>
      <c r="E3024" s="10" t="s">
        <v>57</v>
      </c>
      <c r="F3024" s="5" t="s">
        <v>7191</v>
      </c>
      <c r="I3024" s="11">
        <v>4</v>
      </c>
      <c r="K3024" s="10" t="s">
        <v>50</v>
      </c>
      <c r="L3024" s="5" t="s">
        <v>51</v>
      </c>
      <c r="M3024" s="5" t="s">
        <v>119</v>
      </c>
      <c r="N3024" s="5" t="s">
        <v>139</v>
      </c>
      <c r="O3024" s="14">
        <v>40936</v>
      </c>
      <c r="P3024" s="13">
        <v>11955</v>
      </c>
      <c r="Q3024" s="13">
        <v>7476</v>
      </c>
      <c r="S3024" s="13">
        <v>22415</v>
      </c>
      <c r="U3024" s="13">
        <v>22415</v>
      </c>
      <c r="AC3024" s="16" t="str">
        <f t="shared" si="141"/>
        <v/>
      </c>
      <c r="AD3024" s="17">
        <f t="shared" si="142"/>
        <v>22415</v>
      </c>
      <c r="AE3024" s="17">
        <f t="shared" si="143"/>
        <v>0</v>
      </c>
      <c r="AF3024" s="10" t="s">
        <v>7281</v>
      </c>
      <c r="AG3024" s="5" t="s">
        <v>1238</v>
      </c>
      <c r="AH3024" s="5" t="s">
        <v>7187</v>
      </c>
    </row>
    <row r="3025" spans="1:36" ht="10" customHeight="1" x14ac:dyDescent="0.2">
      <c r="A3025" s="5" t="s">
        <v>7153</v>
      </c>
      <c r="B3025" s="5" t="s">
        <v>45</v>
      </c>
      <c r="D3025" s="5" t="s">
        <v>7282</v>
      </c>
      <c r="E3025" s="10" t="s">
        <v>57</v>
      </c>
      <c r="F3025" s="5" t="s">
        <v>7280</v>
      </c>
      <c r="I3025" s="11">
        <v>4</v>
      </c>
      <c r="K3025" s="10" t="s">
        <v>50</v>
      </c>
      <c r="L3025" s="5" t="s">
        <v>51</v>
      </c>
      <c r="M3025" s="5" t="s">
        <v>119</v>
      </c>
      <c r="N3025" s="5" t="s">
        <v>139</v>
      </c>
      <c r="O3025" s="14">
        <v>13186</v>
      </c>
      <c r="AC3025" s="16" t="str">
        <f t="shared" si="141"/>
        <v/>
      </c>
      <c r="AD3025" s="17">
        <f t="shared" si="142"/>
        <v>0</v>
      </c>
      <c r="AE3025" s="17">
        <f t="shared" si="143"/>
        <v>0</v>
      </c>
      <c r="AF3025" s="10" t="s">
        <v>7283</v>
      </c>
      <c r="AG3025" s="5" t="s">
        <v>1238</v>
      </c>
      <c r="AH3025" s="5" t="s">
        <v>7187</v>
      </c>
    </row>
    <row r="3026" spans="1:36" ht="10" customHeight="1" x14ac:dyDescent="0.2">
      <c r="A3026" s="5" t="s">
        <v>7153</v>
      </c>
      <c r="B3026" s="5" t="s">
        <v>45</v>
      </c>
      <c r="D3026" s="5" t="s">
        <v>7284</v>
      </c>
      <c r="E3026" s="10" t="s">
        <v>57</v>
      </c>
      <c r="F3026" s="5" t="s">
        <v>7280</v>
      </c>
      <c r="I3026" s="11">
        <v>4</v>
      </c>
      <c r="K3026" s="10" t="s">
        <v>50</v>
      </c>
      <c r="L3026" s="5" t="s">
        <v>51</v>
      </c>
      <c r="M3026" s="5" t="s">
        <v>119</v>
      </c>
      <c r="N3026" s="5" t="s">
        <v>139</v>
      </c>
      <c r="O3026" s="14">
        <v>24576</v>
      </c>
      <c r="P3026" s="13">
        <v>11955</v>
      </c>
      <c r="Q3026" s="13">
        <v>7476</v>
      </c>
      <c r="S3026" s="13">
        <v>18415</v>
      </c>
      <c r="U3026" s="13">
        <v>18415</v>
      </c>
      <c r="AC3026" s="16" t="str">
        <f t="shared" si="141"/>
        <v/>
      </c>
      <c r="AD3026" s="17">
        <f t="shared" si="142"/>
        <v>18415</v>
      </c>
      <c r="AE3026" s="17">
        <f t="shared" si="143"/>
        <v>0</v>
      </c>
      <c r="AF3026" s="10" t="s">
        <v>7285</v>
      </c>
      <c r="AG3026" s="5" t="s">
        <v>1243</v>
      </c>
      <c r="AH3026" s="5" t="s">
        <v>7187</v>
      </c>
    </row>
    <row r="3027" spans="1:36" ht="10" customHeight="1" x14ac:dyDescent="0.2">
      <c r="A3027" s="5" t="s">
        <v>7153</v>
      </c>
      <c r="B3027" s="5" t="s">
        <v>45</v>
      </c>
      <c r="D3027" s="5" t="s">
        <v>7286</v>
      </c>
      <c r="E3027" s="10" t="s">
        <v>57</v>
      </c>
      <c r="F3027" s="5" t="s">
        <v>7191</v>
      </c>
      <c r="I3027" s="11">
        <v>4</v>
      </c>
      <c r="K3027" s="10" t="s">
        <v>50</v>
      </c>
      <c r="L3027" s="5" t="s">
        <v>51</v>
      </c>
      <c r="M3027" s="5" t="s">
        <v>52</v>
      </c>
      <c r="O3027" s="14">
        <v>0</v>
      </c>
      <c r="P3027" s="13">
        <v>154</v>
      </c>
      <c r="Q3027" s="13">
        <v>151</v>
      </c>
      <c r="S3027" s="13">
        <v>130</v>
      </c>
      <c r="U3027" s="13">
        <v>130</v>
      </c>
      <c r="AC3027" s="16" t="str">
        <f t="shared" si="141"/>
        <v/>
      </c>
      <c r="AD3027" s="17">
        <f t="shared" si="142"/>
        <v>130</v>
      </c>
      <c r="AE3027" s="17">
        <f t="shared" si="143"/>
        <v>0</v>
      </c>
      <c r="AF3027" s="10" t="s">
        <v>7287</v>
      </c>
      <c r="AG3027" s="5" t="s">
        <v>1252</v>
      </c>
      <c r="AH3027" s="5" t="s">
        <v>7187</v>
      </c>
    </row>
    <row r="3028" spans="1:36" ht="10" customHeight="1" x14ac:dyDescent="0.2">
      <c r="A3028" s="5" t="s">
        <v>7153</v>
      </c>
      <c r="B3028" s="5" t="s">
        <v>45</v>
      </c>
      <c r="D3028" s="5" t="s">
        <v>7288</v>
      </c>
      <c r="E3028" s="10" t="s">
        <v>57</v>
      </c>
      <c r="F3028" s="5" t="s">
        <v>7191</v>
      </c>
      <c r="I3028" s="11">
        <v>4</v>
      </c>
      <c r="K3028" s="12"/>
      <c r="O3028" s="14">
        <v>70866</v>
      </c>
      <c r="P3028" s="13">
        <v>16477</v>
      </c>
      <c r="Q3028" s="13">
        <v>14840</v>
      </c>
      <c r="S3028" s="13">
        <v>15743</v>
      </c>
      <c r="U3028" s="13">
        <v>15743</v>
      </c>
      <c r="AC3028" s="16" t="str">
        <f t="shared" si="141"/>
        <v/>
      </c>
      <c r="AD3028" s="17">
        <f t="shared" si="142"/>
        <v>15743</v>
      </c>
      <c r="AE3028" s="17">
        <f t="shared" si="143"/>
        <v>0</v>
      </c>
      <c r="AF3028" s="10" t="s">
        <v>7289</v>
      </c>
      <c r="AG3028" s="5" t="s">
        <v>1263</v>
      </c>
      <c r="AH3028" s="5" t="s">
        <v>7187</v>
      </c>
      <c r="AJ3028" s="5" t="s">
        <v>7190</v>
      </c>
    </row>
    <row r="3029" spans="1:36" ht="10" customHeight="1" x14ac:dyDescent="0.2">
      <c r="A3029" s="5" t="s">
        <v>7153</v>
      </c>
      <c r="B3029" s="5" t="s">
        <v>45</v>
      </c>
      <c r="D3029" s="5" t="s">
        <v>7290</v>
      </c>
      <c r="E3029" s="10" t="s">
        <v>57</v>
      </c>
      <c r="F3029" s="5" t="s">
        <v>7291</v>
      </c>
      <c r="I3029" s="11">
        <v>4</v>
      </c>
      <c r="K3029" s="12"/>
      <c r="O3029" s="14">
        <v>1034</v>
      </c>
      <c r="Q3029" s="13">
        <v>218</v>
      </c>
      <c r="S3029" s="13">
        <v>225</v>
      </c>
      <c r="U3029" s="13">
        <v>225</v>
      </c>
      <c r="AC3029" s="16" t="str">
        <f t="shared" si="141"/>
        <v/>
      </c>
      <c r="AD3029" s="17">
        <f t="shared" si="142"/>
        <v>225</v>
      </c>
      <c r="AE3029" s="17">
        <f t="shared" si="143"/>
        <v>0</v>
      </c>
      <c r="AF3029" s="10" t="s">
        <v>7292</v>
      </c>
      <c r="AG3029" s="5" t="s">
        <v>1277</v>
      </c>
      <c r="AH3029" s="5" t="s">
        <v>7187</v>
      </c>
      <c r="AJ3029" s="5" t="s">
        <v>7293</v>
      </c>
    </row>
    <row r="3030" spans="1:36" ht="10" customHeight="1" x14ac:dyDescent="0.2">
      <c r="A3030" s="5" t="s">
        <v>7153</v>
      </c>
      <c r="B3030" s="5" t="s">
        <v>45</v>
      </c>
      <c r="D3030" s="5" t="s">
        <v>7294</v>
      </c>
      <c r="E3030" s="10" t="s">
        <v>57</v>
      </c>
      <c r="F3030" s="5" t="s">
        <v>7291</v>
      </c>
      <c r="I3030" s="11">
        <v>4</v>
      </c>
      <c r="K3030" s="12"/>
      <c r="O3030" s="12"/>
      <c r="P3030" s="13">
        <v>1134</v>
      </c>
      <c r="Q3030" s="13">
        <v>302</v>
      </c>
      <c r="S3030" s="13">
        <v>256</v>
      </c>
      <c r="U3030" s="13">
        <v>256</v>
      </c>
      <c r="AC3030" s="16" t="str">
        <f t="shared" si="141"/>
        <v/>
      </c>
      <c r="AD3030" s="17">
        <f t="shared" si="142"/>
        <v>256</v>
      </c>
      <c r="AE3030" s="17">
        <f t="shared" si="143"/>
        <v>0</v>
      </c>
      <c r="AF3030" s="10" t="s">
        <v>7295</v>
      </c>
      <c r="AG3030" s="5" t="s">
        <v>1277</v>
      </c>
      <c r="AH3030" s="5" t="s">
        <v>7187</v>
      </c>
      <c r="AJ3030" s="5" t="s">
        <v>7296</v>
      </c>
    </row>
    <row r="3031" spans="1:36" ht="10" customHeight="1" x14ac:dyDescent="0.2">
      <c r="A3031" s="5" t="s">
        <v>7153</v>
      </c>
      <c r="B3031" s="5" t="s">
        <v>45</v>
      </c>
      <c r="D3031" s="5" t="s">
        <v>7297</v>
      </c>
      <c r="E3031" s="10" t="s">
        <v>57</v>
      </c>
      <c r="F3031" s="5" t="s">
        <v>7291</v>
      </c>
      <c r="I3031" s="11">
        <v>4</v>
      </c>
      <c r="K3031" s="12"/>
      <c r="O3031" s="14">
        <v>9114</v>
      </c>
      <c r="P3031" s="13">
        <v>9250</v>
      </c>
      <c r="Q3031" s="13">
        <v>10703</v>
      </c>
      <c r="S3031" s="13">
        <v>11326</v>
      </c>
      <c r="U3031" s="13">
        <v>11326</v>
      </c>
      <c r="AC3031" s="16" t="str">
        <f t="shared" si="141"/>
        <v/>
      </c>
      <c r="AD3031" s="17">
        <f t="shared" si="142"/>
        <v>11326</v>
      </c>
      <c r="AE3031" s="17">
        <f t="shared" si="143"/>
        <v>0</v>
      </c>
      <c r="AF3031" s="10" t="s">
        <v>7298</v>
      </c>
      <c r="AG3031" s="5" t="s">
        <v>1290</v>
      </c>
      <c r="AH3031" s="5" t="s">
        <v>7187</v>
      </c>
      <c r="AJ3031" s="5" t="s">
        <v>7299</v>
      </c>
    </row>
    <row r="3032" spans="1:36" ht="10" customHeight="1" x14ac:dyDescent="0.2">
      <c r="A3032" s="5" t="s">
        <v>7153</v>
      </c>
      <c r="B3032" s="5" t="s">
        <v>45</v>
      </c>
      <c r="D3032" s="5" t="s">
        <v>7300</v>
      </c>
      <c r="E3032" s="10" t="s">
        <v>57</v>
      </c>
      <c r="F3032" s="5" t="s">
        <v>7291</v>
      </c>
      <c r="I3032" s="11">
        <v>4</v>
      </c>
      <c r="K3032" s="12"/>
      <c r="O3032" s="14">
        <v>20265</v>
      </c>
      <c r="P3032" s="13">
        <v>6093</v>
      </c>
      <c r="Q3032" s="13">
        <v>3617</v>
      </c>
      <c r="S3032" s="13">
        <v>3936</v>
      </c>
      <c r="U3032" s="13">
        <v>3936</v>
      </c>
      <c r="AC3032" s="16" t="str">
        <f t="shared" si="141"/>
        <v/>
      </c>
      <c r="AD3032" s="17">
        <f t="shared" si="142"/>
        <v>3936</v>
      </c>
      <c r="AE3032" s="17">
        <f t="shared" si="143"/>
        <v>0</v>
      </c>
      <c r="AF3032" s="10" t="s">
        <v>7301</v>
      </c>
      <c r="AG3032" s="5" t="s">
        <v>1303</v>
      </c>
      <c r="AH3032" s="5" t="s">
        <v>7187</v>
      </c>
      <c r="AJ3032" s="5" t="s">
        <v>7302</v>
      </c>
    </row>
    <row r="3033" spans="1:36" ht="10" customHeight="1" x14ac:dyDescent="0.2">
      <c r="A3033" s="5" t="s">
        <v>7153</v>
      </c>
      <c r="B3033" s="5" t="s">
        <v>45</v>
      </c>
      <c r="C3033" s="5" t="s">
        <v>7210</v>
      </c>
      <c r="D3033" s="5" t="s">
        <v>7303</v>
      </c>
      <c r="E3033" s="10" t="s">
        <v>57</v>
      </c>
      <c r="F3033" s="5" t="s">
        <v>7191</v>
      </c>
      <c r="I3033" s="11">
        <v>4</v>
      </c>
      <c r="K3033" s="12"/>
      <c r="O3033" s="14">
        <v>47339</v>
      </c>
      <c r="P3033" s="13">
        <v>6895</v>
      </c>
      <c r="Q3033" s="13">
        <v>84792</v>
      </c>
      <c r="S3033" s="13">
        <v>55986</v>
      </c>
      <c r="U3033" s="13">
        <v>55986</v>
      </c>
      <c r="AC3033" s="16" t="str">
        <f t="shared" si="141"/>
        <v/>
      </c>
      <c r="AD3033" s="17">
        <f t="shared" si="142"/>
        <v>55986</v>
      </c>
      <c r="AE3033" s="17">
        <f t="shared" si="143"/>
        <v>0</v>
      </c>
      <c r="AF3033" s="10" t="s">
        <v>7304</v>
      </c>
      <c r="AG3033" s="5" t="s">
        <v>1338</v>
      </c>
      <c r="AH3033" s="5" t="s">
        <v>7187</v>
      </c>
      <c r="AI3033" s="5" t="s">
        <v>7211</v>
      </c>
      <c r="AJ3033" s="5" t="s">
        <v>7210</v>
      </c>
    </row>
    <row r="3034" spans="1:36" ht="10" customHeight="1" x14ac:dyDescent="0.2">
      <c r="A3034" s="5" t="s">
        <v>7153</v>
      </c>
      <c r="B3034" s="5" t="s">
        <v>45</v>
      </c>
      <c r="D3034" s="5" t="s">
        <v>7305</v>
      </c>
      <c r="E3034" s="10" t="s">
        <v>57</v>
      </c>
      <c r="F3034" s="5" t="s">
        <v>7306</v>
      </c>
      <c r="I3034" s="11">
        <v>4</v>
      </c>
      <c r="K3034" s="10" t="s">
        <v>50</v>
      </c>
      <c r="L3034" s="5" t="s">
        <v>51</v>
      </c>
      <c r="M3034" s="5" t="s">
        <v>119</v>
      </c>
      <c r="N3034" s="5" t="s">
        <v>120</v>
      </c>
      <c r="O3034" s="14">
        <v>18422</v>
      </c>
      <c r="P3034" s="13">
        <v>2667</v>
      </c>
      <c r="Q3034" s="13">
        <v>4800</v>
      </c>
      <c r="S3034" s="13">
        <v>4901</v>
      </c>
      <c r="U3034" s="13">
        <v>4901</v>
      </c>
      <c r="AC3034" s="16" t="str">
        <f t="shared" si="141"/>
        <v/>
      </c>
      <c r="AD3034" s="17">
        <f t="shared" si="142"/>
        <v>4901</v>
      </c>
      <c r="AE3034" s="17">
        <f t="shared" si="143"/>
        <v>0</v>
      </c>
      <c r="AF3034" s="10" t="s">
        <v>7307</v>
      </c>
      <c r="AG3034" s="5" t="s">
        <v>1352</v>
      </c>
      <c r="AH3034" s="5" t="s">
        <v>7187</v>
      </c>
      <c r="AJ3034" s="5" t="s">
        <v>7308</v>
      </c>
    </row>
    <row r="3035" spans="1:36" ht="10" customHeight="1" x14ac:dyDescent="0.2">
      <c r="A3035" s="5" t="s">
        <v>7153</v>
      </c>
      <c r="B3035" s="5" t="s">
        <v>45</v>
      </c>
      <c r="D3035" s="5" t="s">
        <v>7309</v>
      </c>
      <c r="E3035" s="10" t="s">
        <v>57</v>
      </c>
      <c r="F3035" s="5" t="s">
        <v>7306</v>
      </c>
      <c r="I3035" s="11">
        <v>4</v>
      </c>
      <c r="K3035" s="10" t="s">
        <v>50</v>
      </c>
      <c r="L3035" s="5" t="s">
        <v>51</v>
      </c>
      <c r="M3035" s="5" t="s">
        <v>119</v>
      </c>
      <c r="N3035" s="5" t="s">
        <v>120</v>
      </c>
      <c r="O3035" s="14">
        <v>1000</v>
      </c>
      <c r="P3035" s="13">
        <v>2667</v>
      </c>
      <c r="Q3035" s="13">
        <v>4800</v>
      </c>
      <c r="S3035" s="13">
        <v>4901</v>
      </c>
      <c r="U3035" s="13">
        <v>4901</v>
      </c>
      <c r="AC3035" s="16" t="str">
        <f t="shared" si="141"/>
        <v/>
      </c>
      <c r="AD3035" s="17">
        <f t="shared" si="142"/>
        <v>4901</v>
      </c>
      <c r="AE3035" s="17">
        <f t="shared" si="143"/>
        <v>0</v>
      </c>
      <c r="AF3035" s="10" t="s">
        <v>7310</v>
      </c>
      <c r="AG3035" s="5" t="s">
        <v>1352</v>
      </c>
      <c r="AH3035" s="5" t="s">
        <v>7187</v>
      </c>
      <c r="AJ3035" s="5" t="s">
        <v>7311</v>
      </c>
    </row>
    <row r="3036" spans="1:36" ht="10" customHeight="1" x14ac:dyDescent="0.2">
      <c r="A3036" s="5" t="s">
        <v>7153</v>
      </c>
      <c r="B3036" s="5" t="s">
        <v>45</v>
      </c>
      <c r="D3036" s="5" t="s">
        <v>7312</v>
      </c>
      <c r="E3036" s="10" t="s">
        <v>57</v>
      </c>
      <c r="F3036" s="5" t="s">
        <v>7306</v>
      </c>
      <c r="I3036" s="11">
        <v>4</v>
      </c>
      <c r="K3036" s="10" t="s">
        <v>50</v>
      </c>
      <c r="L3036" s="5" t="s">
        <v>51</v>
      </c>
      <c r="M3036" s="5" t="s">
        <v>119</v>
      </c>
      <c r="N3036" s="5" t="s">
        <v>120</v>
      </c>
      <c r="O3036" s="12"/>
      <c r="S3036" s="13">
        <v>29567</v>
      </c>
      <c r="U3036" s="13">
        <v>29567</v>
      </c>
      <c r="AC3036" s="16" t="str">
        <f t="shared" si="141"/>
        <v/>
      </c>
      <c r="AD3036" s="17">
        <f t="shared" si="142"/>
        <v>29567</v>
      </c>
      <c r="AE3036" s="17">
        <f t="shared" si="143"/>
        <v>0</v>
      </c>
      <c r="AF3036" s="10" t="s">
        <v>7313</v>
      </c>
      <c r="AG3036" s="5" t="s">
        <v>1363</v>
      </c>
      <c r="AH3036" s="5" t="s">
        <v>7187</v>
      </c>
      <c r="AJ3036" s="5" t="s">
        <v>7314</v>
      </c>
    </row>
    <row r="3037" spans="1:36" ht="10" customHeight="1" x14ac:dyDescent="0.2">
      <c r="A3037" s="5" t="s">
        <v>7153</v>
      </c>
      <c r="B3037" s="5" t="s">
        <v>45</v>
      </c>
      <c r="D3037" s="5" t="s">
        <v>7315</v>
      </c>
      <c r="E3037" s="10" t="s">
        <v>57</v>
      </c>
      <c r="F3037" s="5" t="s">
        <v>7306</v>
      </c>
      <c r="I3037" s="11">
        <v>4</v>
      </c>
      <c r="K3037" s="10" t="s">
        <v>50</v>
      </c>
      <c r="L3037" s="5" t="s">
        <v>51</v>
      </c>
      <c r="M3037" s="5" t="s">
        <v>119</v>
      </c>
      <c r="N3037" s="5" t="s">
        <v>120</v>
      </c>
      <c r="O3037" s="14">
        <v>13444</v>
      </c>
      <c r="P3037" s="13">
        <v>1561</v>
      </c>
      <c r="Q3037" s="13">
        <v>11594</v>
      </c>
      <c r="S3037" s="13">
        <v>16617</v>
      </c>
      <c r="U3037" s="13">
        <v>16617</v>
      </c>
      <c r="AC3037" s="16" t="str">
        <f t="shared" si="141"/>
        <v/>
      </c>
      <c r="AD3037" s="17">
        <f t="shared" si="142"/>
        <v>16617</v>
      </c>
      <c r="AE3037" s="17">
        <f t="shared" si="143"/>
        <v>0</v>
      </c>
      <c r="AF3037" s="10" t="s">
        <v>7316</v>
      </c>
      <c r="AG3037" s="5" t="s">
        <v>1387</v>
      </c>
      <c r="AH3037" s="5" t="s">
        <v>7187</v>
      </c>
      <c r="AJ3037" s="5" t="s">
        <v>7317</v>
      </c>
    </row>
    <row r="3038" spans="1:36" ht="10" customHeight="1" x14ac:dyDescent="0.2">
      <c r="A3038" s="5" t="s">
        <v>7153</v>
      </c>
      <c r="B3038" s="5" t="s">
        <v>45</v>
      </c>
      <c r="C3038" s="5" t="s">
        <v>7318</v>
      </c>
      <c r="D3038" s="5" t="s">
        <v>7319</v>
      </c>
      <c r="E3038" s="10" t="s">
        <v>57</v>
      </c>
      <c r="F3038" s="5" t="s">
        <v>7191</v>
      </c>
      <c r="I3038" s="11">
        <v>4</v>
      </c>
      <c r="K3038" s="12"/>
      <c r="O3038" s="14">
        <v>480926</v>
      </c>
      <c r="P3038" s="13">
        <v>66622</v>
      </c>
      <c r="Q3038" s="13">
        <v>73298</v>
      </c>
      <c r="S3038" s="13">
        <v>63776</v>
      </c>
      <c r="U3038" s="13">
        <v>63776</v>
      </c>
      <c r="AC3038" s="16" t="str">
        <f t="shared" si="141"/>
        <v/>
      </c>
      <c r="AD3038" s="17">
        <f t="shared" si="142"/>
        <v>63776</v>
      </c>
      <c r="AE3038" s="17">
        <f t="shared" si="143"/>
        <v>0</v>
      </c>
      <c r="AF3038" s="10" t="s">
        <v>7320</v>
      </c>
      <c r="AG3038" s="5" t="s">
        <v>1412</v>
      </c>
      <c r="AH3038" s="5" t="s">
        <v>7187</v>
      </c>
      <c r="AI3038" s="5" t="s">
        <v>7321</v>
      </c>
      <c r="AJ3038" s="5" t="s">
        <v>7318</v>
      </c>
    </row>
    <row r="3039" spans="1:36" ht="10" customHeight="1" x14ac:dyDescent="0.2">
      <c r="A3039" s="5" t="s">
        <v>7153</v>
      </c>
      <c r="B3039" s="5" t="s">
        <v>45</v>
      </c>
      <c r="C3039" s="5" t="s">
        <v>7322</v>
      </c>
      <c r="D3039" s="5" t="s">
        <v>7323</v>
      </c>
      <c r="E3039" s="10" t="s">
        <v>57</v>
      </c>
      <c r="F3039" s="5" t="s">
        <v>7324</v>
      </c>
      <c r="I3039" s="11">
        <v>4</v>
      </c>
      <c r="K3039" s="12"/>
      <c r="O3039" s="14">
        <v>169203</v>
      </c>
      <c r="P3039" s="13">
        <v>42796</v>
      </c>
      <c r="Q3039" s="13">
        <v>33690</v>
      </c>
      <c r="S3039" s="13">
        <v>29788</v>
      </c>
      <c r="U3039" s="13">
        <v>29788</v>
      </c>
      <c r="AC3039" s="16" t="str">
        <f t="shared" si="141"/>
        <v/>
      </c>
      <c r="AD3039" s="17">
        <f t="shared" si="142"/>
        <v>29788</v>
      </c>
      <c r="AE3039" s="17">
        <f t="shared" si="143"/>
        <v>0</v>
      </c>
      <c r="AF3039" s="10" t="s">
        <v>7325</v>
      </c>
      <c r="AG3039" s="5" t="s">
        <v>1421</v>
      </c>
      <c r="AH3039" s="5" t="s">
        <v>7187</v>
      </c>
      <c r="AJ3039" s="5" t="s">
        <v>7326</v>
      </c>
    </row>
    <row r="3040" spans="1:36" ht="10" customHeight="1" x14ac:dyDescent="0.2">
      <c r="A3040" s="5" t="s">
        <v>7153</v>
      </c>
      <c r="B3040" s="5" t="s">
        <v>45</v>
      </c>
      <c r="C3040" s="5" t="s">
        <v>7327</v>
      </c>
      <c r="D3040" s="5" t="s">
        <v>7328</v>
      </c>
      <c r="E3040" s="10" t="s">
        <v>57</v>
      </c>
      <c r="F3040" s="5" t="s">
        <v>7324</v>
      </c>
      <c r="I3040" s="11">
        <v>6</v>
      </c>
      <c r="K3040" s="12"/>
      <c r="O3040" s="14">
        <v>133293</v>
      </c>
      <c r="P3040" s="13">
        <v>11207</v>
      </c>
      <c r="Q3040" s="13">
        <v>22179</v>
      </c>
      <c r="S3040" s="13">
        <v>3793</v>
      </c>
      <c r="U3040" s="13">
        <v>3793</v>
      </c>
      <c r="AC3040" s="16" t="str">
        <f t="shared" si="141"/>
        <v/>
      </c>
      <c r="AD3040" s="17">
        <f t="shared" si="142"/>
        <v>3793</v>
      </c>
      <c r="AE3040" s="17">
        <f t="shared" si="143"/>
        <v>0</v>
      </c>
      <c r="AF3040" s="10" t="s">
        <v>7329</v>
      </c>
      <c r="AG3040" s="5" t="s">
        <v>1421</v>
      </c>
      <c r="AH3040" s="5" t="s">
        <v>7187</v>
      </c>
      <c r="AJ3040" s="5" t="s">
        <v>7330</v>
      </c>
    </row>
    <row r="3041" spans="1:36" ht="10" customHeight="1" x14ac:dyDescent="0.2">
      <c r="A3041" s="5" t="s">
        <v>7153</v>
      </c>
      <c r="B3041" s="5" t="s">
        <v>45</v>
      </c>
      <c r="D3041" s="5" t="s">
        <v>7331</v>
      </c>
      <c r="E3041" s="10" t="s">
        <v>57</v>
      </c>
      <c r="F3041" s="5" t="s">
        <v>7324</v>
      </c>
      <c r="I3041" s="11">
        <v>4</v>
      </c>
      <c r="K3041" s="12"/>
      <c r="O3041" s="14">
        <v>178430</v>
      </c>
      <c r="P3041" s="13">
        <v>12619</v>
      </c>
      <c r="Q3041" s="13">
        <v>17429</v>
      </c>
      <c r="S3041" s="13">
        <v>30195</v>
      </c>
      <c r="U3041" s="13">
        <v>30195</v>
      </c>
      <c r="AC3041" s="16" t="str">
        <f t="shared" si="141"/>
        <v/>
      </c>
      <c r="AD3041" s="17">
        <f t="shared" si="142"/>
        <v>30195</v>
      </c>
      <c r="AE3041" s="17">
        <f t="shared" si="143"/>
        <v>0</v>
      </c>
      <c r="AF3041" s="10" t="s">
        <v>7332</v>
      </c>
      <c r="AG3041" s="5" t="s">
        <v>6880</v>
      </c>
      <c r="AH3041" s="5" t="s">
        <v>7187</v>
      </c>
      <c r="AJ3041" s="5" t="s">
        <v>7333</v>
      </c>
    </row>
    <row r="3042" spans="1:36" ht="10" customHeight="1" x14ac:dyDescent="0.2">
      <c r="A3042" s="5" t="s">
        <v>7153</v>
      </c>
      <c r="B3042" s="5" t="s">
        <v>45</v>
      </c>
      <c r="C3042" s="5" t="s">
        <v>7334</v>
      </c>
      <c r="D3042" s="5" t="s">
        <v>7335</v>
      </c>
      <c r="E3042" s="10" t="s">
        <v>48</v>
      </c>
      <c r="I3042" s="11">
        <v>4</v>
      </c>
      <c r="K3042" s="12"/>
      <c r="O3042" s="14">
        <v>1155567</v>
      </c>
      <c r="P3042" s="13">
        <v>92371</v>
      </c>
      <c r="Q3042" s="13">
        <v>98921</v>
      </c>
      <c r="S3042" s="13">
        <v>107709</v>
      </c>
      <c r="T3042" s="13">
        <v>0</v>
      </c>
      <c r="U3042" s="13">
        <v>107709</v>
      </c>
      <c r="Z3042" s="13">
        <v>116208</v>
      </c>
      <c r="AB3042" s="13">
        <v>116208</v>
      </c>
      <c r="AC3042" s="16" t="str">
        <f t="shared" si="141"/>
        <v>ADD</v>
      </c>
      <c r="AD3042" s="17">
        <f t="shared" si="142"/>
        <v>107709</v>
      </c>
      <c r="AE3042" s="17">
        <f t="shared" si="143"/>
        <v>116208</v>
      </c>
      <c r="AF3042" s="10" t="s">
        <v>7336</v>
      </c>
      <c r="AG3042" s="5" t="s">
        <v>1455</v>
      </c>
      <c r="AH3042" s="5" t="s">
        <v>7334</v>
      </c>
      <c r="AI3042" s="5" t="s">
        <v>7337</v>
      </c>
    </row>
    <row r="3043" spans="1:36" ht="10" customHeight="1" x14ac:dyDescent="0.2">
      <c r="A3043" s="5" t="s">
        <v>7153</v>
      </c>
      <c r="B3043" s="5" t="s">
        <v>45</v>
      </c>
      <c r="D3043" s="5" t="s">
        <v>7338</v>
      </c>
      <c r="E3043" s="10" t="s">
        <v>57</v>
      </c>
      <c r="F3043" s="5" t="s">
        <v>7339</v>
      </c>
      <c r="I3043" s="11">
        <v>4</v>
      </c>
      <c r="K3043" s="10" t="s">
        <v>50</v>
      </c>
      <c r="L3043" s="5" t="s">
        <v>51</v>
      </c>
      <c r="M3043" s="5" t="s">
        <v>119</v>
      </c>
      <c r="O3043" s="14">
        <v>41959</v>
      </c>
      <c r="P3043" s="13">
        <v>4735</v>
      </c>
      <c r="Q3043" s="13">
        <v>4904</v>
      </c>
      <c r="S3043" s="13">
        <v>4993</v>
      </c>
      <c r="U3043" s="13">
        <v>4993</v>
      </c>
      <c r="AC3043" s="16" t="str">
        <f t="shared" si="141"/>
        <v/>
      </c>
      <c r="AD3043" s="17">
        <f t="shared" si="142"/>
        <v>4993</v>
      </c>
      <c r="AE3043" s="17">
        <f t="shared" si="143"/>
        <v>0</v>
      </c>
      <c r="AF3043" s="10" t="s">
        <v>7340</v>
      </c>
      <c r="AG3043" s="5" t="s">
        <v>1542</v>
      </c>
      <c r="AH3043" s="5" t="s">
        <v>7334</v>
      </c>
      <c r="AI3043" s="5" t="s">
        <v>7337</v>
      </c>
    </row>
    <row r="3044" spans="1:36" ht="10" customHeight="1" x14ac:dyDescent="0.2">
      <c r="A3044" s="5" t="s">
        <v>7153</v>
      </c>
      <c r="B3044" s="5" t="s">
        <v>45</v>
      </c>
      <c r="D3044" s="5" t="s">
        <v>7341</v>
      </c>
      <c r="E3044" s="10" t="s">
        <v>57</v>
      </c>
      <c r="F3044" s="5" t="s">
        <v>7339</v>
      </c>
      <c r="I3044" s="11">
        <v>4</v>
      </c>
      <c r="K3044" s="12"/>
      <c r="O3044" s="14">
        <v>254068</v>
      </c>
      <c r="P3044" s="13">
        <v>17041</v>
      </c>
      <c r="Q3044" s="13">
        <v>17095</v>
      </c>
      <c r="S3044" s="13">
        <v>23885</v>
      </c>
      <c r="U3044" s="13">
        <v>23885</v>
      </c>
      <c r="AC3044" s="16" t="str">
        <f t="shared" si="141"/>
        <v/>
      </c>
      <c r="AD3044" s="17">
        <f t="shared" si="142"/>
        <v>23885</v>
      </c>
      <c r="AE3044" s="17">
        <f t="shared" si="143"/>
        <v>0</v>
      </c>
      <c r="AF3044" s="10" t="s">
        <v>7342</v>
      </c>
      <c r="AG3044" s="5" t="s">
        <v>1542</v>
      </c>
      <c r="AH3044" s="5" t="s">
        <v>7334</v>
      </c>
      <c r="AI3044" s="5" t="s">
        <v>7337</v>
      </c>
    </row>
    <row r="3045" spans="1:36" ht="10" customHeight="1" x14ac:dyDescent="0.2">
      <c r="A3045" s="5" t="s">
        <v>7153</v>
      </c>
      <c r="B3045" s="5" t="s">
        <v>45</v>
      </c>
      <c r="D3045" s="5" t="s">
        <v>7343</v>
      </c>
      <c r="E3045" s="10" t="s">
        <v>57</v>
      </c>
      <c r="F3045" s="5" t="s">
        <v>7339</v>
      </c>
      <c r="I3045" s="11">
        <v>4</v>
      </c>
      <c r="K3045" s="10" t="s">
        <v>50</v>
      </c>
      <c r="L3045" s="5" t="s">
        <v>51</v>
      </c>
      <c r="M3045" s="5" t="s">
        <v>69</v>
      </c>
      <c r="O3045" s="14">
        <v>40894</v>
      </c>
      <c r="P3045" s="13">
        <v>4121</v>
      </c>
      <c r="Q3045" s="13">
        <v>3682</v>
      </c>
      <c r="S3045" s="13">
        <v>3486</v>
      </c>
      <c r="U3045" s="13">
        <v>3486</v>
      </c>
      <c r="AC3045" s="16" t="str">
        <f t="shared" si="141"/>
        <v/>
      </c>
      <c r="AD3045" s="17">
        <f t="shared" si="142"/>
        <v>3486</v>
      </c>
      <c r="AE3045" s="17">
        <f t="shared" si="143"/>
        <v>0</v>
      </c>
      <c r="AF3045" s="10" t="s">
        <v>7344</v>
      </c>
      <c r="AG3045" s="5" t="s">
        <v>1571</v>
      </c>
      <c r="AH3045" s="5" t="s">
        <v>7334</v>
      </c>
      <c r="AI3045" s="5" t="s">
        <v>7337</v>
      </c>
    </row>
    <row r="3046" spans="1:36" ht="10" customHeight="1" x14ac:dyDescent="0.2">
      <c r="A3046" s="5" t="s">
        <v>7153</v>
      </c>
      <c r="B3046" s="5" t="s">
        <v>45</v>
      </c>
      <c r="D3046" s="5" t="s">
        <v>7345</v>
      </c>
      <c r="E3046" s="10" t="s">
        <v>57</v>
      </c>
      <c r="F3046" s="5" t="s">
        <v>7339</v>
      </c>
      <c r="I3046" s="11">
        <v>4</v>
      </c>
      <c r="K3046" s="12"/>
      <c r="O3046" s="14">
        <v>284560</v>
      </c>
      <c r="P3046" s="13">
        <v>26302</v>
      </c>
      <c r="Q3046" s="13">
        <v>31913</v>
      </c>
      <c r="S3046" s="13">
        <v>35687</v>
      </c>
      <c r="U3046" s="13">
        <v>35687</v>
      </c>
      <c r="AC3046" s="16" t="str">
        <f t="shared" si="141"/>
        <v/>
      </c>
      <c r="AD3046" s="17">
        <f t="shared" si="142"/>
        <v>35687</v>
      </c>
      <c r="AE3046" s="17">
        <f t="shared" si="143"/>
        <v>0</v>
      </c>
      <c r="AF3046" s="10" t="s">
        <v>7346</v>
      </c>
      <c r="AG3046" s="5" t="s">
        <v>1571</v>
      </c>
      <c r="AH3046" s="5" t="s">
        <v>7334</v>
      </c>
      <c r="AI3046" s="5" t="s">
        <v>7337</v>
      </c>
    </row>
    <row r="3047" spans="1:36" ht="10" customHeight="1" x14ac:dyDescent="0.2">
      <c r="A3047" s="5" t="s">
        <v>7153</v>
      </c>
      <c r="B3047" s="5" t="s">
        <v>45</v>
      </c>
      <c r="D3047" s="5" t="s">
        <v>7347</v>
      </c>
      <c r="E3047" s="10" t="s">
        <v>57</v>
      </c>
      <c r="F3047" s="5" t="s">
        <v>7339</v>
      </c>
      <c r="I3047" s="11">
        <v>6</v>
      </c>
      <c r="K3047" s="12"/>
      <c r="O3047" s="14">
        <v>30909</v>
      </c>
      <c r="P3047" s="13">
        <v>1581</v>
      </c>
      <c r="Q3047" s="13">
        <v>1868</v>
      </c>
      <c r="S3047" s="13">
        <v>1880</v>
      </c>
      <c r="U3047" s="13">
        <v>1880</v>
      </c>
      <c r="AC3047" s="16" t="str">
        <f t="shared" si="141"/>
        <v/>
      </c>
      <c r="AD3047" s="17">
        <f t="shared" si="142"/>
        <v>1880</v>
      </c>
      <c r="AE3047" s="17">
        <f t="shared" si="143"/>
        <v>0</v>
      </c>
      <c r="AF3047" s="10" t="s">
        <v>7348</v>
      </c>
      <c r="AG3047" s="5" t="s">
        <v>1571</v>
      </c>
      <c r="AH3047" s="5" t="s">
        <v>7334</v>
      </c>
      <c r="AI3047" s="5" t="s">
        <v>7337</v>
      </c>
    </row>
    <row r="3048" spans="1:36" ht="10" customHeight="1" x14ac:dyDescent="0.2">
      <c r="A3048" s="5" t="s">
        <v>7153</v>
      </c>
      <c r="B3048" s="5" t="s">
        <v>45</v>
      </c>
      <c r="D3048" s="5" t="s">
        <v>7349</v>
      </c>
      <c r="E3048" s="10" t="s">
        <v>57</v>
      </c>
      <c r="F3048" s="5" t="s">
        <v>7339</v>
      </c>
      <c r="I3048" s="11">
        <v>6</v>
      </c>
      <c r="K3048" s="12"/>
      <c r="O3048" s="14">
        <v>177207</v>
      </c>
      <c r="P3048" s="13">
        <v>11938</v>
      </c>
      <c r="Q3048" s="13">
        <v>12534</v>
      </c>
      <c r="S3048" s="13">
        <v>12685</v>
      </c>
      <c r="U3048" s="13">
        <v>12685</v>
      </c>
      <c r="AC3048" s="16" t="str">
        <f t="shared" si="141"/>
        <v/>
      </c>
      <c r="AD3048" s="17">
        <f t="shared" si="142"/>
        <v>12685</v>
      </c>
      <c r="AE3048" s="17">
        <f t="shared" si="143"/>
        <v>0</v>
      </c>
      <c r="AF3048" s="10" t="s">
        <v>7350</v>
      </c>
      <c r="AG3048" s="5" t="s">
        <v>1571</v>
      </c>
      <c r="AH3048" s="5" t="s">
        <v>7334</v>
      </c>
      <c r="AI3048" s="5" t="s">
        <v>7337</v>
      </c>
    </row>
    <row r="3049" spans="1:36" ht="10" customHeight="1" x14ac:dyDescent="0.2">
      <c r="A3049" s="5" t="s">
        <v>7153</v>
      </c>
      <c r="B3049" s="5" t="s">
        <v>45</v>
      </c>
      <c r="D3049" s="5" t="s">
        <v>7351</v>
      </c>
      <c r="E3049" s="10" t="s">
        <v>57</v>
      </c>
      <c r="F3049" s="5" t="s">
        <v>7339</v>
      </c>
      <c r="I3049" s="11">
        <v>6</v>
      </c>
      <c r="K3049" s="12"/>
      <c r="O3049" s="14">
        <v>66276</v>
      </c>
      <c r="P3049" s="13">
        <v>5323</v>
      </c>
      <c r="Q3049" s="13">
        <v>5324</v>
      </c>
      <c r="S3049" s="13">
        <v>4927</v>
      </c>
      <c r="U3049" s="13">
        <v>4927</v>
      </c>
      <c r="AC3049" s="16" t="str">
        <f t="shared" si="141"/>
        <v/>
      </c>
      <c r="AD3049" s="17">
        <f t="shared" si="142"/>
        <v>4927</v>
      </c>
      <c r="AE3049" s="17">
        <f t="shared" si="143"/>
        <v>0</v>
      </c>
      <c r="AF3049" s="10" t="s">
        <v>7352</v>
      </c>
      <c r="AG3049" s="5" t="s">
        <v>1582</v>
      </c>
      <c r="AH3049" s="5" t="s">
        <v>7334</v>
      </c>
      <c r="AI3049" s="5" t="s">
        <v>7337</v>
      </c>
    </row>
    <row r="3050" spans="1:36" ht="10" customHeight="1" x14ac:dyDescent="0.2">
      <c r="A3050" s="5" t="s">
        <v>7153</v>
      </c>
      <c r="B3050" s="5" t="s">
        <v>45</v>
      </c>
      <c r="D3050" s="5" t="s">
        <v>7353</v>
      </c>
      <c r="E3050" s="10" t="s">
        <v>57</v>
      </c>
      <c r="F3050" s="5" t="s">
        <v>7339</v>
      </c>
      <c r="I3050" s="11">
        <v>6</v>
      </c>
      <c r="K3050" s="12"/>
      <c r="O3050" s="14">
        <v>62028</v>
      </c>
      <c r="P3050" s="13">
        <v>5043</v>
      </c>
      <c r="Q3050" s="13">
        <v>5044</v>
      </c>
      <c r="S3050" s="13">
        <v>4783</v>
      </c>
      <c r="U3050" s="13">
        <v>4783</v>
      </c>
      <c r="AC3050" s="16" t="str">
        <f t="shared" si="141"/>
        <v/>
      </c>
      <c r="AD3050" s="17">
        <f t="shared" si="142"/>
        <v>4783</v>
      </c>
      <c r="AE3050" s="17">
        <f t="shared" si="143"/>
        <v>0</v>
      </c>
      <c r="AF3050" s="10" t="s">
        <v>7354</v>
      </c>
      <c r="AG3050" s="5" t="s">
        <v>1582</v>
      </c>
      <c r="AH3050" s="5" t="s">
        <v>7334</v>
      </c>
      <c r="AI3050" s="5" t="s">
        <v>7337</v>
      </c>
    </row>
    <row r="3051" spans="1:36" ht="10" customHeight="1" x14ac:dyDescent="0.2">
      <c r="A3051" s="5" t="s">
        <v>7153</v>
      </c>
      <c r="B3051" s="5" t="s">
        <v>45</v>
      </c>
      <c r="D3051" s="5" t="s">
        <v>7355</v>
      </c>
      <c r="E3051" s="10" t="s">
        <v>57</v>
      </c>
      <c r="F3051" s="5" t="s">
        <v>7339</v>
      </c>
      <c r="I3051" s="11">
        <v>6</v>
      </c>
      <c r="K3051" s="12"/>
      <c r="O3051" s="14">
        <v>173638</v>
      </c>
      <c r="P3051" s="13">
        <v>16287</v>
      </c>
      <c r="Q3051" s="13">
        <v>16557</v>
      </c>
      <c r="S3051" s="13">
        <v>15383</v>
      </c>
      <c r="U3051" s="13">
        <v>15383</v>
      </c>
      <c r="AC3051" s="16" t="str">
        <f t="shared" si="141"/>
        <v/>
      </c>
      <c r="AD3051" s="17">
        <f t="shared" si="142"/>
        <v>15383</v>
      </c>
      <c r="AE3051" s="17">
        <f t="shared" si="143"/>
        <v>0</v>
      </c>
      <c r="AF3051" s="10" t="s">
        <v>7356</v>
      </c>
      <c r="AG3051" s="5" t="s">
        <v>1582</v>
      </c>
      <c r="AH3051" s="5" t="s">
        <v>7334</v>
      </c>
      <c r="AI3051" s="5" t="s">
        <v>7337</v>
      </c>
    </row>
    <row r="3052" spans="1:36" ht="10" customHeight="1" x14ac:dyDescent="0.2">
      <c r="A3052" s="5" t="s">
        <v>7153</v>
      </c>
      <c r="B3052" s="5" t="s">
        <v>45</v>
      </c>
      <c r="C3052" s="5" t="s">
        <v>7357</v>
      </c>
      <c r="D3052" s="5" t="s">
        <v>7358</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6" t="str">
        <f t="shared" si="141"/>
        <v>ADD</v>
      </c>
      <c r="AD3052" s="17">
        <f t="shared" si="142"/>
        <v>67264</v>
      </c>
      <c r="AE3052" s="17">
        <f t="shared" si="143"/>
        <v>188430</v>
      </c>
      <c r="AF3052" s="10" t="s">
        <v>7359</v>
      </c>
      <c r="AG3052" s="5" t="s">
        <v>1653</v>
      </c>
      <c r="AH3052" s="5" t="s">
        <v>7357</v>
      </c>
      <c r="AI3052" s="5" t="s">
        <v>7360</v>
      </c>
    </row>
    <row r="3053" spans="1:36" ht="10" customHeight="1" x14ac:dyDescent="0.2">
      <c r="A3053" s="5" t="s">
        <v>7153</v>
      </c>
      <c r="B3053" s="5" t="s">
        <v>45</v>
      </c>
      <c r="D3053" s="5" t="s">
        <v>7361</v>
      </c>
      <c r="E3053" s="10" t="s">
        <v>57</v>
      </c>
      <c r="F3053" s="5" t="s">
        <v>7362</v>
      </c>
      <c r="I3053" s="11">
        <v>4</v>
      </c>
      <c r="J3053" s="5" t="s">
        <v>250</v>
      </c>
      <c r="K3053" s="10" t="s">
        <v>50</v>
      </c>
      <c r="L3053" s="5" t="s">
        <v>51</v>
      </c>
      <c r="M3053" s="5" t="s">
        <v>52</v>
      </c>
      <c r="N3053" s="5" t="s">
        <v>88</v>
      </c>
      <c r="O3053" s="12"/>
      <c r="S3053" s="13">
        <v>67264</v>
      </c>
      <c r="U3053" s="13">
        <v>67264</v>
      </c>
      <c r="AC3053" s="16" t="str">
        <f t="shared" si="141"/>
        <v/>
      </c>
      <c r="AD3053" s="17">
        <f t="shared" si="142"/>
        <v>67264</v>
      </c>
      <c r="AE3053" s="17">
        <f t="shared" si="143"/>
        <v>0</v>
      </c>
      <c r="AF3053" s="10" t="s">
        <v>7363</v>
      </c>
      <c r="AG3053" s="5" t="s">
        <v>1681</v>
      </c>
      <c r="AH3053" s="5" t="s">
        <v>7357</v>
      </c>
      <c r="AI3053" s="5" t="s">
        <v>7360</v>
      </c>
    </row>
    <row r="3054" spans="1:36" ht="10" customHeight="1" x14ac:dyDescent="0.2">
      <c r="A3054" s="5" t="s">
        <v>7153</v>
      </c>
      <c r="B3054" s="5" t="s">
        <v>45</v>
      </c>
      <c r="C3054" s="5" t="s">
        <v>7364</v>
      </c>
      <c r="D3054" s="5" t="s">
        <v>7365</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6" t="str">
        <f t="shared" si="141"/>
        <v>ADD</v>
      </c>
      <c r="AD3054" s="17">
        <f t="shared" si="142"/>
        <v>492999</v>
      </c>
      <c r="AE3054" s="17">
        <f t="shared" si="143"/>
        <v>327941</v>
      </c>
      <c r="AF3054" s="10" t="s">
        <v>7366</v>
      </c>
      <c r="AG3054" s="5" t="s">
        <v>1750</v>
      </c>
      <c r="AH3054" s="5" t="s">
        <v>7364</v>
      </c>
    </row>
    <row r="3055" spans="1:36" ht="10" customHeight="1" x14ac:dyDescent="0.2">
      <c r="A3055" s="5" t="s">
        <v>7153</v>
      </c>
      <c r="B3055" s="5" t="s">
        <v>45</v>
      </c>
      <c r="D3055" s="5" t="s">
        <v>7367</v>
      </c>
      <c r="E3055" s="10" t="s">
        <v>57</v>
      </c>
      <c r="F3055" s="5" t="s">
        <v>7368</v>
      </c>
      <c r="I3055" s="11">
        <v>4</v>
      </c>
      <c r="K3055" s="10" t="s">
        <v>50</v>
      </c>
      <c r="L3055" s="5" t="s">
        <v>51</v>
      </c>
      <c r="M3055" s="5" t="s">
        <v>52</v>
      </c>
      <c r="N3055" s="5" t="s">
        <v>53</v>
      </c>
      <c r="O3055" s="14">
        <v>110597</v>
      </c>
      <c r="P3055" s="13">
        <v>4086</v>
      </c>
      <c r="Q3055" s="13">
        <v>4159</v>
      </c>
      <c r="S3055" s="13">
        <v>8598</v>
      </c>
      <c r="U3055" s="13">
        <v>8598</v>
      </c>
      <c r="AC3055" s="16" t="str">
        <f t="shared" si="141"/>
        <v/>
      </c>
      <c r="AD3055" s="17">
        <f t="shared" si="142"/>
        <v>8598</v>
      </c>
      <c r="AE3055" s="17">
        <f t="shared" si="143"/>
        <v>0</v>
      </c>
      <c r="AF3055" s="10" t="s">
        <v>7369</v>
      </c>
      <c r="AG3055" s="5" t="s">
        <v>1806</v>
      </c>
      <c r="AH3055" s="5" t="s">
        <v>7364</v>
      </c>
      <c r="AI3055" s="5" t="s">
        <v>7370</v>
      </c>
    </row>
    <row r="3056" spans="1:36" ht="10" customHeight="1" x14ac:dyDescent="0.2">
      <c r="A3056" s="5" t="s">
        <v>7153</v>
      </c>
      <c r="B3056" s="5" t="s">
        <v>45</v>
      </c>
      <c r="D3056" s="5" t="s">
        <v>7371</v>
      </c>
      <c r="E3056" s="10" t="s">
        <v>57</v>
      </c>
      <c r="F3056" s="5" t="s">
        <v>7367</v>
      </c>
      <c r="I3056" s="11">
        <v>4</v>
      </c>
      <c r="K3056" s="12"/>
      <c r="O3056" s="14">
        <v>6076</v>
      </c>
      <c r="P3056" s="13">
        <v>4086</v>
      </c>
      <c r="S3056" s="13">
        <v>4885</v>
      </c>
      <c r="U3056" s="13">
        <v>4885</v>
      </c>
      <c r="AC3056" s="16" t="str">
        <f t="shared" si="141"/>
        <v/>
      </c>
      <c r="AD3056" s="17">
        <f t="shared" si="142"/>
        <v>4885</v>
      </c>
      <c r="AE3056" s="17">
        <f t="shared" si="143"/>
        <v>0</v>
      </c>
      <c r="AF3056" s="10" t="s">
        <v>7372</v>
      </c>
      <c r="AG3056" s="5" t="s">
        <v>1806</v>
      </c>
      <c r="AH3056" s="5" t="s">
        <v>7364</v>
      </c>
    </row>
    <row r="3057" spans="1:35" ht="10" customHeight="1" x14ac:dyDescent="0.2">
      <c r="A3057" s="5" t="s">
        <v>7153</v>
      </c>
      <c r="B3057" s="5" t="s">
        <v>45</v>
      </c>
      <c r="D3057" s="5" t="s">
        <v>7373</v>
      </c>
      <c r="E3057" s="10" t="s">
        <v>57</v>
      </c>
      <c r="F3057" s="5" t="s">
        <v>7367</v>
      </c>
      <c r="I3057" s="11">
        <v>4</v>
      </c>
      <c r="K3057" s="12"/>
      <c r="O3057" s="12"/>
      <c r="S3057" s="13">
        <v>3713</v>
      </c>
      <c r="U3057" s="13">
        <v>3713</v>
      </c>
      <c r="AC3057" s="16" t="str">
        <f t="shared" si="141"/>
        <v/>
      </c>
      <c r="AD3057" s="17">
        <f t="shared" si="142"/>
        <v>3713</v>
      </c>
      <c r="AE3057" s="17">
        <f t="shared" si="143"/>
        <v>0</v>
      </c>
      <c r="AF3057" s="10" t="s">
        <v>7374</v>
      </c>
      <c r="AG3057" s="5" t="s">
        <v>1806</v>
      </c>
      <c r="AH3057" s="5" t="s">
        <v>7364</v>
      </c>
      <c r="AI3057" s="5" t="s">
        <v>7375</v>
      </c>
    </row>
    <row r="3058" spans="1:35" ht="10" customHeight="1" x14ac:dyDescent="0.2">
      <c r="A3058" s="5" t="s">
        <v>7153</v>
      </c>
      <c r="B3058" s="5" t="s">
        <v>45</v>
      </c>
      <c r="D3058" s="5" t="s">
        <v>7376</v>
      </c>
      <c r="E3058" s="10" t="s">
        <v>57</v>
      </c>
      <c r="F3058" s="5" t="s">
        <v>7368</v>
      </c>
      <c r="I3058" s="11">
        <v>6</v>
      </c>
      <c r="K3058" s="10" t="s">
        <v>50</v>
      </c>
      <c r="L3058" s="5" t="s">
        <v>51</v>
      </c>
      <c r="M3058" s="5" t="s">
        <v>52</v>
      </c>
      <c r="N3058" s="5" t="s">
        <v>53</v>
      </c>
      <c r="O3058" s="14">
        <v>278585</v>
      </c>
      <c r="P3058" s="13">
        <v>38198</v>
      </c>
      <c r="Q3058" s="13">
        <v>34492</v>
      </c>
      <c r="S3058" s="13">
        <v>32100</v>
      </c>
      <c r="U3058" s="13">
        <v>32100</v>
      </c>
      <c r="AC3058" s="16" t="str">
        <f t="shared" si="141"/>
        <v/>
      </c>
      <c r="AD3058" s="17">
        <f t="shared" si="142"/>
        <v>32100</v>
      </c>
      <c r="AE3058" s="17">
        <f t="shared" si="143"/>
        <v>0</v>
      </c>
      <c r="AF3058" s="10" t="s">
        <v>7377</v>
      </c>
      <c r="AG3058" s="5" t="s">
        <v>1820</v>
      </c>
      <c r="AH3058" s="5" t="s">
        <v>7364</v>
      </c>
      <c r="AI3058" s="5" t="s">
        <v>7378</v>
      </c>
    </row>
    <row r="3059" spans="1:35" ht="10" customHeight="1" x14ac:dyDescent="0.2">
      <c r="A3059" s="5" t="s">
        <v>7153</v>
      </c>
      <c r="B3059" s="5" t="s">
        <v>45</v>
      </c>
      <c r="D3059" s="5" t="s">
        <v>7379</v>
      </c>
      <c r="E3059" s="10" t="s">
        <v>57</v>
      </c>
      <c r="F3059" s="5" t="s">
        <v>7376</v>
      </c>
      <c r="I3059" s="11">
        <v>6</v>
      </c>
      <c r="K3059" s="12"/>
      <c r="O3059" s="14">
        <v>68516</v>
      </c>
      <c r="P3059" s="13">
        <v>12047</v>
      </c>
      <c r="Q3059" s="13">
        <v>8143</v>
      </c>
      <c r="S3059" s="13">
        <v>7850</v>
      </c>
      <c r="U3059" s="13">
        <v>7850</v>
      </c>
      <c r="AC3059" s="16" t="str">
        <f t="shared" si="141"/>
        <v/>
      </c>
      <c r="AD3059" s="17">
        <f t="shared" si="142"/>
        <v>7850</v>
      </c>
      <c r="AE3059" s="17">
        <f t="shared" si="143"/>
        <v>0</v>
      </c>
      <c r="AF3059" s="10" t="s">
        <v>7380</v>
      </c>
      <c r="AG3059" s="5" t="s">
        <v>1820</v>
      </c>
      <c r="AH3059" s="5" t="s">
        <v>7364</v>
      </c>
    </row>
    <row r="3060" spans="1:35" ht="10" customHeight="1" x14ac:dyDescent="0.2">
      <c r="A3060" s="5" t="s">
        <v>7153</v>
      </c>
      <c r="B3060" s="5" t="s">
        <v>45</v>
      </c>
      <c r="D3060" s="5" t="s">
        <v>7381</v>
      </c>
      <c r="E3060" s="10" t="s">
        <v>57</v>
      </c>
      <c r="F3060" s="5" t="s">
        <v>7376</v>
      </c>
      <c r="I3060" s="11">
        <v>6</v>
      </c>
      <c r="K3060" s="12"/>
      <c r="O3060" s="14">
        <v>39280</v>
      </c>
      <c r="P3060" s="13">
        <v>8473</v>
      </c>
      <c r="Q3060" s="13">
        <v>8319</v>
      </c>
      <c r="S3060" s="13">
        <v>3634</v>
      </c>
      <c r="U3060" s="13">
        <v>3634</v>
      </c>
      <c r="AC3060" s="16" t="str">
        <f t="shared" si="141"/>
        <v/>
      </c>
      <c r="AD3060" s="17">
        <f t="shared" si="142"/>
        <v>3634</v>
      </c>
      <c r="AE3060" s="17">
        <f t="shared" si="143"/>
        <v>0</v>
      </c>
      <c r="AF3060" s="10" t="s">
        <v>7382</v>
      </c>
      <c r="AG3060" s="5" t="s">
        <v>1820</v>
      </c>
      <c r="AH3060" s="5" t="s">
        <v>7364</v>
      </c>
      <c r="AI3060" s="5" t="s">
        <v>7375</v>
      </c>
    </row>
    <row r="3061" spans="1:35" ht="10" customHeight="1" x14ac:dyDescent="0.2">
      <c r="A3061" s="5" t="s">
        <v>7153</v>
      </c>
      <c r="B3061" s="5" t="s">
        <v>45</v>
      </c>
      <c r="D3061" s="5" t="s">
        <v>7383</v>
      </c>
      <c r="E3061" s="10" t="s">
        <v>57</v>
      </c>
      <c r="F3061" s="5" t="s">
        <v>7376</v>
      </c>
      <c r="I3061" s="11">
        <v>4</v>
      </c>
      <c r="K3061" s="12"/>
      <c r="O3061" s="14">
        <v>8046</v>
      </c>
      <c r="P3061" s="13">
        <v>983</v>
      </c>
      <c r="Q3061" s="13">
        <v>1002</v>
      </c>
      <c r="S3061" s="13">
        <v>1022</v>
      </c>
      <c r="U3061" s="13">
        <v>1022</v>
      </c>
      <c r="AC3061" s="16" t="str">
        <f t="shared" si="141"/>
        <v/>
      </c>
      <c r="AD3061" s="17">
        <f t="shared" si="142"/>
        <v>1022</v>
      </c>
      <c r="AE3061" s="17">
        <f t="shared" si="143"/>
        <v>0</v>
      </c>
      <c r="AF3061" s="10" t="s">
        <v>7384</v>
      </c>
      <c r="AG3061" s="5" t="s">
        <v>1820</v>
      </c>
      <c r="AH3061" s="5" t="s">
        <v>7364</v>
      </c>
    </row>
    <row r="3062" spans="1:35" ht="10" customHeight="1" x14ac:dyDescent="0.2">
      <c r="A3062" s="5" t="s">
        <v>7153</v>
      </c>
      <c r="B3062" s="5" t="s">
        <v>45</v>
      </c>
      <c r="D3062" s="5" t="s">
        <v>7385</v>
      </c>
      <c r="E3062" s="10" t="s">
        <v>57</v>
      </c>
      <c r="F3062" s="5" t="s">
        <v>7376</v>
      </c>
      <c r="I3062" s="11">
        <v>6</v>
      </c>
      <c r="K3062" s="12"/>
      <c r="O3062" s="14">
        <v>16797</v>
      </c>
      <c r="P3062" s="13">
        <v>3216</v>
      </c>
      <c r="Q3062" s="13">
        <v>3280</v>
      </c>
      <c r="S3062" s="13">
        <v>5297</v>
      </c>
      <c r="U3062" s="13">
        <v>5297</v>
      </c>
      <c r="AC3062" s="16" t="str">
        <f t="shared" si="141"/>
        <v/>
      </c>
      <c r="AD3062" s="17">
        <f t="shared" si="142"/>
        <v>5297</v>
      </c>
      <c r="AE3062" s="17">
        <f t="shared" si="143"/>
        <v>0</v>
      </c>
      <c r="AF3062" s="10" t="s">
        <v>7386</v>
      </c>
      <c r="AG3062" s="5" t="s">
        <v>1820</v>
      </c>
      <c r="AH3062" s="5" t="s">
        <v>7364</v>
      </c>
    </row>
    <row r="3063" spans="1:35" ht="10" customHeight="1" x14ac:dyDescent="0.2">
      <c r="A3063" s="5" t="s">
        <v>7153</v>
      </c>
      <c r="B3063" s="5" t="s">
        <v>45</v>
      </c>
      <c r="D3063" s="5" t="s">
        <v>7387</v>
      </c>
      <c r="E3063" s="10" t="s">
        <v>57</v>
      </c>
      <c r="F3063" s="5" t="s">
        <v>7376</v>
      </c>
      <c r="I3063" s="11">
        <v>4</v>
      </c>
      <c r="K3063" s="12"/>
      <c r="O3063" s="14">
        <v>93659</v>
      </c>
      <c r="P3063" s="13">
        <v>13479</v>
      </c>
      <c r="Q3063" s="13">
        <v>13748</v>
      </c>
      <c r="S3063" s="13">
        <v>14297</v>
      </c>
      <c r="U3063" s="13">
        <v>14297</v>
      </c>
      <c r="AC3063" s="16" t="str">
        <f t="shared" si="141"/>
        <v/>
      </c>
      <c r="AD3063" s="17">
        <f t="shared" si="142"/>
        <v>14297</v>
      </c>
      <c r="AE3063" s="17">
        <f t="shared" si="143"/>
        <v>0</v>
      </c>
      <c r="AF3063" s="10" t="s">
        <v>7388</v>
      </c>
      <c r="AG3063" s="5" t="s">
        <v>1820</v>
      </c>
      <c r="AH3063" s="5" t="s">
        <v>7364</v>
      </c>
    </row>
    <row r="3064" spans="1:35" ht="10" customHeight="1" x14ac:dyDescent="0.2">
      <c r="A3064" s="5" t="s">
        <v>7153</v>
      </c>
      <c r="B3064" s="5" t="s">
        <v>45</v>
      </c>
      <c r="D3064" s="5" t="s">
        <v>7389</v>
      </c>
      <c r="E3064" s="10" t="s">
        <v>57</v>
      </c>
      <c r="F3064" s="5" t="s">
        <v>7368</v>
      </c>
      <c r="I3064" s="11">
        <v>4</v>
      </c>
      <c r="K3064" s="10" t="s">
        <v>50</v>
      </c>
      <c r="L3064" s="5" t="s">
        <v>51</v>
      </c>
      <c r="M3064" s="5" t="s">
        <v>52</v>
      </c>
      <c r="N3064" s="5" t="s">
        <v>53</v>
      </c>
      <c r="O3064" s="14">
        <v>49861</v>
      </c>
      <c r="P3064" s="13">
        <v>7500</v>
      </c>
      <c r="Q3064" s="13">
        <v>7650</v>
      </c>
      <c r="S3064" s="13">
        <v>7599</v>
      </c>
      <c r="U3064" s="13">
        <v>7599</v>
      </c>
      <c r="AC3064" s="16" t="str">
        <f t="shared" si="141"/>
        <v/>
      </c>
      <c r="AD3064" s="17">
        <f t="shared" si="142"/>
        <v>7599</v>
      </c>
      <c r="AE3064" s="17">
        <f t="shared" si="143"/>
        <v>0</v>
      </c>
      <c r="AF3064" s="10" t="s">
        <v>7390</v>
      </c>
      <c r="AG3064" s="5" t="s">
        <v>1833</v>
      </c>
      <c r="AH3064" s="5" t="s">
        <v>7364</v>
      </c>
      <c r="AI3064" s="5" t="s">
        <v>7391</v>
      </c>
    </row>
    <row r="3065" spans="1:35" ht="10" customHeight="1" x14ac:dyDescent="0.2">
      <c r="A3065" s="5" t="s">
        <v>7153</v>
      </c>
      <c r="B3065" s="5" t="s">
        <v>45</v>
      </c>
      <c r="D3065" s="5" t="s">
        <v>7392</v>
      </c>
      <c r="E3065" s="10" t="s">
        <v>57</v>
      </c>
      <c r="F3065" s="5" t="s">
        <v>7389</v>
      </c>
      <c r="I3065" s="11">
        <v>4</v>
      </c>
      <c r="K3065" s="12"/>
      <c r="O3065" s="12"/>
      <c r="P3065" s="13">
        <v>7500</v>
      </c>
      <c r="Q3065" s="13">
        <v>7650</v>
      </c>
      <c r="S3065" s="13">
        <v>7599</v>
      </c>
      <c r="U3065" s="13">
        <v>7599</v>
      </c>
      <c r="AC3065" s="16" t="str">
        <f t="shared" si="141"/>
        <v/>
      </c>
      <c r="AD3065" s="17">
        <f t="shared" si="142"/>
        <v>7599</v>
      </c>
      <c r="AE3065" s="17">
        <f t="shared" si="143"/>
        <v>0</v>
      </c>
      <c r="AF3065" s="10" t="s">
        <v>7393</v>
      </c>
      <c r="AG3065" s="5" t="s">
        <v>1833</v>
      </c>
      <c r="AH3065" s="5" t="s">
        <v>7364</v>
      </c>
    </row>
    <row r="3066" spans="1:35" ht="10" customHeight="1" x14ac:dyDescent="0.2">
      <c r="A3066" s="5" t="s">
        <v>7153</v>
      </c>
      <c r="B3066" s="5" t="s">
        <v>45</v>
      </c>
      <c r="D3066" s="5" t="s">
        <v>7394</v>
      </c>
      <c r="E3066" s="10" t="s">
        <v>57</v>
      </c>
      <c r="F3066" s="5" t="s">
        <v>7368</v>
      </c>
      <c r="I3066" s="11">
        <v>4</v>
      </c>
      <c r="K3066" s="10" t="s">
        <v>50</v>
      </c>
      <c r="L3066" s="5" t="s">
        <v>51</v>
      </c>
      <c r="M3066" s="5" t="s">
        <v>52</v>
      </c>
      <c r="N3066" s="5" t="s">
        <v>53</v>
      </c>
      <c r="O3066" s="14">
        <v>112257</v>
      </c>
      <c r="P3066" s="13">
        <v>10459</v>
      </c>
      <c r="Q3066" s="13">
        <v>38592</v>
      </c>
      <c r="S3066" s="13">
        <v>29356</v>
      </c>
      <c r="U3066" s="13">
        <v>29356</v>
      </c>
      <c r="AC3066" s="16" t="str">
        <f t="shared" si="141"/>
        <v/>
      </c>
      <c r="AD3066" s="17">
        <f t="shared" si="142"/>
        <v>29356</v>
      </c>
      <c r="AE3066" s="17">
        <f t="shared" si="143"/>
        <v>0</v>
      </c>
      <c r="AF3066" s="10" t="s">
        <v>7395</v>
      </c>
      <c r="AG3066" s="5" t="s">
        <v>1845</v>
      </c>
      <c r="AH3066" s="5" t="s">
        <v>7364</v>
      </c>
      <c r="AI3066" s="5" t="s">
        <v>7396</v>
      </c>
    </row>
    <row r="3067" spans="1:35" ht="10" customHeight="1" x14ac:dyDescent="0.2">
      <c r="A3067" s="5" t="s">
        <v>7153</v>
      </c>
      <c r="B3067" s="5" t="s">
        <v>45</v>
      </c>
      <c r="D3067" s="5" t="s">
        <v>7397</v>
      </c>
      <c r="E3067" s="10" t="s">
        <v>57</v>
      </c>
      <c r="F3067" s="5" t="s">
        <v>7398</v>
      </c>
      <c r="I3067" s="11">
        <v>4</v>
      </c>
      <c r="K3067" s="12"/>
      <c r="O3067" s="14">
        <v>19240</v>
      </c>
      <c r="P3067" s="13">
        <v>1791</v>
      </c>
      <c r="Q3067" s="13">
        <v>1826</v>
      </c>
      <c r="S3067" s="13">
        <v>1631</v>
      </c>
      <c r="U3067" s="13">
        <v>1631</v>
      </c>
      <c r="AC3067" s="16" t="str">
        <f t="shared" si="141"/>
        <v/>
      </c>
      <c r="AD3067" s="17">
        <f t="shared" si="142"/>
        <v>1631</v>
      </c>
      <c r="AE3067" s="17">
        <f t="shared" si="143"/>
        <v>0</v>
      </c>
      <c r="AF3067" s="10" t="s">
        <v>7399</v>
      </c>
      <c r="AG3067" s="5" t="s">
        <v>1845</v>
      </c>
      <c r="AH3067" s="5" t="s">
        <v>7364</v>
      </c>
    </row>
    <row r="3068" spans="1:35" ht="10" customHeight="1" x14ac:dyDescent="0.2">
      <c r="A3068" s="5" t="s">
        <v>7153</v>
      </c>
      <c r="B3068" s="5" t="s">
        <v>45</v>
      </c>
      <c r="D3068" s="5" t="s">
        <v>7400</v>
      </c>
      <c r="E3068" s="10" t="s">
        <v>57</v>
      </c>
      <c r="F3068" s="5" t="s">
        <v>7398</v>
      </c>
      <c r="I3068" s="11">
        <v>4</v>
      </c>
      <c r="K3068" s="12"/>
      <c r="O3068" s="14">
        <v>86179</v>
      </c>
      <c r="P3068" s="13">
        <v>8668</v>
      </c>
      <c r="Q3068" s="13">
        <v>36766</v>
      </c>
      <c r="S3068" s="13">
        <v>27725</v>
      </c>
      <c r="U3068" s="13">
        <v>27725</v>
      </c>
      <c r="AC3068" s="16" t="str">
        <f t="shared" si="141"/>
        <v/>
      </c>
      <c r="AD3068" s="17">
        <f t="shared" si="142"/>
        <v>27725</v>
      </c>
      <c r="AE3068" s="17">
        <f t="shared" si="143"/>
        <v>0</v>
      </c>
      <c r="AF3068" s="10" t="s">
        <v>7401</v>
      </c>
      <c r="AG3068" s="5" t="s">
        <v>1845</v>
      </c>
      <c r="AH3068" s="5" t="s">
        <v>7364</v>
      </c>
    </row>
    <row r="3069" spans="1:35" ht="10" customHeight="1" x14ac:dyDescent="0.2">
      <c r="A3069" s="5" t="s">
        <v>7153</v>
      </c>
      <c r="B3069" s="5" t="s">
        <v>45</v>
      </c>
      <c r="D3069" s="5" t="s">
        <v>7402</v>
      </c>
      <c r="E3069" s="10" t="s">
        <v>57</v>
      </c>
      <c r="F3069" s="5" t="s">
        <v>7368</v>
      </c>
      <c r="I3069" s="11">
        <v>6</v>
      </c>
      <c r="K3069" s="12"/>
      <c r="O3069" s="14">
        <v>49766</v>
      </c>
      <c r="P3069" s="13">
        <v>4660</v>
      </c>
      <c r="Q3069" s="13">
        <v>5061</v>
      </c>
      <c r="S3069" s="13">
        <v>7938</v>
      </c>
      <c r="U3069" s="13">
        <v>7938</v>
      </c>
      <c r="AC3069" s="16" t="str">
        <f t="shared" si="141"/>
        <v/>
      </c>
      <c r="AD3069" s="17">
        <f t="shared" si="142"/>
        <v>7938</v>
      </c>
      <c r="AE3069" s="17">
        <f t="shared" si="143"/>
        <v>0</v>
      </c>
      <c r="AF3069" s="10" t="s">
        <v>7403</v>
      </c>
      <c r="AG3069" s="5" t="s">
        <v>1859</v>
      </c>
      <c r="AH3069" s="5" t="s">
        <v>7364</v>
      </c>
      <c r="AI3069" s="5" t="s">
        <v>7404</v>
      </c>
    </row>
    <row r="3070" spans="1:35" ht="10" customHeight="1" x14ac:dyDescent="0.2">
      <c r="A3070" s="5" t="s">
        <v>7153</v>
      </c>
      <c r="B3070" s="5" t="s">
        <v>45</v>
      </c>
      <c r="D3070" s="5" t="s">
        <v>7405</v>
      </c>
      <c r="E3070" s="10" t="s">
        <v>57</v>
      </c>
      <c r="F3070" s="5" t="s">
        <v>7368</v>
      </c>
      <c r="I3070" s="11">
        <v>4</v>
      </c>
      <c r="K3070" s="10" t="s">
        <v>50</v>
      </c>
      <c r="L3070" s="5" t="s">
        <v>51</v>
      </c>
      <c r="M3070" s="5" t="s">
        <v>52</v>
      </c>
      <c r="N3070" s="5" t="s">
        <v>53</v>
      </c>
      <c r="O3070" s="14">
        <v>129034</v>
      </c>
      <c r="P3070" s="13">
        <v>10667</v>
      </c>
      <c r="Q3070" s="13">
        <v>14646</v>
      </c>
      <c r="S3070" s="13">
        <v>13851</v>
      </c>
      <c r="U3070" s="13">
        <v>13851</v>
      </c>
      <c r="AC3070" s="16" t="str">
        <f t="shared" si="141"/>
        <v/>
      </c>
      <c r="AD3070" s="17">
        <f t="shared" si="142"/>
        <v>13851</v>
      </c>
      <c r="AE3070" s="17">
        <f t="shared" si="143"/>
        <v>0</v>
      </c>
      <c r="AF3070" s="10" t="s">
        <v>7406</v>
      </c>
      <c r="AG3070" s="5" t="s">
        <v>1870</v>
      </c>
      <c r="AH3070" s="5" t="s">
        <v>7364</v>
      </c>
      <c r="AI3070" s="5" t="s">
        <v>7370</v>
      </c>
    </row>
    <row r="3071" spans="1:35" ht="10" customHeight="1" x14ac:dyDescent="0.2">
      <c r="A3071" s="5" t="s">
        <v>7153</v>
      </c>
      <c r="B3071" s="5" t="s">
        <v>45</v>
      </c>
      <c r="D3071" s="5" t="s">
        <v>7407</v>
      </c>
      <c r="E3071" s="10" t="s">
        <v>57</v>
      </c>
      <c r="F3071" s="5" t="s">
        <v>7408</v>
      </c>
      <c r="I3071" s="11">
        <v>4</v>
      </c>
      <c r="K3071" s="12"/>
      <c r="O3071" s="12"/>
      <c r="S3071" s="13">
        <v>2934</v>
      </c>
      <c r="U3071" s="13">
        <v>2934</v>
      </c>
      <c r="AC3071" s="16" t="str">
        <f t="shared" si="141"/>
        <v/>
      </c>
      <c r="AD3071" s="17">
        <f t="shared" si="142"/>
        <v>2934</v>
      </c>
      <c r="AE3071" s="17">
        <f t="shared" si="143"/>
        <v>0</v>
      </c>
      <c r="AF3071" s="10" t="s">
        <v>7409</v>
      </c>
      <c r="AG3071" s="5" t="s">
        <v>1870</v>
      </c>
      <c r="AH3071" s="5" t="s">
        <v>7364</v>
      </c>
    </row>
    <row r="3072" spans="1:35" ht="10" customHeight="1" x14ac:dyDescent="0.2">
      <c r="A3072" s="5" t="s">
        <v>7153</v>
      </c>
      <c r="B3072" s="5" t="s">
        <v>45</v>
      </c>
      <c r="D3072" s="5" t="s">
        <v>7410</v>
      </c>
      <c r="E3072" s="10" t="s">
        <v>57</v>
      </c>
      <c r="F3072" s="5" t="s">
        <v>7408</v>
      </c>
      <c r="I3072" s="11">
        <v>4</v>
      </c>
      <c r="K3072" s="12"/>
      <c r="O3072" s="14">
        <v>106685</v>
      </c>
      <c r="P3072" s="13">
        <v>10667</v>
      </c>
      <c r="Q3072" s="13">
        <v>12153</v>
      </c>
      <c r="S3072" s="13">
        <v>10917</v>
      </c>
      <c r="U3072" s="13">
        <v>10917</v>
      </c>
      <c r="AC3072" s="16" t="str">
        <f t="shared" si="141"/>
        <v/>
      </c>
      <c r="AD3072" s="17">
        <f t="shared" si="142"/>
        <v>10917</v>
      </c>
      <c r="AE3072" s="17">
        <f t="shared" si="143"/>
        <v>0</v>
      </c>
      <c r="AF3072" s="10" t="s">
        <v>7411</v>
      </c>
      <c r="AG3072" s="5" t="s">
        <v>1870</v>
      </c>
      <c r="AH3072" s="5" t="s">
        <v>7364</v>
      </c>
    </row>
    <row r="3073" spans="1:35" ht="10" customHeight="1" x14ac:dyDescent="0.2">
      <c r="A3073" s="5" t="s">
        <v>7153</v>
      </c>
      <c r="B3073" s="5" t="s">
        <v>45</v>
      </c>
      <c r="D3073" s="5" t="s">
        <v>7412</v>
      </c>
      <c r="E3073" s="10" t="s">
        <v>57</v>
      </c>
      <c r="F3073" s="5" t="s">
        <v>7368</v>
      </c>
      <c r="I3073" s="11">
        <v>4</v>
      </c>
      <c r="K3073" s="10" t="s">
        <v>50</v>
      </c>
      <c r="L3073" s="5" t="s">
        <v>51</v>
      </c>
      <c r="M3073" s="5" t="s">
        <v>52</v>
      </c>
      <c r="N3073" s="5" t="s">
        <v>53</v>
      </c>
      <c r="O3073" s="14">
        <v>91096</v>
      </c>
      <c r="P3073" s="13">
        <v>17412</v>
      </c>
      <c r="Q3073" s="13">
        <v>17760</v>
      </c>
      <c r="S3073" s="13">
        <v>21442</v>
      </c>
      <c r="U3073" s="13">
        <v>21442</v>
      </c>
      <c r="AC3073" s="16" t="str">
        <f t="shared" si="141"/>
        <v/>
      </c>
      <c r="AD3073" s="17">
        <f t="shared" si="142"/>
        <v>21442</v>
      </c>
      <c r="AE3073" s="17">
        <f t="shared" si="143"/>
        <v>0</v>
      </c>
      <c r="AF3073" s="10" t="s">
        <v>7413</v>
      </c>
      <c r="AG3073" s="5" t="s">
        <v>1883</v>
      </c>
      <c r="AH3073" s="5" t="s">
        <v>7364</v>
      </c>
      <c r="AI3073" s="5" t="s">
        <v>7378</v>
      </c>
    </row>
    <row r="3074" spans="1:35" ht="10" customHeight="1" x14ac:dyDescent="0.2">
      <c r="A3074" s="5" t="s">
        <v>7153</v>
      </c>
      <c r="B3074" s="5" t="s">
        <v>45</v>
      </c>
      <c r="D3074" s="5" t="s">
        <v>7414</v>
      </c>
      <c r="E3074" s="10" t="s">
        <v>57</v>
      </c>
      <c r="F3074" s="5" t="s">
        <v>7415</v>
      </c>
      <c r="I3074" s="11">
        <v>4</v>
      </c>
      <c r="K3074" s="12"/>
      <c r="O3074" s="14">
        <v>4034</v>
      </c>
      <c r="S3074" s="13">
        <v>731</v>
      </c>
      <c r="U3074" s="13">
        <v>731</v>
      </c>
      <c r="AC3074" s="16" t="str">
        <f t="shared" si="141"/>
        <v/>
      </c>
      <c r="AD3074" s="17">
        <f t="shared" si="142"/>
        <v>731</v>
      </c>
      <c r="AE3074" s="17">
        <f t="shared" si="143"/>
        <v>0</v>
      </c>
      <c r="AF3074" s="10" t="s">
        <v>7416</v>
      </c>
      <c r="AG3074" s="5" t="s">
        <v>1883</v>
      </c>
      <c r="AH3074" s="5" t="s">
        <v>7364</v>
      </c>
    </row>
    <row r="3075" spans="1:35" ht="10" customHeight="1" x14ac:dyDescent="0.2">
      <c r="A3075" s="5" t="s">
        <v>7153</v>
      </c>
      <c r="B3075" s="5" t="s">
        <v>45</v>
      </c>
      <c r="D3075" s="5" t="s">
        <v>7417</v>
      </c>
      <c r="E3075" s="10" t="s">
        <v>57</v>
      </c>
      <c r="F3075" s="5" t="s">
        <v>7415</v>
      </c>
      <c r="I3075" s="11">
        <v>4</v>
      </c>
      <c r="K3075" s="12"/>
      <c r="O3075" s="14">
        <v>87062</v>
      </c>
      <c r="P3075" s="13">
        <v>17412</v>
      </c>
      <c r="Q3075" s="13">
        <v>17760</v>
      </c>
      <c r="S3075" s="13">
        <v>20711</v>
      </c>
      <c r="U3075" s="13">
        <v>20711</v>
      </c>
      <c r="AC3075" s="16" t="str">
        <f t="shared" si="141"/>
        <v/>
      </c>
      <c r="AD3075" s="17">
        <f t="shared" si="142"/>
        <v>20711</v>
      </c>
      <c r="AE3075" s="17">
        <f t="shared" si="143"/>
        <v>0</v>
      </c>
      <c r="AF3075" s="10" t="s">
        <v>7418</v>
      </c>
      <c r="AG3075" s="5" t="s">
        <v>1883</v>
      </c>
      <c r="AH3075" s="5" t="s">
        <v>7364</v>
      </c>
    </row>
    <row r="3076" spans="1:35" ht="10" customHeight="1" x14ac:dyDescent="0.2">
      <c r="A3076" s="5" t="s">
        <v>7153</v>
      </c>
      <c r="B3076" s="5" t="s">
        <v>45</v>
      </c>
      <c r="D3076" s="5" t="s">
        <v>7419</v>
      </c>
      <c r="E3076" s="10" t="s">
        <v>57</v>
      </c>
      <c r="F3076" s="5" t="s">
        <v>7368</v>
      </c>
      <c r="I3076" s="11">
        <v>4</v>
      </c>
      <c r="K3076" s="10" t="s">
        <v>50</v>
      </c>
      <c r="L3076" s="5" t="s">
        <v>51</v>
      </c>
      <c r="M3076" s="5" t="s">
        <v>52</v>
      </c>
      <c r="N3076" s="5" t="s">
        <v>53</v>
      </c>
      <c r="O3076" s="14">
        <v>100677</v>
      </c>
      <c r="P3076" s="13">
        <v>20335</v>
      </c>
      <c r="Q3076" s="13">
        <v>11908</v>
      </c>
      <c r="S3076" s="13">
        <v>12188</v>
      </c>
      <c r="U3076" s="13">
        <v>12188</v>
      </c>
      <c r="AC3076" s="16" t="str">
        <f t="shared" si="141"/>
        <v/>
      </c>
      <c r="AD3076" s="17">
        <f t="shared" si="142"/>
        <v>12188</v>
      </c>
      <c r="AE3076" s="17">
        <f t="shared" si="143"/>
        <v>0</v>
      </c>
      <c r="AF3076" s="10" t="s">
        <v>7420</v>
      </c>
      <c r="AG3076" s="5" t="s">
        <v>1893</v>
      </c>
      <c r="AH3076" s="5" t="s">
        <v>7364</v>
      </c>
      <c r="AI3076" s="5" t="s">
        <v>7391</v>
      </c>
    </row>
    <row r="3077" spans="1:35" ht="10" customHeight="1" x14ac:dyDescent="0.2">
      <c r="A3077" s="5" t="s">
        <v>7153</v>
      </c>
      <c r="B3077" s="5" t="s">
        <v>45</v>
      </c>
      <c r="D3077" s="5" t="s">
        <v>7421</v>
      </c>
      <c r="E3077" s="10" t="s">
        <v>57</v>
      </c>
      <c r="F3077" s="5" t="s">
        <v>7422</v>
      </c>
      <c r="I3077" s="11">
        <v>4</v>
      </c>
      <c r="K3077" s="12"/>
      <c r="O3077" s="14">
        <v>20500</v>
      </c>
      <c r="P3077" s="13">
        <v>2122</v>
      </c>
      <c r="Q3077" s="13">
        <v>2164</v>
      </c>
      <c r="S3077" s="13">
        <v>2252</v>
      </c>
      <c r="U3077" s="13">
        <v>2252</v>
      </c>
      <c r="AC3077" s="16" t="str">
        <f t="shared" si="141"/>
        <v/>
      </c>
      <c r="AD3077" s="17">
        <f t="shared" si="142"/>
        <v>2252</v>
      </c>
      <c r="AE3077" s="17">
        <f t="shared" si="143"/>
        <v>0</v>
      </c>
      <c r="AF3077" s="10" t="s">
        <v>7423</v>
      </c>
      <c r="AG3077" s="5" t="s">
        <v>1893</v>
      </c>
      <c r="AH3077" s="5" t="s">
        <v>7364</v>
      </c>
    </row>
    <row r="3078" spans="1:35" ht="10" customHeight="1" x14ac:dyDescent="0.2">
      <c r="A3078" s="5" t="s">
        <v>7153</v>
      </c>
      <c r="B3078" s="5" t="s">
        <v>45</v>
      </c>
      <c r="D3078" s="5" t="s">
        <v>7424</v>
      </c>
      <c r="E3078" s="10" t="s">
        <v>57</v>
      </c>
      <c r="F3078" s="5" t="s">
        <v>7422</v>
      </c>
      <c r="I3078" s="11">
        <v>4</v>
      </c>
      <c r="K3078" s="12"/>
      <c r="O3078" s="14">
        <v>18801</v>
      </c>
      <c r="P3078" s="13">
        <v>10856</v>
      </c>
      <c r="Q3078" s="13">
        <v>7794</v>
      </c>
      <c r="S3078" s="13">
        <v>8444</v>
      </c>
      <c r="U3078" s="13">
        <v>8444</v>
      </c>
      <c r="AC3078" s="16" t="str">
        <f t="shared" ref="AC3078:AC3141" si="144">IF(OR(E3078="",E3078="[PARENT]"),"ADD",IF(E3078="[ALT_VIEW]","ALT",""))</f>
        <v/>
      </c>
      <c r="AD3078" s="17">
        <f t="shared" ref="AD3078:AD3141" si="145">IF(Y3078&lt;&gt;"",Y3078,IF(U3078&lt;&gt;"",U3078,S3078))</f>
        <v>8444</v>
      </c>
      <c r="AE3078" s="17">
        <f t="shared" ref="AE3078:AE3141" si="146">IF(AB3078&lt;&gt;"",AB3078,Z3078)</f>
        <v>0</v>
      </c>
      <c r="AF3078" s="10" t="s">
        <v>7425</v>
      </c>
      <c r="AG3078" s="5" t="s">
        <v>1893</v>
      </c>
      <c r="AH3078" s="5" t="s">
        <v>7364</v>
      </c>
    </row>
    <row r="3079" spans="1:35" ht="10" customHeight="1" x14ac:dyDescent="0.2">
      <c r="A3079" s="5" t="s">
        <v>7153</v>
      </c>
      <c r="B3079" s="5" t="s">
        <v>45</v>
      </c>
      <c r="D3079" s="5" t="s">
        <v>7426</v>
      </c>
      <c r="E3079" s="10" t="s">
        <v>57</v>
      </c>
      <c r="F3079" s="5" t="s">
        <v>7422</v>
      </c>
      <c r="I3079" s="11">
        <v>4</v>
      </c>
      <c r="K3079" s="12"/>
      <c r="O3079" s="14">
        <v>5710</v>
      </c>
      <c r="P3079" s="13">
        <v>2142</v>
      </c>
      <c r="Q3079" s="13">
        <v>1950</v>
      </c>
      <c r="S3079" s="13">
        <v>1492</v>
      </c>
      <c r="U3079" s="13">
        <v>1492</v>
      </c>
      <c r="AC3079" s="16" t="str">
        <f t="shared" si="144"/>
        <v/>
      </c>
      <c r="AD3079" s="17">
        <f t="shared" si="145"/>
        <v>1492</v>
      </c>
      <c r="AE3079" s="17">
        <f t="shared" si="146"/>
        <v>0</v>
      </c>
      <c r="AF3079" s="10" t="s">
        <v>7427</v>
      </c>
      <c r="AG3079" s="5" t="s">
        <v>1893</v>
      </c>
      <c r="AH3079" s="5" t="s">
        <v>7364</v>
      </c>
    </row>
    <row r="3080" spans="1:35" ht="10" customHeight="1" x14ac:dyDescent="0.2">
      <c r="A3080" s="5" t="s">
        <v>7153</v>
      </c>
      <c r="B3080" s="5" t="s">
        <v>45</v>
      </c>
      <c r="D3080" s="5" t="s">
        <v>7428</v>
      </c>
      <c r="E3080" s="10" t="s">
        <v>57</v>
      </c>
      <c r="F3080" s="5" t="s">
        <v>7368</v>
      </c>
      <c r="I3080" s="11">
        <v>4</v>
      </c>
      <c r="K3080" s="12"/>
      <c r="O3080" s="14">
        <v>12315</v>
      </c>
      <c r="P3080" s="13">
        <v>3060</v>
      </c>
      <c r="Q3080" s="13">
        <v>3121</v>
      </c>
      <c r="S3080" s="13">
        <v>3183</v>
      </c>
      <c r="U3080" s="13">
        <v>3183</v>
      </c>
      <c r="AC3080" s="16" t="str">
        <f t="shared" si="144"/>
        <v/>
      </c>
      <c r="AD3080" s="17">
        <f t="shared" si="145"/>
        <v>3183</v>
      </c>
      <c r="AE3080" s="17">
        <f t="shared" si="146"/>
        <v>0</v>
      </c>
      <c r="AF3080" s="10" t="s">
        <v>7429</v>
      </c>
      <c r="AG3080" s="5" t="s">
        <v>1907</v>
      </c>
      <c r="AH3080" s="5" t="s">
        <v>7364</v>
      </c>
      <c r="AI3080" s="5" t="s">
        <v>7396</v>
      </c>
    </row>
    <row r="3081" spans="1:35" ht="10" customHeight="1" x14ac:dyDescent="0.2">
      <c r="A3081" s="5" t="s">
        <v>7153</v>
      </c>
      <c r="B3081" s="5" t="s">
        <v>45</v>
      </c>
      <c r="D3081" s="5" t="s">
        <v>7430</v>
      </c>
      <c r="E3081" s="10" t="s">
        <v>57</v>
      </c>
      <c r="F3081" s="5" t="s">
        <v>7368</v>
      </c>
      <c r="I3081" s="11">
        <v>4</v>
      </c>
      <c r="K3081" s="10" t="s">
        <v>50</v>
      </c>
      <c r="L3081" s="5" t="s">
        <v>51</v>
      </c>
      <c r="M3081" s="5" t="s">
        <v>52</v>
      </c>
      <c r="N3081" s="5" t="s">
        <v>53</v>
      </c>
      <c r="O3081" s="14">
        <v>742476</v>
      </c>
      <c r="P3081" s="13">
        <v>27782</v>
      </c>
      <c r="Q3081" s="13">
        <v>14951</v>
      </c>
      <c r="S3081" s="13">
        <v>6377</v>
      </c>
      <c r="U3081" s="13">
        <v>6377</v>
      </c>
      <c r="AC3081" s="16" t="str">
        <f t="shared" si="144"/>
        <v/>
      </c>
      <c r="AD3081" s="17">
        <f t="shared" si="145"/>
        <v>6377</v>
      </c>
      <c r="AE3081" s="17">
        <f t="shared" si="146"/>
        <v>0</v>
      </c>
      <c r="AF3081" s="10" t="s">
        <v>7431</v>
      </c>
      <c r="AG3081" s="5" t="s">
        <v>1916</v>
      </c>
      <c r="AH3081" s="5" t="s">
        <v>7364</v>
      </c>
      <c r="AI3081" s="5" t="s">
        <v>7430</v>
      </c>
    </row>
    <row r="3082" spans="1:35" ht="10" customHeight="1" x14ac:dyDescent="0.2">
      <c r="A3082" s="5" t="s">
        <v>7153</v>
      </c>
      <c r="B3082" s="5" t="s">
        <v>45</v>
      </c>
      <c r="D3082" s="5" t="s">
        <v>7432</v>
      </c>
      <c r="E3082" s="10" t="s">
        <v>57</v>
      </c>
      <c r="F3082" s="5" t="s">
        <v>7433</v>
      </c>
      <c r="I3082" s="11">
        <v>4</v>
      </c>
      <c r="K3082" s="12"/>
      <c r="O3082" s="14">
        <v>32722</v>
      </c>
      <c r="P3082" s="13">
        <v>8583</v>
      </c>
      <c r="Q3082" s="13">
        <v>5376</v>
      </c>
      <c r="S3082" s="13">
        <v>3544</v>
      </c>
      <c r="U3082" s="13">
        <v>3544</v>
      </c>
      <c r="AC3082" s="16" t="str">
        <f t="shared" si="144"/>
        <v/>
      </c>
      <c r="AD3082" s="17">
        <f t="shared" si="145"/>
        <v>3544</v>
      </c>
      <c r="AE3082" s="17">
        <f t="shared" si="146"/>
        <v>0</v>
      </c>
      <c r="AF3082" s="10" t="s">
        <v>7434</v>
      </c>
      <c r="AG3082" s="5" t="s">
        <v>1916</v>
      </c>
      <c r="AH3082" s="5" t="s">
        <v>7364</v>
      </c>
    </row>
    <row r="3083" spans="1:35" ht="10" customHeight="1" x14ac:dyDescent="0.2">
      <c r="A3083" s="5" t="s">
        <v>7153</v>
      </c>
      <c r="B3083" s="5" t="s">
        <v>45</v>
      </c>
      <c r="D3083" s="5" t="s">
        <v>7435</v>
      </c>
      <c r="E3083" s="10" t="s">
        <v>57</v>
      </c>
      <c r="F3083" s="5" t="s">
        <v>7433</v>
      </c>
      <c r="I3083" s="11">
        <v>4</v>
      </c>
      <c r="K3083" s="12"/>
      <c r="O3083" s="14">
        <v>2740</v>
      </c>
      <c r="P3083" s="13">
        <v>2830</v>
      </c>
      <c r="Q3083" s="13">
        <v>2901</v>
      </c>
      <c r="S3083" s="13">
        <v>2833</v>
      </c>
      <c r="U3083" s="13">
        <v>2833</v>
      </c>
      <c r="AC3083" s="16" t="str">
        <f t="shared" si="144"/>
        <v/>
      </c>
      <c r="AD3083" s="17">
        <f t="shared" si="145"/>
        <v>2833</v>
      </c>
      <c r="AE3083" s="17">
        <f t="shared" si="146"/>
        <v>0</v>
      </c>
      <c r="AF3083" s="10" t="s">
        <v>7436</v>
      </c>
      <c r="AG3083" s="5" t="s">
        <v>1916</v>
      </c>
      <c r="AH3083" s="5" t="s">
        <v>7364</v>
      </c>
    </row>
    <row r="3084" spans="1:35" ht="10" customHeight="1" x14ac:dyDescent="0.2">
      <c r="A3084" s="5" t="s">
        <v>7153</v>
      </c>
      <c r="B3084" s="5" t="s">
        <v>45</v>
      </c>
      <c r="D3084" s="5" t="s">
        <v>7437</v>
      </c>
      <c r="E3084" s="10" t="s">
        <v>57</v>
      </c>
      <c r="F3084" s="5" t="s">
        <v>7368</v>
      </c>
      <c r="I3084" s="11">
        <v>4</v>
      </c>
      <c r="K3084" s="10" t="s">
        <v>50</v>
      </c>
      <c r="L3084" s="5" t="s">
        <v>51</v>
      </c>
      <c r="M3084" s="5" t="s">
        <v>52</v>
      </c>
      <c r="N3084" s="5" t="s">
        <v>53</v>
      </c>
      <c r="O3084" s="14">
        <v>133245</v>
      </c>
      <c r="P3084" s="13">
        <v>17309</v>
      </c>
      <c r="Q3084" s="13">
        <v>11113</v>
      </c>
      <c r="S3084" s="13">
        <v>8507</v>
      </c>
      <c r="U3084" s="13">
        <v>8507</v>
      </c>
      <c r="AC3084" s="16" t="str">
        <f t="shared" si="144"/>
        <v/>
      </c>
      <c r="AD3084" s="17">
        <f t="shared" si="145"/>
        <v>8507</v>
      </c>
      <c r="AE3084" s="17">
        <f t="shared" si="146"/>
        <v>0</v>
      </c>
      <c r="AF3084" s="10" t="s">
        <v>7438</v>
      </c>
      <c r="AG3084" s="5" t="s">
        <v>1951</v>
      </c>
      <c r="AH3084" s="5" t="s">
        <v>7364</v>
      </c>
      <c r="AI3084" s="5" t="s">
        <v>7437</v>
      </c>
    </row>
    <row r="3085" spans="1:35" ht="10" customHeight="1" x14ac:dyDescent="0.2">
      <c r="A3085" s="5" t="s">
        <v>7153</v>
      </c>
      <c r="B3085" s="5" t="s">
        <v>45</v>
      </c>
      <c r="D3085" s="5" t="s">
        <v>7439</v>
      </c>
      <c r="E3085" s="10" t="s">
        <v>57</v>
      </c>
      <c r="F3085" s="5" t="s">
        <v>7440</v>
      </c>
      <c r="I3085" s="11">
        <v>4</v>
      </c>
      <c r="K3085" s="12"/>
      <c r="O3085" s="14">
        <v>18812</v>
      </c>
      <c r="P3085" s="13">
        <v>3934</v>
      </c>
      <c r="Q3085" s="13">
        <v>3611</v>
      </c>
      <c r="S3085" s="13">
        <v>3875</v>
      </c>
      <c r="U3085" s="13">
        <v>3875</v>
      </c>
      <c r="AC3085" s="16" t="str">
        <f t="shared" si="144"/>
        <v/>
      </c>
      <c r="AD3085" s="17">
        <f t="shared" si="145"/>
        <v>3875</v>
      </c>
      <c r="AE3085" s="17">
        <f t="shared" si="146"/>
        <v>0</v>
      </c>
      <c r="AF3085" s="10" t="s">
        <v>7441</v>
      </c>
      <c r="AG3085" s="5" t="s">
        <v>1951</v>
      </c>
      <c r="AH3085" s="5" t="s">
        <v>7364</v>
      </c>
    </row>
    <row r="3086" spans="1:35" ht="10" customHeight="1" x14ac:dyDescent="0.2">
      <c r="A3086" s="5" t="s">
        <v>7153</v>
      </c>
      <c r="B3086" s="5" t="s">
        <v>45</v>
      </c>
      <c r="D3086" s="5" t="s">
        <v>7442</v>
      </c>
      <c r="E3086" s="10" t="s">
        <v>57</v>
      </c>
      <c r="F3086" s="5" t="s">
        <v>7440</v>
      </c>
      <c r="I3086" s="11">
        <v>4</v>
      </c>
      <c r="K3086" s="12"/>
      <c r="O3086" s="12"/>
      <c r="P3086" s="13">
        <v>5112</v>
      </c>
      <c r="Q3086" s="13">
        <v>7502</v>
      </c>
      <c r="S3086" s="13">
        <v>4632</v>
      </c>
      <c r="U3086" s="13">
        <v>4632</v>
      </c>
      <c r="AC3086" s="16" t="str">
        <f t="shared" si="144"/>
        <v/>
      </c>
      <c r="AD3086" s="17">
        <f t="shared" si="145"/>
        <v>4632</v>
      </c>
      <c r="AE3086" s="17">
        <f t="shared" si="146"/>
        <v>0</v>
      </c>
      <c r="AF3086" s="10" t="s">
        <v>7443</v>
      </c>
      <c r="AG3086" s="5" t="s">
        <v>1951</v>
      </c>
      <c r="AH3086" s="5" t="s">
        <v>7364</v>
      </c>
    </row>
    <row r="3087" spans="1:35" ht="10" customHeight="1" x14ac:dyDescent="0.2">
      <c r="A3087" s="5" t="s">
        <v>7153</v>
      </c>
      <c r="B3087" s="5" t="s">
        <v>45</v>
      </c>
      <c r="D3087" s="5" t="s">
        <v>7444</v>
      </c>
      <c r="E3087" s="10" t="s">
        <v>57</v>
      </c>
      <c r="F3087" s="5" t="s">
        <v>7368</v>
      </c>
      <c r="I3087" s="11">
        <v>4</v>
      </c>
      <c r="K3087" s="10" t="s">
        <v>50</v>
      </c>
      <c r="L3087" s="5" t="s">
        <v>51</v>
      </c>
      <c r="M3087" s="5" t="s">
        <v>52</v>
      </c>
      <c r="N3087" s="5" t="s">
        <v>53</v>
      </c>
      <c r="O3087" s="14">
        <v>34137</v>
      </c>
      <c r="P3087" s="13">
        <v>82497</v>
      </c>
      <c r="Q3087" s="13">
        <v>85079</v>
      </c>
      <c r="S3087" s="13">
        <v>127209</v>
      </c>
      <c r="U3087" s="13">
        <v>127209</v>
      </c>
      <c r="AC3087" s="16" t="str">
        <f t="shared" si="144"/>
        <v/>
      </c>
      <c r="AD3087" s="17">
        <f t="shared" si="145"/>
        <v>127209</v>
      </c>
      <c r="AE3087" s="17">
        <f t="shared" si="146"/>
        <v>0</v>
      </c>
      <c r="AF3087" s="10" t="s">
        <v>7445</v>
      </c>
      <c r="AG3087" s="5" t="s">
        <v>1960</v>
      </c>
      <c r="AH3087" s="5" t="s">
        <v>7364</v>
      </c>
      <c r="AI3087" s="5" t="s">
        <v>7444</v>
      </c>
    </row>
    <row r="3088" spans="1:35" ht="10" customHeight="1" x14ac:dyDescent="0.2">
      <c r="A3088" s="5" t="s">
        <v>7153</v>
      </c>
      <c r="B3088" s="5" t="s">
        <v>45</v>
      </c>
      <c r="D3088" s="5" t="s">
        <v>7446</v>
      </c>
      <c r="E3088" s="10" t="s">
        <v>57</v>
      </c>
      <c r="F3088" s="5" t="s">
        <v>7447</v>
      </c>
      <c r="I3088" s="11">
        <v>4</v>
      </c>
      <c r="K3088" s="12"/>
      <c r="O3088" s="14">
        <v>21023</v>
      </c>
      <c r="P3088" s="13">
        <v>18822</v>
      </c>
      <c r="Q3088" s="13">
        <v>19198</v>
      </c>
      <c r="S3088" s="13">
        <v>19581</v>
      </c>
      <c r="U3088" s="13">
        <v>19581</v>
      </c>
      <c r="AC3088" s="16" t="str">
        <f t="shared" si="144"/>
        <v/>
      </c>
      <c r="AD3088" s="17">
        <f t="shared" si="145"/>
        <v>19581</v>
      </c>
      <c r="AE3088" s="17">
        <f t="shared" si="146"/>
        <v>0</v>
      </c>
      <c r="AF3088" s="10" t="s">
        <v>7448</v>
      </c>
      <c r="AG3088" s="5" t="s">
        <v>1960</v>
      </c>
      <c r="AH3088" s="5" t="s">
        <v>7364</v>
      </c>
    </row>
    <row r="3089" spans="1:36" ht="10" customHeight="1" x14ac:dyDescent="0.2">
      <c r="A3089" s="5" t="s">
        <v>7153</v>
      </c>
      <c r="B3089" s="5" t="s">
        <v>45</v>
      </c>
      <c r="D3089" s="5" t="s">
        <v>7449</v>
      </c>
      <c r="E3089" s="10" t="s">
        <v>57</v>
      </c>
      <c r="F3089" s="5" t="s">
        <v>7447</v>
      </c>
      <c r="I3089" s="11">
        <v>4</v>
      </c>
      <c r="K3089" s="12"/>
      <c r="O3089" s="14">
        <v>8957</v>
      </c>
      <c r="P3089" s="13">
        <v>24552</v>
      </c>
      <c r="Q3089" s="13">
        <v>26392</v>
      </c>
      <c r="S3089" s="13">
        <v>32077</v>
      </c>
      <c r="U3089" s="13">
        <v>32077</v>
      </c>
      <c r="AC3089" s="16" t="str">
        <f t="shared" si="144"/>
        <v/>
      </c>
      <c r="AD3089" s="17">
        <f t="shared" si="145"/>
        <v>32077</v>
      </c>
      <c r="AE3089" s="17">
        <f t="shared" si="146"/>
        <v>0</v>
      </c>
      <c r="AF3089" s="10" t="s">
        <v>7450</v>
      </c>
      <c r="AG3089" s="5" t="s">
        <v>1960</v>
      </c>
      <c r="AH3089" s="5" t="s">
        <v>7364</v>
      </c>
    </row>
    <row r="3090" spans="1:36" ht="10" customHeight="1" x14ac:dyDescent="0.2">
      <c r="A3090" s="5" t="s">
        <v>7153</v>
      </c>
      <c r="B3090" s="5" t="s">
        <v>45</v>
      </c>
      <c r="D3090" s="5" t="s">
        <v>7451</v>
      </c>
      <c r="E3090" s="10" t="s">
        <v>57</v>
      </c>
      <c r="F3090" s="5" t="s">
        <v>7447</v>
      </c>
      <c r="I3090" s="11">
        <v>6</v>
      </c>
      <c r="K3090" s="12"/>
      <c r="O3090" s="14">
        <v>2682</v>
      </c>
      <c r="P3090" s="13">
        <v>20802</v>
      </c>
      <c r="Q3090" s="13">
        <v>20802</v>
      </c>
      <c r="S3090" s="13">
        <v>21218</v>
      </c>
      <c r="U3090" s="13">
        <v>21218</v>
      </c>
      <c r="AC3090" s="16" t="str">
        <f t="shared" si="144"/>
        <v/>
      </c>
      <c r="AD3090" s="17">
        <f t="shared" si="145"/>
        <v>21218</v>
      </c>
      <c r="AE3090" s="17">
        <f t="shared" si="146"/>
        <v>0</v>
      </c>
      <c r="AF3090" s="10" t="s">
        <v>7452</v>
      </c>
      <c r="AG3090" s="5" t="s">
        <v>1960</v>
      </c>
      <c r="AH3090" s="5" t="s">
        <v>7364</v>
      </c>
    </row>
    <row r="3091" spans="1:36" ht="10" customHeight="1" x14ac:dyDescent="0.2">
      <c r="A3091" s="5" t="s">
        <v>7153</v>
      </c>
      <c r="B3091" s="5" t="s">
        <v>45</v>
      </c>
      <c r="D3091" s="5" t="s">
        <v>7453</v>
      </c>
      <c r="E3091" s="10" t="s">
        <v>57</v>
      </c>
      <c r="F3091" s="5" t="s">
        <v>7447</v>
      </c>
      <c r="I3091" s="11">
        <v>4</v>
      </c>
      <c r="K3091" s="12"/>
      <c r="O3091" s="14">
        <v>1475</v>
      </c>
      <c r="P3091" s="13">
        <v>18321</v>
      </c>
      <c r="Q3091" s="13">
        <v>18687</v>
      </c>
      <c r="S3091" s="13">
        <v>18493</v>
      </c>
      <c r="U3091" s="13">
        <v>18493</v>
      </c>
      <c r="AC3091" s="16" t="str">
        <f t="shared" si="144"/>
        <v/>
      </c>
      <c r="AD3091" s="17">
        <f t="shared" si="145"/>
        <v>18493</v>
      </c>
      <c r="AE3091" s="17">
        <f t="shared" si="146"/>
        <v>0</v>
      </c>
      <c r="AF3091" s="10" t="s">
        <v>7454</v>
      </c>
      <c r="AG3091" s="5" t="s">
        <v>1960</v>
      </c>
      <c r="AH3091" s="5" t="s">
        <v>7364</v>
      </c>
    </row>
    <row r="3092" spans="1:36" ht="10" customHeight="1" x14ac:dyDescent="0.2">
      <c r="A3092" s="5" t="s">
        <v>7153</v>
      </c>
      <c r="B3092" s="5" t="s">
        <v>45</v>
      </c>
      <c r="D3092" s="5" t="s">
        <v>7455</v>
      </c>
      <c r="E3092" s="10" t="s">
        <v>57</v>
      </c>
      <c r="F3092" s="5" t="s">
        <v>7447</v>
      </c>
      <c r="I3092" s="11">
        <v>4</v>
      </c>
      <c r="K3092" s="12"/>
      <c r="O3092" s="12"/>
      <c r="S3092" s="13">
        <v>35840</v>
      </c>
      <c r="U3092" s="13">
        <v>35840</v>
      </c>
      <c r="AC3092" s="16" t="str">
        <f t="shared" si="144"/>
        <v/>
      </c>
      <c r="AD3092" s="17">
        <f t="shared" si="145"/>
        <v>35840</v>
      </c>
      <c r="AE3092" s="17">
        <f t="shared" si="146"/>
        <v>0</v>
      </c>
      <c r="AF3092" s="10" t="s">
        <v>7456</v>
      </c>
      <c r="AG3092" s="5" t="s">
        <v>1960</v>
      </c>
      <c r="AH3092" s="5" t="s">
        <v>7364</v>
      </c>
    </row>
    <row r="3093" spans="1:36" ht="10" customHeight="1" x14ac:dyDescent="0.2">
      <c r="A3093" s="5" t="s">
        <v>7153</v>
      </c>
      <c r="B3093" s="5" t="s">
        <v>45</v>
      </c>
      <c r="D3093" s="5" t="s">
        <v>7375</v>
      </c>
      <c r="E3093" s="10" t="s">
        <v>57</v>
      </c>
      <c r="F3093" s="5" t="s">
        <v>7368</v>
      </c>
      <c r="I3093" s="11">
        <v>6</v>
      </c>
      <c r="K3093" s="12"/>
      <c r="O3093" s="14">
        <v>164476</v>
      </c>
      <c r="P3093" s="13">
        <v>12029</v>
      </c>
      <c r="Q3093" s="13">
        <v>12269</v>
      </c>
      <c r="S3093" s="13">
        <v>12514</v>
      </c>
      <c r="U3093" s="13">
        <v>12514</v>
      </c>
      <c r="AC3093" s="16" t="str">
        <f t="shared" si="144"/>
        <v/>
      </c>
      <c r="AD3093" s="17">
        <f t="shared" si="145"/>
        <v>12514</v>
      </c>
      <c r="AE3093" s="17">
        <f t="shared" si="146"/>
        <v>0</v>
      </c>
      <c r="AF3093" s="10" t="s">
        <v>7457</v>
      </c>
      <c r="AG3093" s="5" t="s">
        <v>4655</v>
      </c>
      <c r="AH3093" s="5" t="s">
        <v>7364</v>
      </c>
      <c r="AI3093" s="5" t="s">
        <v>7375</v>
      </c>
    </row>
    <row r="3094" spans="1:36" ht="10" customHeight="1" x14ac:dyDescent="0.2">
      <c r="A3094" s="5" t="s">
        <v>7153</v>
      </c>
      <c r="B3094" s="5" t="s">
        <v>45</v>
      </c>
      <c r="D3094" s="5" t="s">
        <v>7458</v>
      </c>
      <c r="E3094" s="10" t="s">
        <v>57</v>
      </c>
      <c r="F3094" s="5" t="s">
        <v>7368</v>
      </c>
      <c r="I3094" s="11">
        <v>1</v>
      </c>
      <c r="J3094" s="5" t="s">
        <v>250</v>
      </c>
      <c r="K3094" s="10" t="s">
        <v>50</v>
      </c>
      <c r="L3094" s="5" t="s">
        <v>51</v>
      </c>
      <c r="M3094" s="5" t="s">
        <v>52</v>
      </c>
      <c r="N3094" s="5" t="s">
        <v>53</v>
      </c>
      <c r="O3094" s="14">
        <v>38054</v>
      </c>
      <c r="P3094" s="13">
        <v>61393</v>
      </c>
      <c r="Q3094" s="13">
        <v>56790</v>
      </c>
      <c r="S3094" s="13">
        <v>200317</v>
      </c>
      <c r="U3094" s="13">
        <v>200317</v>
      </c>
      <c r="AC3094" s="16" t="str">
        <f t="shared" si="144"/>
        <v/>
      </c>
      <c r="AD3094" s="17">
        <f t="shared" si="145"/>
        <v>200317</v>
      </c>
      <c r="AE3094" s="17">
        <f t="shared" si="146"/>
        <v>0</v>
      </c>
      <c r="AF3094" s="10" t="s">
        <v>7459</v>
      </c>
      <c r="AG3094" s="5" t="s">
        <v>90</v>
      </c>
      <c r="AH3094" s="5" t="s">
        <v>7364</v>
      </c>
      <c r="AI3094" s="5" t="s">
        <v>7458</v>
      </c>
    </row>
    <row r="3095" spans="1:36" ht="10" customHeight="1" x14ac:dyDescent="0.2">
      <c r="A3095" s="5" t="s">
        <v>7153</v>
      </c>
      <c r="B3095" s="5" t="s">
        <v>45</v>
      </c>
      <c r="D3095" s="5" t="s">
        <v>7460</v>
      </c>
      <c r="E3095" s="10" t="s">
        <v>57</v>
      </c>
      <c r="F3095" s="5" t="s">
        <v>7458</v>
      </c>
      <c r="I3095" s="11">
        <v>1</v>
      </c>
      <c r="J3095" s="5" t="s">
        <v>250</v>
      </c>
      <c r="K3095" s="10" t="s">
        <v>50</v>
      </c>
      <c r="L3095" s="5" t="s">
        <v>51</v>
      </c>
      <c r="M3095" s="5" t="s">
        <v>52</v>
      </c>
      <c r="N3095" s="5" t="s">
        <v>53</v>
      </c>
      <c r="O3095" s="14">
        <v>17119</v>
      </c>
      <c r="P3095" s="13">
        <v>54451</v>
      </c>
      <c r="Q3095" s="13">
        <v>45524</v>
      </c>
      <c r="S3095" s="13">
        <v>198119</v>
      </c>
      <c r="U3095" s="13">
        <v>198119</v>
      </c>
      <c r="AC3095" s="16" t="str">
        <f t="shared" si="144"/>
        <v/>
      </c>
      <c r="AD3095" s="17">
        <f t="shared" si="145"/>
        <v>198119</v>
      </c>
      <c r="AE3095" s="17">
        <f t="shared" si="146"/>
        <v>0</v>
      </c>
      <c r="AF3095" s="10" t="s">
        <v>7461</v>
      </c>
      <c r="AG3095" s="5" t="s">
        <v>90</v>
      </c>
      <c r="AH3095" s="5" t="s">
        <v>7364</v>
      </c>
      <c r="AI3095" s="5" t="s">
        <v>7458</v>
      </c>
    </row>
    <row r="3096" spans="1:36" ht="10" customHeight="1" x14ac:dyDescent="0.2">
      <c r="A3096" s="5" t="s">
        <v>7153</v>
      </c>
      <c r="B3096" s="5" t="s">
        <v>45</v>
      </c>
      <c r="D3096" s="5" t="s">
        <v>7462</v>
      </c>
      <c r="E3096" s="10" t="s">
        <v>57</v>
      </c>
      <c r="F3096" s="5" t="s">
        <v>7458</v>
      </c>
      <c r="I3096" s="11">
        <v>6</v>
      </c>
      <c r="K3096" s="10" t="s">
        <v>50</v>
      </c>
      <c r="L3096" s="5" t="s">
        <v>51</v>
      </c>
      <c r="M3096" s="5" t="s">
        <v>52</v>
      </c>
      <c r="N3096" s="5" t="s">
        <v>53</v>
      </c>
      <c r="O3096" s="14">
        <v>20935</v>
      </c>
      <c r="P3096" s="13">
        <v>6942</v>
      </c>
      <c r="Q3096" s="13">
        <v>11266</v>
      </c>
      <c r="S3096" s="13">
        <v>2198</v>
      </c>
      <c r="U3096" s="13">
        <v>2198</v>
      </c>
      <c r="AC3096" s="16" t="str">
        <f t="shared" si="144"/>
        <v/>
      </c>
      <c r="AD3096" s="17">
        <f t="shared" si="145"/>
        <v>2198</v>
      </c>
      <c r="AE3096" s="17">
        <f t="shared" si="146"/>
        <v>0</v>
      </c>
      <c r="AF3096" s="10" t="s">
        <v>7463</v>
      </c>
      <c r="AG3096" s="5" t="s">
        <v>90</v>
      </c>
      <c r="AH3096" s="5" t="s">
        <v>7364</v>
      </c>
      <c r="AI3096" s="5" t="s">
        <v>7375</v>
      </c>
    </row>
    <row r="3097" spans="1:36" ht="10" customHeight="1" x14ac:dyDescent="0.2">
      <c r="A3097" s="5" t="s">
        <v>7153</v>
      </c>
      <c r="B3097" s="5" t="s">
        <v>45</v>
      </c>
      <c r="C3097" s="5" t="s">
        <v>7464</v>
      </c>
      <c r="D3097" s="5" t="s">
        <v>7465</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6" t="str">
        <f t="shared" si="144"/>
        <v>ADD</v>
      </c>
      <c r="AD3097" s="17">
        <f t="shared" si="145"/>
        <v>102954</v>
      </c>
      <c r="AE3097" s="17">
        <f t="shared" si="146"/>
        <v>165416</v>
      </c>
      <c r="AF3097" s="10" t="s">
        <v>7466</v>
      </c>
      <c r="AG3097" s="5" t="s">
        <v>2019</v>
      </c>
      <c r="AH3097" s="5" t="s">
        <v>7464</v>
      </c>
    </row>
    <row r="3098" spans="1:36" ht="10" customHeight="1" x14ac:dyDescent="0.2">
      <c r="A3098" s="5" t="s">
        <v>7153</v>
      </c>
      <c r="B3098" s="5" t="s">
        <v>45</v>
      </c>
      <c r="C3098" s="5" t="s">
        <v>7467</v>
      </c>
      <c r="D3098" s="5" t="s">
        <v>7468</v>
      </c>
      <c r="E3098" s="10" t="s">
        <v>57</v>
      </c>
      <c r="F3098" s="5" t="s">
        <v>7469</v>
      </c>
      <c r="I3098" s="11">
        <v>4</v>
      </c>
      <c r="K3098" s="10" t="s">
        <v>50</v>
      </c>
      <c r="L3098" s="5" t="s">
        <v>51</v>
      </c>
      <c r="M3098" s="5" t="s">
        <v>52</v>
      </c>
      <c r="O3098" s="14">
        <v>475193</v>
      </c>
      <c r="P3098" s="13">
        <v>52110</v>
      </c>
      <c r="Q3098" s="13">
        <v>62224</v>
      </c>
      <c r="S3098" s="13">
        <v>33321</v>
      </c>
      <c r="U3098" s="13">
        <v>33321</v>
      </c>
      <c r="AC3098" s="16" t="str">
        <f t="shared" si="144"/>
        <v/>
      </c>
      <c r="AD3098" s="17">
        <f t="shared" si="145"/>
        <v>33321</v>
      </c>
      <c r="AE3098" s="17">
        <f t="shared" si="146"/>
        <v>0</v>
      </c>
      <c r="AF3098" s="10" t="s">
        <v>7470</v>
      </c>
      <c r="AG3098" s="5" t="s">
        <v>2093</v>
      </c>
      <c r="AH3098" s="5" t="s">
        <v>7464</v>
      </c>
      <c r="AI3098" s="5" t="s">
        <v>7471</v>
      </c>
      <c r="AJ3098" s="5" t="s">
        <v>7467</v>
      </c>
    </row>
    <row r="3099" spans="1:36" ht="10" customHeight="1" x14ac:dyDescent="0.2">
      <c r="A3099" s="5" t="s">
        <v>7153</v>
      </c>
      <c r="B3099" s="5" t="s">
        <v>45</v>
      </c>
      <c r="C3099" s="5" t="s">
        <v>7467</v>
      </c>
      <c r="D3099" s="5" t="s">
        <v>7472</v>
      </c>
      <c r="E3099" s="10" t="s">
        <v>57</v>
      </c>
      <c r="F3099" s="5" t="s">
        <v>7473</v>
      </c>
      <c r="I3099" s="11">
        <v>4</v>
      </c>
      <c r="K3099" s="10" t="s">
        <v>50</v>
      </c>
      <c r="L3099" s="5" t="s">
        <v>51</v>
      </c>
      <c r="M3099" s="5" t="s">
        <v>52</v>
      </c>
      <c r="O3099" s="14">
        <v>141231</v>
      </c>
      <c r="P3099" s="13">
        <v>22994</v>
      </c>
      <c r="Q3099" s="13">
        <v>28484</v>
      </c>
      <c r="S3099" s="13">
        <v>22202</v>
      </c>
      <c r="U3099" s="13">
        <v>22202</v>
      </c>
      <c r="AC3099" s="16" t="str">
        <f t="shared" si="144"/>
        <v/>
      </c>
      <c r="AD3099" s="17">
        <f t="shared" si="145"/>
        <v>22202</v>
      </c>
      <c r="AE3099" s="17">
        <f t="shared" si="146"/>
        <v>0</v>
      </c>
      <c r="AF3099" s="10" t="s">
        <v>7474</v>
      </c>
      <c r="AG3099" s="5" t="s">
        <v>2093</v>
      </c>
      <c r="AH3099" s="5" t="s">
        <v>7464</v>
      </c>
      <c r="AI3099" s="5" t="s">
        <v>7471</v>
      </c>
      <c r="AJ3099" s="5" t="s">
        <v>7467</v>
      </c>
    </row>
    <row r="3100" spans="1:36" ht="10" customHeight="1" x14ac:dyDescent="0.2">
      <c r="A3100" s="5" t="s">
        <v>7153</v>
      </c>
      <c r="B3100" s="5" t="s">
        <v>45</v>
      </c>
      <c r="C3100" s="5" t="s">
        <v>7467</v>
      </c>
      <c r="D3100" s="5" t="s">
        <v>7475</v>
      </c>
      <c r="E3100" s="10" t="s">
        <v>57</v>
      </c>
      <c r="F3100" s="5" t="s">
        <v>7473</v>
      </c>
      <c r="I3100" s="11">
        <v>4</v>
      </c>
      <c r="K3100" s="12"/>
      <c r="O3100" s="14">
        <v>32727</v>
      </c>
      <c r="Q3100" s="13">
        <v>2097</v>
      </c>
      <c r="S3100" s="13">
        <v>2732</v>
      </c>
      <c r="U3100" s="13">
        <v>2732</v>
      </c>
      <c r="AC3100" s="16" t="str">
        <f t="shared" si="144"/>
        <v/>
      </c>
      <c r="AD3100" s="17">
        <f t="shared" si="145"/>
        <v>2732</v>
      </c>
      <c r="AE3100" s="17">
        <f t="shared" si="146"/>
        <v>0</v>
      </c>
      <c r="AF3100" s="10" t="s">
        <v>7476</v>
      </c>
      <c r="AG3100" s="5" t="s">
        <v>2093</v>
      </c>
      <c r="AH3100" s="5" t="s">
        <v>7464</v>
      </c>
      <c r="AI3100" s="5" t="s">
        <v>7471</v>
      </c>
      <c r="AJ3100" s="5" t="s">
        <v>7467</v>
      </c>
    </row>
    <row r="3101" spans="1:36" ht="10" customHeight="1" x14ac:dyDescent="0.2">
      <c r="A3101" s="5" t="s">
        <v>7153</v>
      </c>
      <c r="B3101" s="5" t="s">
        <v>45</v>
      </c>
      <c r="C3101" s="5" t="s">
        <v>7467</v>
      </c>
      <c r="D3101" s="5" t="s">
        <v>7477</v>
      </c>
      <c r="E3101" s="10" t="s">
        <v>57</v>
      </c>
      <c r="F3101" s="5" t="s">
        <v>7473</v>
      </c>
      <c r="I3101" s="11">
        <v>4</v>
      </c>
      <c r="K3101" s="12"/>
      <c r="O3101" s="14">
        <v>60228</v>
      </c>
      <c r="P3101" s="13">
        <v>12379</v>
      </c>
      <c r="Q3101" s="13">
        <v>14573</v>
      </c>
      <c r="S3101" s="13">
        <v>8387</v>
      </c>
      <c r="U3101" s="13">
        <v>8387</v>
      </c>
      <c r="AC3101" s="16" t="str">
        <f t="shared" si="144"/>
        <v/>
      </c>
      <c r="AD3101" s="17">
        <f t="shared" si="145"/>
        <v>8387</v>
      </c>
      <c r="AE3101" s="17">
        <f t="shared" si="146"/>
        <v>0</v>
      </c>
      <c r="AF3101" s="10" t="s">
        <v>7478</v>
      </c>
      <c r="AG3101" s="5" t="s">
        <v>2093</v>
      </c>
      <c r="AH3101" s="5" t="s">
        <v>7464</v>
      </c>
      <c r="AI3101" s="5" t="s">
        <v>7471</v>
      </c>
      <c r="AJ3101" s="5" t="s">
        <v>7467</v>
      </c>
    </row>
    <row r="3102" spans="1:36" ht="10" customHeight="1" x14ac:dyDescent="0.2">
      <c r="A3102" s="5" t="s">
        <v>7153</v>
      </c>
      <c r="B3102" s="5" t="s">
        <v>45</v>
      </c>
      <c r="C3102" s="5" t="s">
        <v>7479</v>
      </c>
      <c r="D3102" s="5" t="s">
        <v>7480</v>
      </c>
      <c r="E3102" s="10" t="s">
        <v>57</v>
      </c>
      <c r="F3102" s="5" t="s">
        <v>7469</v>
      </c>
      <c r="I3102" s="11">
        <v>6</v>
      </c>
      <c r="K3102" s="12"/>
      <c r="O3102" s="14">
        <v>72788</v>
      </c>
      <c r="P3102" s="13">
        <v>1939</v>
      </c>
      <c r="Q3102" s="13">
        <v>1977</v>
      </c>
      <c r="S3102" s="13">
        <v>1431</v>
      </c>
      <c r="U3102" s="13">
        <v>1431</v>
      </c>
      <c r="AC3102" s="16" t="str">
        <f t="shared" si="144"/>
        <v/>
      </c>
      <c r="AD3102" s="17">
        <f t="shared" si="145"/>
        <v>1431</v>
      </c>
      <c r="AE3102" s="17">
        <f t="shared" si="146"/>
        <v>0</v>
      </c>
      <c r="AF3102" s="10" t="s">
        <v>7481</v>
      </c>
      <c r="AG3102" s="5" t="s">
        <v>101</v>
      </c>
      <c r="AH3102" s="5" t="s">
        <v>7464</v>
      </c>
      <c r="AI3102" s="5" t="s">
        <v>7482</v>
      </c>
      <c r="AJ3102" s="5" t="s">
        <v>7479</v>
      </c>
    </row>
    <row r="3103" spans="1:36" ht="10" customHeight="1" x14ac:dyDescent="0.2">
      <c r="A3103" s="5" t="s">
        <v>7153</v>
      </c>
      <c r="B3103" s="5" t="s">
        <v>45</v>
      </c>
      <c r="C3103" s="5" t="s">
        <v>7483</v>
      </c>
      <c r="D3103" s="5" t="s">
        <v>7484</v>
      </c>
      <c r="E3103" s="10" t="s">
        <v>57</v>
      </c>
      <c r="F3103" s="5" t="s">
        <v>7469</v>
      </c>
      <c r="I3103" s="11">
        <v>4</v>
      </c>
      <c r="K3103" s="10" t="s">
        <v>50</v>
      </c>
      <c r="L3103" s="5" t="s">
        <v>51</v>
      </c>
      <c r="M3103" s="5" t="s">
        <v>52</v>
      </c>
      <c r="N3103" s="5" t="s">
        <v>4752</v>
      </c>
      <c r="O3103" s="14">
        <v>0</v>
      </c>
      <c r="P3103" s="13">
        <v>9680</v>
      </c>
      <c r="Q3103" s="13">
        <v>16735</v>
      </c>
      <c r="S3103" s="13">
        <v>13870</v>
      </c>
      <c r="U3103" s="13">
        <v>13870</v>
      </c>
      <c r="AC3103" s="16" t="str">
        <f t="shared" si="144"/>
        <v/>
      </c>
      <c r="AD3103" s="17">
        <f t="shared" si="145"/>
        <v>13870</v>
      </c>
      <c r="AE3103" s="17">
        <f t="shared" si="146"/>
        <v>0</v>
      </c>
      <c r="AF3103" s="10" t="s">
        <v>7485</v>
      </c>
      <c r="AG3103" s="5" t="s">
        <v>106</v>
      </c>
      <c r="AH3103" s="5" t="s">
        <v>7464</v>
      </c>
      <c r="AI3103" s="5" t="s">
        <v>7486</v>
      </c>
      <c r="AJ3103" s="5" t="s">
        <v>7483</v>
      </c>
    </row>
    <row r="3104" spans="1:36" ht="10" customHeight="1" x14ac:dyDescent="0.2">
      <c r="A3104" s="5" t="s">
        <v>7153</v>
      </c>
      <c r="B3104" s="5" t="s">
        <v>45</v>
      </c>
      <c r="C3104" s="5" t="s">
        <v>7483</v>
      </c>
      <c r="D3104" s="5" t="s">
        <v>7487</v>
      </c>
      <c r="E3104" s="10" t="s">
        <v>57</v>
      </c>
      <c r="F3104" s="5" t="s">
        <v>7469</v>
      </c>
      <c r="I3104" s="11">
        <v>4</v>
      </c>
      <c r="K3104" s="10" t="s">
        <v>50</v>
      </c>
      <c r="L3104" s="5" t="s">
        <v>51</v>
      </c>
      <c r="M3104" s="5" t="s">
        <v>52</v>
      </c>
      <c r="N3104" s="5" t="s">
        <v>88</v>
      </c>
      <c r="O3104" s="14">
        <v>46057</v>
      </c>
      <c r="P3104" s="13">
        <v>8101</v>
      </c>
      <c r="Q3104" s="13">
        <v>6238</v>
      </c>
      <c r="S3104" s="13">
        <v>0</v>
      </c>
      <c r="U3104" s="13">
        <v>0</v>
      </c>
      <c r="AC3104" s="16" t="str">
        <f t="shared" si="144"/>
        <v/>
      </c>
      <c r="AD3104" s="17">
        <f t="shared" si="145"/>
        <v>0</v>
      </c>
      <c r="AE3104" s="17">
        <f t="shared" si="146"/>
        <v>0</v>
      </c>
      <c r="AF3104" s="10" t="s">
        <v>7488</v>
      </c>
      <c r="AG3104" s="5" t="s">
        <v>4806</v>
      </c>
      <c r="AH3104" s="5" t="s">
        <v>7464</v>
      </c>
      <c r="AI3104" s="5" t="s">
        <v>7486</v>
      </c>
      <c r="AJ3104" s="5" t="s">
        <v>7483</v>
      </c>
    </row>
    <row r="3105" spans="1:36" ht="10" customHeight="1" x14ac:dyDescent="0.2">
      <c r="A3105" s="5" t="s">
        <v>7153</v>
      </c>
      <c r="B3105" s="5" t="s">
        <v>45</v>
      </c>
      <c r="C3105" s="5" t="s">
        <v>7483</v>
      </c>
      <c r="D3105" s="5" t="s">
        <v>7489</v>
      </c>
      <c r="E3105" s="10" t="s">
        <v>57</v>
      </c>
      <c r="F3105" s="5" t="s">
        <v>7469</v>
      </c>
      <c r="I3105" s="11">
        <v>4</v>
      </c>
      <c r="K3105" s="10" t="s">
        <v>50</v>
      </c>
      <c r="L3105" s="5" t="s">
        <v>51</v>
      </c>
      <c r="M3105" s="5" t="s">
        <v>52</v>
      </c>
      <c r="N3105" s="5" t="s">
        <v>88</v>
      </c>
      <c r="O3105" s="14">
        <v>337082</v>
      </c>
      <c r="P3105" s="13">
        <v>31059</v>
      </c>
      <c r="Q3105" s="13">
        <v>4465</v>
      </c>
      <c r="S3105" s="13">
        <v>0</v>
      </c>
      <c r="U3105" s="13">
        <v>0</v>
      </c>
      <c r="AC3105" s="16" t="str">
        <f t="shared" si="144"/>
        <v/>
      </c>
      <c r="AD3105" s="17">
        <f t="shared" si="145"/>
        <v>0</v>
      </c>
      <c r="AE3105" s="17">
        <f t="shared" si="146"/>
        <v>0</v>
      </c>
      <c r="AF3105" s="10" t="s">
        <v>7490</v>
      </c>
      <c r="AG3105" s="5" t="s">
        <v>7491</v>
      </c>
      <c r="AH3105" s="5" t="s">
        <v>7464</v>
      </c>
      <c r="AI3105" s="5" t="s">
        <v>7486</v>
      </c>
      <c r="AJ3105" s="5" t="s">
        <v>7483</v>
      </c>
    </row>
    <row r="3106" spans="1:36" ht="10" customHeight="1" x14ac:dyDescent="0.2">
      <c r="A3106" s="5" t="s">
        <v>7153</v>
      </c>
      <c r="B3106" s="5" t="s">
        <v>45</v>
      </c>
      <c r="C3106" s="5" t="s">
        <v>7483</v>
      </c>
      <c r="D3106" s="5" t="s">
        <v>7492</v>
      </c>
      <c r="E3106" s="10" t="s">
        <v>57</v>
      </c>
      <c r="F3106" s="5" t="s">
        <v>7469</v>
      </c>
      <c r="I3106" s="11">
        <v>4</v>
      </c>
      <c r="K3106" s="10" t="s">
        <v>50</v>
      </c>
      <c r="L3106" s="5" t="s">
        <v>51</v>
      </c>
      <c r="M3106" s="5" t="s">
        <v>52</v>
      </c>
      <c r="N3106" s="5" t="s">
        <v>88</v>
      </c>
      <c r="O3106" s="14">
        <v>151568</v>
      </c>
      <c r="P3106" s="13">
        <v>10095</v>
      </c>
      <c r="Q3106" s="13">
        <v>10656</v>
      </c>
      <c r="S3106" s="13">
        <v>12787</v>
      </c>
      <c r="U3106" s="13">
        <v>12787</v>
      </c>
      <c r="AC3106" s="16" t="str">
        <f t="shared" si="144"/>
        <v/>
      </c>
      <c r="AD3106" s="17">
        <f t="shared" si="145"/>
        <v>12787</v>
      </c>
      <c r="AE3106" s="17">
        <f t="shared" si="146"/>
        <v>0</v>
      </c>
      <c r="AF3106" s="10" t="s">
        <v>7493</v>
      </c>
      <c r="AG3106" s="5" t="s">
        <v>2167</v>
      </c>
      <c r="AH3106" s="5" t="s">
        <v>7464</v>
      </c>
      <c r="AI3106" s="5" t="s">
        <v>7486</v>
      </c>
      <c r="AJ3106" s="5" t="s">
        <v>7483</v>
      </c>
    </row>
    <row r="3107" spans="1:36" ht="10" customHeight="1" x14ac:dyDescent="0.2">
      <c r="A3107" s="5" t="s">
        <v>7153</v>
      </c>
      <c r="B3107" s="5" t="s">
        <v>45</v>
      </c>
      <c r="C3107" s="5" t="s">
        <v>7483</v>
      </c>
      <c r="D3107" s="5" t="s">
        <v>7494</v>
      </c>
      <c r="E3107" s="10" t="s">
        <v>57</v>
      </c>
      <c r="F3107" s="5" t="s">
        <v>7469</v>
      </c>
      <c r="I3107" s="11">
        <v>4</v>
      </c>
      <c r="K3107" s="10" t="s">
        <v>50</v>
      </c>
      <c r="L3107" s="5" t="s">
        <v>51</v>
      </c>
      <c r="M3107" s="5" t="s">
        <v>52</v>
      </c>
      <c r="N3107" s="5" t="s">
        <v>88</v>
      </c>
      <c r="O3107" s="14">
        <v>58734</v>
      </c>
      <c r="P3107" s="13">
        <v>20391</v>
      </c>
      <c r="Q3107" s="13">
        <v>38394</v>
      </c>
      <c r="S3107" s="13">
        <v>27173</v>
      </c>
      <c r="U3107" s="13">
        <v>27173</v>
      </c>
      <c r="AC3107" s="16" t="str">
        <f t="shared" si="144"/>
        <v/>
      </c>
      <c r="AD3107" s="17">
        <f t="shared" si="145"/>
        <v>27173</v>
      </c>
      <c r="AE3107" s="17">
        <f t="shared" si="146"/>
        <v>0</v>
      </c>
      <c r="AF3107" s="10" t="s">
        <v>7495</v>
      </c>
      <c r="AG3107" s="5" t="s">
        <v>2211</v>
      </c>
      <c r="AH3107" s="5" t="s">
        <v>7464</v>
      </c>
      <c r="AI3107" s="5" t="s">
        <v>7486</v>
      </c>
      <c r="AJ3107" s="5" t="s">
        <v>7483</v>
      </c>
    </row>
    <row r="3108" spans="1:36" ht="10" customHeight="1" x14ac:dyDescent="0.2">
      <c r="A3108" s="5" t="s">
        <v>7153</v>
      </c>
      <c r="B3108" s="5" t="s">
        <v>45</v>
      </c>
      <c r="C3108" s="5" t="s">
        <v>7483</v>
      </c>
      <c r="D3108" s="5" t="s">
        <v>7496</v>
      </c>
      <c r="E3108" s="10" t="s">
        <v>57</v>
      </c>
      <c r="F3108" s="5" t="s">
        <v>7469</v>
      </c>
      <c r="I3108" s="11">
        <v>1</v>
      </c>
      <c r="J3108" s="5" t="s">
        <v>250</v>
      </c>
      <c r="K3108" s="10" t="s">
        <v>50</v>
      </c>
      <c r="L3108" s="5" t="s">
        <v>51</v>
      </c>
      <c r="M3108" s="5" t="s">
        <v>52</v>
      </c>
      <c r="N3108" s="5" t="s">
        <v>53</v>
      </c>
      <c r="O3108" s="14">
        <v>0</v>
      </c>
      <c r="P3108" s="13">
        <v>0</v>
      </c>
      <c r="Q3108" s="13">
        <v>0</v>
      </c>
      <c r="S3108" s="13">
        <v>8610</v>
      </c>
      <c r="U3108" s="13">
        <v>8610</v>
      </c>
      <c r="AC3108" s="16" t="str">
        <f t="shared" si="144"/>
        <v/>
      </c>
      <c r="AD3108" s="17">
        <f t="shared" si="145"/>
        <v>8610</v>
      </c>
      <c r="AE3108" s="17">
        <f t="shared" si="146"/>
        <v>0</v>
      </c>
      <c r="AF3108" s="10" t="s">
        <v>7497</v>
      </c>
      <c r="AG3108" s="5" t="s">
        <v>2264</v>
      </c>
      <c r="AH3108" s="5" t="s">
        <v>7464</v>
      </c>
      <c r="AI3108" s="5" t="s">
        <v>7486</v>
      </c>
      <c r="AJ3108" s="5" t="s">
        <v>7483</v>
      </c>
    </row>
    <row r="3109" spans="1:36" ht="10" customHeight="1" x14ac:dyDescent="0.2">
      <c r="A3109" s="5" t="s">
        <v>7153</v>
      </c>
      <c r="B3109" s="5" t="s">
        <v>45</v>
      </c>
      <c r="C3109" s="5" t="s">
        <v>7483</v>
      </c>
      <c r="D3109" s="5" t="s">
        <v>7498</v>
      </c>
      <c r="E3109" s="10" t="s">
        <v>57</v>
      </c>
      <c r="F3109" s="5" t="s">
        <v>7469</v>
      </c>
      <c r="I3109" s="11">
        <v>4</v>
      </c>
      <c r="K3109" s="10" t="s">
        <v>50</v>
      </c>
      <c r="L3109" s="5" t="s">
        <v>51</v>
      </c>
      <c r="M3109" s="5" t="s">
        <v>52</v>
      </c>
      <c r="N3109" s="5" t="s">
        <v>88</v>
      </c>
      <c r="O3109" s="14">
        <v>0</v>
      </c>
      <c r="P3109" s="13">
        <v>0</v>
      </c>
      <c r="Q3109" s="13">
        <v>8397</v>
      </c>
      <c r="S3109" s="13">
        <v>5762</v>
      </c>
      <c r="U3109" s="13">
        <v>5762</v>
      </c>
      <c r="AC3109" s="16" t="str">
        <f t="shared" si="144"/>
        <v/>
      </c>
      <c r="AD3109" s="17">
        <f t="shared" si="145"/>
        <v>5762</v>
      </c>
      <c r="AE3109" s="17">
        <f t="shared" si="146"/>
        <v>0</v>
      </c>
      <c r="AF3109" s="10" t="s">
        <v>7499</v>
      </c>
      <c r="AG3109" s="5" t="s">
        <v>2306</v>
      </c>
      <c r="AH3109" s="5" t="s">
        <v>7464</v>
      </c>
      <c r="AI3109" s="5" t="s">
        <v>7486</v>
      </c>
      <c r="AJ3109" s="5" t="s">
        <v>7483</v>
      </c>
    </row>
    <row r="3110" spans="1:36" ht="10" customHeight="1" x14ac:dyDescent="0.2">
      <c r="A3110" s="5" t="s">
        <v>7153</v>
      </c>
      <c r="B3110" s="5" t="s">
        <v>45</v>
      </c>
      <c r="C3110" s="5" t="s">
        <v>7500</v>
      </c>
      <c r="D3110" s="5" t="s">
        <v>7501</v>
      </c>
      <c r="E3110" s="10" t="s">
        <v>48</v>
      </c>
      <c r="I3110" s="11">
        <v>4</v>
      </c>
      <c r="K3110" s="12"/>
      <c r="O3110" s="14">
        <v>219227</v>
      </c>
      <c r="P3110" s="13">
        <v>37301</v>
      </c>
      <c r="Q3110" s="13">
        <v>25362</v>
      </c>
      <c r="S3110" s="13">
        <v>25721</v>
      </c>
      <c r="T3110" s="13">
        <v>0</v>
      </c>
      <c r="U3110" s="13">
        <v>25721</v>
      </c>
      <c r="Z3110" s="13">
        <v>25105</v>
      </c>
      <c r="AB3110" s="13">
        <v>25105</v>
      </c>
      <c r="AC3110" s="16" t="str">
        <f t="shared" si="144"/>
        <v>ADD</v>
      </c>
      <c r="AD3110" s="17">
        <f t="shared" si="145"/>
        <v>25721</v>
      </c>
      <c r="AE3110" s="17">
        <f t="shared" si="146"/>
        <v>25105</v>
      </c>
      <c r="AF3110" s="10" t="s">
        <v>7502</v>
      </c>
      <c r="AG3110" s="5" t="s">
        <v>2350</v>
      </c>
      <c r="AH3110" s="5" t="s">
        <v>7500</v>
      </c>
    </row>
    <row r="3111" spans="1:36" ht="10" customHeight="1" x14ac:dyDescent="0.2">
      <c r="A3111" s="5" t="s">
        <v>7153</v>
      </c>
      <c r="B3111" s="5" t="s">
        <v>45</v>
      </c>
      <c r="D3111" s="5" t="s">
        <v>7503</v>
      </c>
      <c r="E3111" s="10" t="s">
        <v>57</v>
      </c>
      <c r="F3111" s="5" t="s">
        <v>7504</v>
      </c>
      <c r="I3111" s="11">
        <v>4</v>
      </c>
      <c r="K3111" s="10" t="s">
        <v>50</v>
      </c>
      <c r="L3111" s="5" t="s">
        <v>51</v>
      </c>
      <c r="M3111" s="5" t="s">
        <v>119</v>
      </c>
      <c r="O3111" s="14">
        <v>33769</v>
      </c>
      <c r="P3111" s="13">
        <v>7017</v>
      </c>
      <c r="Q3111" s="13">
        <v>5664</v>
      </c>
      <c r="S3111" s="13">
        <v>5773</v>
      </c>
      <c r="U3111" s="13">
        <v>5773</v>
      </c>
      <c r="AC3111" s="16" t="str">
        <f t="shared" si="144"/>
        <v/>
      </c>
      <c r="AD3111" s="17">
        <f t="shared" si="145"/>
        <v>5773</v>
      </c>
      <c r="AE3111" s="17">
        <f t="shared" si="146"/>
        <v>0</v>
      </c>
      <c r="AF3111" s="10" t="s">
        <v>7505</v>
      </c>
      <c r="AG3111" s="5" t="s">
        <v>2409</v>
      </c>
      <c r="AH3111" s="5" t="s">
        <v>7500</v>
      </c>
    </row>
    <row r="3112" spans="1:36" ht="10" customHeight="1" x14ac:dyDescent="0.2">
      <c r="A3112" s="5" t="s">
        <v>7153</v>
      </c>
      <c r="B3112" s="5" t="s">
        <v>45</v>
      </c>
      <c r="C3112" s="5" t="s">
        <v>7506</v>
      </c>
      <c r="D3112" s="5" t="s">
        <v>7507</v>
      </c>
      <c r="E3112" s="10" t="s">
        <v>57</v>
      </c>
      <c r="F3112" s="5" t="s">
        <v>7508</v>
      </c>
      <c r="I3112" s="11">
        <v>4</v>
      </c>
      <c r="K3112" s="10" t="s">
        <v>50</v>
      </c>
      <c r="L3112" s="5" t="s">
        <v>51</v>
      </c>
      <c r="M3112" s="5" t="s">
        <v>119</v>
      </c>
      <c r="O3112" s="14">
        <v>16696</v>
      </c>
      <c r="P3112" s="13">
        <v>2007</v>
      </c>
      <c r="Q3112" s="13">
        <v>2047</v>
      </c>
      <c r="S3112" s="13">
        <v>2088</v>
      </c>
      <c r="U3112" s="13">
        <v>2088</v>
      </c>
      <c r="AC3112" s="16" t="str">
        <f t="shared" si="144"/>
        <v/>
      </c>
      <c r="AD3112" s="17">
        <f t="shared" si="145"/>
        <v>2088</v>
      </c>
      <c r="AE3112" s="17">
        <f t="shared" si="146"/>
        <v>0</v>
      </c>
      <c r="AF3112" s="10" t="s">
        <v>7509</v>
      </c>
      <c r="AG3112" s="5" t="s">
        <v>2418</v>
      </c>
      <c r="AH3112" s="5" t="s">
        <v>7500</v>
      </c>
      <c r="AJ3112" s="5" t="s">
        <v>7506</v>
      </c>
    </row>
    <row r="3113" spans="1:36" ht="10" customHeight="1" x14ac:dyDescent="0.2">
      <c r="A3113" s="5" t="s">
        <v>7153</v>
      </c>
      <c r="B3113" s="5" t="s">
        <v>45</v>
      </c>
      <c r="C3113" s="5" t="s">
        <v>7510</v>
      </c>
      <c r="D3113" s="5" t="s">
        <v>7511</v>
      </c>
      <c r="E3113" s="10" t="s">
        <v>57</v>
      </c>
      <c r="F3113" s="5" t="s">
        <v>7508</v>
      </c>
      <c r="I3113" s="11">
        <v>4</v>
      </c>
      <c r="K3113" s="10" t="s">
        <v>50</v>
      </c>
      <c r="L3113" s="5" t="s">
        <v>51</v>
      </c>
      <c r="M3113" s="5" t="s">
        <v>119</v>
      </c>
      <c r="O3113" s="14">
        <v>14266</v>
      </c>
      <c r="P3113" s="13">
        <v>4678</v>
      </c>
      <c r="Q3113" s="13">
        <v>3279</v>
      </c>
      <c r="S3113" s="13">
        <v>3341</v>
      </c>
      <c r="U3113" s="13">
        <v>3341</v>
      </c>
      <c r="AC3113" s="16" t="str">
        <f t="shared" si="144"/>
        <v/>
      </c>
      <c r="AD3113" s="17">
        <f t="shared" si="145"/>
        <v>3341</v>
      </c>
      <c r="AE3113" s="17">
        <f t="shared" si="146"/>
        <v>0</v>
      </c>
      <c r="AF3113" s="10" t="s">
        <v>7512</v>
      </c>
      <c r="AG3113" s="5" t="s">
        <v>2418</v>
      </c>
      <c r="AH3113" s="5" t="s">
        <v>7500</v>
      </c>
      <c r="AJ3113" s="5" t="s">
        <v>7510</v>
      </c>
    </row>
    <row r="3114" spans="1:36" ht="10" customHeight="1" x14ac:dyDescent="0.2">
      <c r="A3114" s="5" t="s">
        <v>7153</v>
      </c>
      <c r="B3114" s="5" t="s">
        <v>45</v>
      </c>
      <c r="C3114" s="5" t="s">
        <v>7513</v>
      </c>
      <c r="D3114" s="5" t="s">
        <v>7514</v>
      </c>
      <c r="E3114" s="10" t="s">
        <v>57</v>
      </c>
      <c r="F3114" s="5" t="s">
        <v>7508</v>
      </c>
      <c r="I3114" s="11">
        <v>6</v>
      </c>
      <c r="K3114" s="12"/>
      <c r="O3114" s="14">
        <v>869</v>
      </c>
      <c r="P3114" s="13">
        <v>100</v>
      </c>
      <c r="Q3114" s="13">
        <v>102</v>
      </c>
      <c r="S3114" s="13">
        <v>104</v>
      </c>
      <c r="U3114" s="13">
        <v>104</v>
      </c>
      <c r="AC3114" s="16" t="str">
        <f t="shared" si="144"/>
        <v/>
      </c>
      <c r="AD3114" s="17">
        <f t="shared" si="145"/>
        <v>104</v>
      </c>
      <c r="AE3114" s="17">
        <f t="shared" si="146"/>
        <v>0</v>
      </c>
      <c r="AF3114" s="10" t="s">
        <v>7515</v>
      </c>
      <c r="AG3114" s="5" t="s">
        <v>2427</v>
      </c>
      <c r="AH3114" s="5" t="s">
        <v>7500</v>
      </c>
      <c r="AJ3114" s="5" t="s">
        <v>7513</v>
      </c>
    </row>
    <row r="3115" spans="1:36" ht="10" customHeight="1" x14ac:dyDescent="0.2">
      <c r="A3115" s="5" t="s">
        <v>7153</v>
      </c>
      <c r="B3115" s="5" t="s">
        <v>45</v>
      </c>
      <c r="C3115" s="5" t="s">
        <v>7516</v>
      </c>
      <c r="D3115" s="5" t="s">
        <v>7517</v>
      </c>
      <c r="E3115" s="10" t="s">
        <v>57</v>
      </c>
      <c r="F3115" s="5" t="s">
        <v>7508</v>
      </c>
      <c r="I3115" s="11">
        <v>4</v>
      </c>
      <c r="K3115" s="12"/>
      <c r="O3115" s="14">
        <v>1938</v>
      </c>
      <c r="P3115" s="13">
        <v>232</v>
      </c>
      <c r="Q3115" s="13">
        <v>236</v>
      </c>
      <c r="S3115" s="13">
        <v>240</v>
      </c>
      <c r="U3115" s="13">
        <v>240</v>
      </c>
      <c r="AC3115" s="16" t="str">
        <f t="shared" si="144"/>
        <v/>
      </c>
      <c r="AD3115" s="17">
        <f t="shared" si="145"/>
        <v>240</v>
      </c>
      <c r="AE3115" s="17">
        <f t="shared" si="146"/>
        <v>0</v>
      </c>
      <c r="AF3115" s="10" t="s">
        <v>7518</v>
      </c>
      <c r="AG3115" s="5" t="s">
        <v>2427</v>
      </c>
      <c r="AH3115" s="5" t="s">
        <v>7500</v>
      </c>
      <c r="AI3115" s="5" t="s">
        <v>7519</v>
      </c>
    </row>
    <row r="3116" spans="1:36" ht="10" customHeight="1" x14ac:dyDescent="0.2">
      <c r="A3116" s="5" t="s">
        <v>7153</v>
      </c>
      <c r="B3116" s="5" t="s">
        <v>45</v>
      </c>
      <c r="D3116" s="5" t="s">
        <v>7520</v>
      </c>
      <c r="E3116" s="10" t="s">
        <v>57</v>
      </c>
      <c r="F3116" s="5" t="s">
        <v>7504</v>
      </c>
      <c r="I3116" s="11">
        <v>6</v>
      </c>
      <c r="K3116" s="12"/>
      <c r="O3116" s="14">
        <v>153555</v>
      </c>
      <c r="P3116" s="13">
        <v>26918</v>
      </c>
      <c r="Q3116" s="13">
        <v>18095</v>
      </c>
      <c r="S3116" s="13">
        <v>18317</v>
      </c>
      <c r="U3116" s="13">
        <v>18317</v>
      </c>
      <c r="AC3116" s="16" t="str">
        <f t="shared" si="144"/>
        <v/>
      </c>
      <c r="AD3116" s="17">
        <f t="shared" si="145"/>
        <v>18317</v>
      </c>
      <c r="AE3116" s="17">
        <f t="shared" si="146"/>
        <v>0</v>
      </c>
      <c r="AF3116" s="10" t="s">
        <v>7521</v>
      </c>
      <c r="AG3116" s="5" t="s">
        <v>2440</v>
      </c>
      <c r="AH3116" s="5" t="s">
        <v>7500</v>
      </c>
    </row>
    <row r="3117" spans="1:36" ht="10" customHeight="1" x14ac:dyDescent="0.2">
      <c r="A3117" s="5" t="s">
        <v>7153</v>
      </c>
      <c r="B3117" s="5" t="s">
        <v>45</v>
      </c>
      <c r="C3117" s="5" t="s">
        <v>7522</v>
      </c>
      <c r="D3117" s="5" t="s">
        <v>7523</v>
      </c>
      <c r="E3117" s="10" t="s">
        <v>57</v>
      </c>
      <c r="F3117" s="5" t="s">
        <v>7524</v>
      </c>
      <c r="I3117" s="11">
        <v>6</v>
      </c>
      <c r="K3117" s="12"/>
      <c r="O3117" s="14">
        <v>23759</v>
      </c>
      <c r="P3117" s="13">
        <v>3124</v>
      </c>
      <c r="Q3117" s="13">
        <v>3181</v>
      </c>
      <c r="S3117" s="13">
        <v>3241</v>
      </c>
      <c r="U3117" s="13">
        <v>3241</v>
      </c>
      <c r="AC3117" s="16" t="str">
        <f t="shared" si="144"/>
        <v/>
      </c>
      <c r="AD3117" s="17">
        <f t="shared" si="145"/>
        <v>3241</v>
      </c>
      <c r="AE3117" s="17">
        <f t="shared" si="146"/>
        <v>0</v>
      </c>
      <c r="AF3117" s="10" t="s">
        <v>7525</v>
      </c>
      <c r="AG3117" s="5" t="s">
        <v>2440</v>
      </c>
      <c r="AH3117" s="5" t="s">
        <v>7500</v>
      </c>
      <c r="AJ3117" s="5" t="s">
        <v>7522</v>
      </c>
    </row>
    <row r="3118" spans="1:36" ht="10" customHeight="1" x14ac:dyDescent="0.2">
      <c r="A3118" s="5" t="s">
        <v>7153</v>
      </c>
      <c r="B3118" s="5" t="s">
        <v>45</v>
      </c>
      <c r="C3118" s="5" t="s">
        <v>7526</v>
      </c>
      <c r="D3118" s="5" t="s">
        <v>7527</v>
      </c>
      <c r="E3118" s="10" t="s">
        <v>57</v>
      </c>
      <c r="F3118" s="5" t="s">
        <v>7524</v>
      </c>
      <c r="I3118" s="11">
        <v>6</v>
      </c>
      <c r="K3118" s="12"/>
      <c r="O3118" s="14">
        <v>26345</v>
      </c>
      <c r="P3118" s="13">
        <v>11915</v>
      </c>
      <c r="Q3118" s="13">
        <v>2817</v>
      </c>
      <c r="S3118" s="13">
        <v>2647</v>
      </c>
      <c r="U3118" s="13">
        <v>2647</v>
      </c>
      <c r="AC3118" s="16" t="str">
        <f t="shared" si="144"/>
        <v/>
      </c>
      <c r="AD3118" s="17">
        <f t="shared" si="145"/>
        <v>2647</v>
      </c>
      <c r="AE3118" s="17">
        <f t="shared" si="146"/>
        <v>0</v>
      </c>
      <c r="AF3118" s="10" t="s">
        <v>7528</v>
      </c>
      <c r="AG3118" s="5" t="s">
        <v>2440</v>
      </c>
      <c r="AH3118" s="5" t="s">
        <v>7500</v>
      </c>
      <c r="AJ3118" s="5" t="s">
        <v>7526</v>
      </c>
    </row>
    <row r="3119" spans="1:36" ht="10" customHeight="1" x14ac:dyDescent="0.2">
      <c r="A3119" s="5" t="s">
        <v>7153</v>
      </c>
      <c r="B3119" s="5" t="s">
        <v>45</v>
      </c>
      <c r="C3119" s="5" t="s">
        <v>7529</v>
      </c>
      <c r="D3119" s="5" t="s">
        <v>7530</v>
      </c>
      <c r="E3119" s="10" t="s">
        <v>57</v>
      </c>
      <c r="F3119" s="5" t="s">
        <v>7524</v>
      </c>
      <c r="I3119" s="11">
        <v>6</v>
      </c>
      <c r="K3119" s="12"/>
      <c r="O3119" s="14">
        <v>9024</v>
      </c>
      <c r="P3119" s="13">
        <v>1037</v>
      </c>
      <c r="Q3119" s="13">
        <v>1064</v>
      </c>
      <c r="S3119" s="13">
        <v>1098</v>
      </c>
      <c r="U3119" s="13">
        <v>1098</v>
      </c>
      <c r="AC3119" s="16" t="str">
        <f t="shared" si="144"/>
        <v/>
      </c>
      <c r="AD3119" s="17">
        <f t="shared" si="145"/>
        <v>1098</v>
      </c>
      <c r="AE3119" s="17">
        <f t="shared" si="146"/>
        <v>0</v>
      </c>
      <c r="AF3119" s="10" t="s">
        <v>7531</v>
      </c>
      <c r="AG3119" s="5" t="s">
        <v>2440</v>
      </c>
      <c r="AH3119" s="5" t="s">
        <v>7500</v>
      </c>
      <c r="AJ3119" s="5" t="s">
        <v>7529</v>
      </c>
    </row>
    <row r="3120" spans="1:36" ht="10" customHeight="1" x14ac:dyDescent="0.2">
      <c r="A3120" s="5" t="s">
        <v>7153</v>
      </c>
      <c r="B3120" s="5" t="s">
        <v>45</v>
      </c>
      <c r="C3120" s="5" t="s">
        <v>7532</v>
      </c>
      <c r="D3120" s="5" t="s">
        <v>7533</v>
      </c>
      <c r="E3120" s="10" t="s">
        <v>57</v>
      </c>
      <c r="F3120" s="5" t="s">
        <v>7524</v>
      </c>
      <c r="I3120" s="11">
        <v>6</v>
      </c>
      <c r="K3120" s="12"/>
      <c r="O3120" s="14">
        <v>1511</v>
      </c>
      <c r="P3120" s="13">
        <v>194</v>
      </c>
      <c r="Q3120" s="13">
        <v>200</v>
      </c>
      <c r="S3120" s="13">
        <v>201</v>
      </c>
      <c r="U3120" s="13">
        <v>201</v>
      </c>
      <c r="AC3120" s="16" t="str">
        <f t="shared" si="144"/>
        <v/>
      </c>
      <c r="AD3120" s="17">
        <f t="shared" si="145"/>
        <v>201</v>
      </c>
      <c r="AE3120" s="17">
        <f t="shared" si="146"/>
        <v>0</v>
      </c>
      <c r="AF3120" s="10" t="s">
        <v>7534</v>
      </c>
      <c r="AG3120" s="5" t="s">
        <v>2440</v>
      </c>
      <c r="AH3120" s="5" t="s">
        <v>7500</v>
      </c>
      <c r="AJ3120" s="5" t="s">
        <v>7532</v>
      </c>
    </row>
    <row r="3121" spans="1:36" ht="10" customHeight="1" x14ac:dyDescent="0.2">
      <c r="A3121" s="5" t="s">
        <v>7153</v>
      </c>
      <c r="B3121" s="5" t="s">
        <v>45</v>
      </c>
      <c r="C3121" s="5" t="s">
        <v>7535</v>
      </c>
      <c r="D3121" s="5" t="s">
        <v>7536</v>
      </c>
      <c r="E3121" s="10" t="s">
        <v>57</v>
      </c>
      <c r="F3121" s="5" t="s">
        <v>7524</v>
      </c>
      <c r="I3121" s="11">
        <v>6</v>
      </c>
      <c r="K3121" s="12"/>
      <c r="O3121" s="14">
        <v>81379</v>
      </c>
      <c r="P3121" s="13">
        <v>9273</v>
      </c>
      <c r="Q3121" s="13">
        <v>10100</v>
      </c>
      <c r="S3121" s="13">
        <v>10397</v>
      </c>
      <c r="U3121" s="13">
        <v>10397</v>
      </c>
      <c r="AC3121" s="16" t="str">
        <f t="shared" si="144"/>
        <v/>
      </c>
      <c r="AD3121" s="17">
        <f t="shared" si="145"/>
        <v>10397</v>
      </c>
      <c r="AE3121" s="17">
        <f t="shared" si="146"/>
        <v>0</v>
      </c>
      <c r="AF3121" s="10" t="s">
        <v>7537</v>
      </c>
      <c r="AG3121" s="5" t="s">
        <v>2440</v>
      </c>
      <c r="AH3121" s="5" t="s">
        <v>7500</v>
      </c>
      <c r="AJ3121" s="5" t="s">
        <v>7535</v>
      </c>
    </row>
    <row r="3122" spans="1:36" ht="10" customHeight="1" x14ac:dyDescent="0.2">
      <c r="A3122" s="5" t="s">
        <v>7153</v>
      </c>
      <c r="B3122" s="5" t="s">
        <v>45</v>
      </c>
      <c r="C3122" s="5" t="s">
        <v>7538</v>
      </c>
      <c r="D3122" s="5" t="s">
        <v>7539</v>
      </c>
      <c r="E3122" s="10" t="s">
        <v>57</v>
      </c>
      <c r="F3122" s="5" t="s">
        <v>7524</v>
      </c>
      <c r="I3122" s="11">
        <v>6</v>
      </c>
      <c r="K3122" s="12"/>
      <c r="O3122" s="14">
        <v>7170</v>
      </c>
      <c r="P3122" s="13">
        <v>883</v>
      </c>
      <c r="Q3122" s="13">
        <v>537</v>
      </c>
      <c r="S3122" s="13">
        <v>533</v>
      </c>
      <c r="U3122" s="13">
        <v>533</v>
      </c>
      <c r="AC3122" s="16" t="str">
        <f t="shared" si="144"/>
        <v/>
      </c>
      <c r="AD3122" s="17">
        <f t="shared" si="145"/>
        <v>533</v>
      </c>
      <c r="AE3122" s="17">
        <f t="shared" si="146"/>
        <v>0</v>
      </c>
      <c r="AF3122" s="10" t="s">
        <v>7540</v>
      </c>
      <c r="AG3122" s="5" t="s">
        <v>2440</v>
      </c>
      <c r="AH3122" s="5" t="s">
        <v>7500</v>
      </c>
      <c r="AI3122" s="5" t="s">
        <v>7541</v>
      </c>
      <c r="AJ3122" s="5" t="s">
        <v>7538</v>
      </c>
    </row>
    <row r="3123" spans="1:36" ht="10" customHeight="1" x14ac:dyDescent="0.2">
      <c r="A3123" s="5" t="s">
        <v>7153</v>
      </c>
      <c r="B3123" s="5" t="s">
        <v>45</v>
      </c>
      <c r="C3123" s="5" t="s">
        <v>7542</v>
      </c>
      <c r="D3123" s="5" t="s">
        <v>7543</v>
      </c>
      <c r="E3123" s="10" t="s">
        <v>57</v>
      </c>
      <c r="F3123" s="5" t="s">
        <v>7524</v>
      </c>
      <c r="I3123" s="11">
        <v>6</v>
      </c>
      <c r="K3123" s="12"/>
      <c r="O3123" s="14">
        <v>1365</v>
      </c>
      <c r="P3123" s="13">
        <v>144</v>
      </c>
      <c r="Q3123" s="13">
        <v>196</v>
      </c>
      <c r="S3123" s="13">
        <v>200</v>
      </c>
      <c r="U3123" s="13">
        <v>200</v>
      </c>
      <c r="AC3123" s="16" t="str">
        <f t="shared" si="144"/>
        <v/>
      </c>
      <c r="AD3123" s="17">
        <f t="shared" si="145"/>
        <v>200</v>
      </c>
      <c r="AE3123" s="17">
        <f t="shared" si="146"/>
        <v>0</v>
      </c>
      <c r="AF3123" s="10" t="s">
        <v>7544</v>
      </c>
      <c r="AG3123" s="5" t="s">
        <v>2440</v>
      </c>
      <c r="AH3123" s="5" t="s">
        <v>7500</v>
      </c>
      <c r="AI3123" s="5" t="s">
        <v>7545</v>
      </c>
      <c r="AJ3123" s="5" t="s">
        <v>7542</v>
      </c>
    </row>
    <row r="3124" spans="1:36" ht="10" customHeight="1" x14ac:dyDescent="0.2">
      <c r="A3124" s="5" t="s">
        <v>7153</v>
      </c>
      <c r="B3124" s="5" t="s">
        <v>45</v>
      </c>
      <c r="C3124" s="5" t="s">
        <v>7546</v>
      </c>
      <c r="D3124" s="5" t="s">
        <v>7547</v>
      </c>
      <c r="E3124" s="10" t="s">
        <v>57</v>
      </c>
      <c r="F3124" s="5" t="s">
        <v>7504</v>
      </c>
      <c r="I3124" s="11">
        <v>4</v>
      </c>
      <c r="K3124" s="12"/>
      <c r="O3124" s="14">
        <v>11600</v>
      </c>
      <c r="P3124" s="13">
        <v>3366</v>
      </c>
      <c r="Q3124" s="13">
        <v>1603</v>
      </c>
      <c r="S3124" s="13">
        <v>1631</v>
      </c>
      <c r="U3124" s="13">
        <v>1631</v>
      </c>
      <c r="AC3124" s="16" t="str">
        <f t="shared" si="144"/>
        <v/>
      </c>
      <c r="AD3124" s="17">
        <f t="shared" si="145"/>
        <v>1631</v>
      </c>
      <c r="AE3124" s="17">
        <f t="shared" si="146"/>
        <v>0</v>
      </c>
      <c r="AF3124" s="10" t="s">
        <v>7548</v>
      </c>
      <c r="AG3124" s="5" t="s">
        <v>2466</v>
      </c>
      <c r="AH3124" s="5" t="s">
        <v>7500</v>
      </c>
      <c r="AI3124" s="5" t="s">
        <v>7549</v>
      </c>
      <c r="AJ3124" s="5" t="s">
        <v>7546</v>
      </c>
    </row>
    <row r="3125" spans="1:36" ht="10" customHeight="1" x14ac:dyDescent="0.2">
      <c r="A3125" s="5" t="s">
        <v>7153</v>
      </c>
      <c r="B3125" s="5" t="s">
        <v>45</v>
      </c>
      <c r="C3125" s="5" t="s">
        <v>7550</v>
      </c>
      <c r="D3125" s="5" t="s">
        <v>7551</v>
      </c>
      <c r="E3125" s="10" t="s">
        <v>48</v>
      </c>
      <c r="I3125" s="11">
        <v>4</v>
      </c>
      <c r="K3125" s="12"/>
      <c r="O3125" s="14">
        <v>813164</v>
      </c>
      <c r="P3125" s="13">
        <v>25573</v>
      </c>
      <c r="Q3125" s="13">
        <v>26725</v>
      </c>
      <c r="S3125" s="13">
        <v>24822</v>
      </c>
      <c r="T3125" s="13">
        <v>0</v>
      </c>
      <c r="U3125" s="13">
        <v>24822</v>
      </c>
      <c r="Z3125" s="13">
        <v>20575</v>
      </c>
      <c r="AB3125" s="13">
        <v>20575</v>
      </c>
      <c r="AC3125" s="16" t="str">
        <f t="shared" si="144"/>
        <v>ADD</v>
      </c>
      <c r="AD3125" s="17">
        <f t="shared" si="145"/>
        <v>24822</v>
      </c>
      <c r="AE3125" s="17">
        <f t="shared" si="146"/>
        <v>20575</v>
      </c>
      <c r="AF3125" s="10" t="s">
        <v>7552</v>
      </c>
      <c r="AG3125" s="5" t="s">
        <v>2522</v>
      </c>
      <c r="AH3125" s="5" t="s">
        <v>7550</v>
      </c>
      <c r="AI3125" s="5" t="s">
        <v>7553</v>
      </c>
    </row>
    <row r="3126" spans="1:36" ht="10" customHeight="1" x14ac:dyDescent="0.2">
      <c r="A3126" s="5" t="s">
        <v>7153</v>
      </c>
      <c r="B3126" s="5" t="s">
        <v>45</v>
      </c>
      <c r="C3126" s="5" t="s">
        <v>7554</v>
      </c>
      <c r="D3126" s="5" t="s">
        <v>7555</v>
      </c>
      <c r="E3126" s="10" t="s">
        <v>57</v>
      </c>
      <c r="F3126" s="5" t="s">
        <v>7556</v>
      </c>
      <c r="I3126" s="11">
        <v>4</v>
      </c>
      <c r="K3126" s="12"/>
      <c r="O3126" s="14">
        <v>54955</v>
      </c>
      <c r="P3126" s="13">
        <v>1774</v>
      </c>
      <c r="Q3126" s="13">
        <v>5032</v>
      </c>
      <c r="S3126" s="13">
        <v>4586</v>
      </c>
      <c r="U3126" s="13">
        <v>4586</v>
      </c>
      <c r="AC3126" s="16" t="str">
        <f t="shared" si="144"/>
        <v/>
      </c>
      <c r="AD3126" s="17">
        <f t="shared" si="145"/>
        <v>4586</v>
      </c>
      <c r="AE3126" s="17">
        <f t="shared" si="146"/>
        <v>0</v>
      </c>
      <c r="AF3126" s="10" t="s">
        <v>7557</v>
      </c>
      <c r="AG3126" s="5" t="s">
        <v>116</v>
      </c>
      <c r="AH3126" s="5" t="s">
        <v>7550</v>
      </c>
      <c r="AI3126" s="5" t="s">
        <v>7553</v>
      </c>
      <c r="AJ3126" s="5" t="s">
        <v>7554</v>
      </c>
    </row>
    <row r="3127" spans="1:36" ht="10" customHeight="1" x14ac:dyDescent="0.2">
      <c r="A3127" s="5" t="s">
        <v>7153</v>
      </c>
      <c r="B3127" s="5" t="s">
        <v>45</v>
      </c>
      <c r="C3127" s="5" t="s">
        <v>7558</v>
      </c>
      <c r="D3127" s="5" t="s">
        <v>7559</v>
      </c>
      <c r="E3127" s="10" t="s">
        <v>57</v>
      </c>
      <c r="F3127" s="5" t="s">
        <v>7556</v>
      </c>
      <c r="I3127" s="11">
        <v>4</v>
      </c>
      <c r="K3127" s="12"/>
      <c r="O3127" s="14">
        <v>8137</v>
      </c>
      <c r="P3127" s="13">
        <v>3489</v>
      </c>
      <c r="Q3127" s="13">
        <v>963</v>
      </c>
      <c r="S3127" s="13">
        <v>988</v>
      </c>
      <c r="U3127" s="13">
        <v>988</v>
      </c>
      <c r="AC3127" s="16" t="str">
        <f t="shared" si="144"/>
        <v/>
      </c>
      <c r="AD3127" s="17">
        <f t="shared" si="145"/>
        <v>988</v>
      </c>
      <c r="AE3127" s="17">
        <f t="shared" si="146"/>
        <v>0</v>
      </c>
      <c r="AF3127" s="10" t="s">
        <v>7560</v>
      </c>
      <c r="AG3127" s="5" t="s">
        <v>7561</v>
      </c>
      <c r="AH3127" s="5" t="s">
        <v>7550</v>
      </c>
      <c r="AI3127" s="5" t="s">
        <v>7553</v>
      </c>
      <c r="AJ3127" s="5" t="s">
        <v>7558</v>
      </c>
    </row>
    <row r="3128" spans="1:36" ht="10" customHeight="1" x14ac:dyDescent="0.2">
      <c r="A3128" s="5" t="s">
        <v>7153</v>
      </c>
      <c r="B3128" s="5" t="s">
        <v>45</v>
      </c>
      <c r="D3128" s="5" t="s">
        <v>7562</v>
      </c>
      <c r="E3128" s="10" t="s">
        <v>57</v>
      </c>
      <c r="F3128" s="5" t="s">
        <v>7556</v>
      </c>
      <c r="I3128" s="11">
        <v>4</v>
      </c>
      <c r="K3128" s="12"/>
      <c r="O3128" s="14">
        <v>64350</v>
      </c>
      <c r="Q3128" s="13">
        <v>14460</v>
      </c>
      <c r="S3128" s="13">
        <v>19248</v>
      </c>
      <c r="U3128" s="13">
        <v>19248</v>
      </c>
      <c r="AC3128" s="16" t="str">
        <f t="shared" si="144"/>
        <v/>
      </c>
      <c r="AD3128" s="17">
        <f t="shared" si="145"/>
        <v>19248</v>
      </c>
      <c r="AE3128" s="17">
        <f t="shared" si="146"/>
        <v>0</v>
      </c>
      <c r="AF3128" s="10" t="s">
        <v>7563</v>
      </c>
      <c r="AG3128" s="5" t="s">
        <v>7564</v>
      </c>
      <c r="AH3128" s="5" t="s">
        <v>7550</v>
      </c>
      <c r="AI3128" s="5" t="s">
        <v>7553</v>
      </c>
    </row>
    <row r="3129" spans="1:36" ht="10" customHeight="1" x14ac:dyDescent="0.2">
      <c r="A3129" s="5" t="s">
        <v>7153</v>
      </c>
      <c r="B3129" s="5" t="s">
        <v>45</v>
      </c>
      <c r="D3129" s="5" t="s">
        <v>7565</v>
      </c>
      <c r="E3129" s="10" t="s">
        <v>57</v>
      </c>
      <c r="F3129" s="5" t="s">
        <v>7556</v>
      </c>
      <c r="I3129" s="11">
        <v>4</v>
      </c>
      <c r="K3129" s="10" t="s">
        <v>50</v>
      </c>
      <c r="L3129" s="5" t="s">
        <v>51</v>
      </c>
      <c r="M3129" s="5" t="s">
        <v>52</v>
      </c>
      <c r="O3129" s="12"/>
      <c r="P3129" s="13">
        <v>3258</v>
      </c>
      <c r="AC3129" s="16" t="str">
        <f t="shared" si="144"/>
        <v/>
      </c>
      <c r="AD3129" s="17">
        <f t="shared" si="145"/>
        <v>0</v>
      </c>
      <c r="AE3129" s="17">
        <f t="shared" si="146"/>
        <v>0</v>
      </c>
      <c r="AF3129" s="10" t="s">
        <v>7566</v>
      </c>
      <c r="AG3129" s="5" t="s">
        <v>7564</v>
      </c>
      <c r="AH3129" s="5" t="s">
        <v>7550</v>
      </c>
      <c r="AI3129" s="5" t="s">
        <v>7553</v>
      </c>
    </row>
    <row r="3130" spans="1:36" ht="10" customHeight="1" x14ac:dyDescent="0.2">
      <c r="A3130" s="5" t="s">
        <v>7153</v>
      </c>
      <c r="B3130" s="5" t="s">
        <v>45</v>
      </c>
      <c r="D3130" s="5" t="s">
        <v>7567</v>
      </c>
      <c r="E3130" s="10" t="s">
        <v>57</v>
      </c>
      <c r="F3130" s="5" t="s">
        <v>7556</v>
      </c>
      <c r="I3130" s="11">
        <v>4</v>
      </c>
      <c r="K3130" s="10" t="s">
        <v>50</v>
      </c>
      <c r="L3130" s="5" t="s">
        <v>51</v>
      </c>
      <c r="M3130" s="5" t="s">
        <v>69</v>
      </c>
      <c r="O3130" s="12"/>
      <c r="P3130" s="13">
        <v>2528</v>
      </c>
      <c r="AC3130" s="16" t="str">
        <f t="shared" si="144"/>
        <v/>
      </c>
      <c r="AD3130" s="17">
        <f t="shared" si="145"/>
        <v>0</v>
      </c>
      <c r="AE3130" s="17">
        <f t="shared" si="146"/>
        <v>0</v>
      </c>
      <c r="AF3130" s="10" t="s">
        <v>7568</v>
      </c>
      <c r="AG3130" s="5" t="s">
        <v>7564</v>
      </c>
      <c r="AH3130" s="5" t="s">
        <v>7550</v>
      </c>
      <c r="AI3130" s="5" t="s">
        <v>7553</v>
      </c>
    </row>
    <row r="3131" spans="1:36" ht="10" customHeight="1" x14ac:dyDescent="0.2">
      <c r="A3131" s="5" t="s">
        <v>7153</v>
      </c>
      <c r="B3131" s="5" t="s">
        <v>45</v>
      </c>
      <c r="C3131" s="5" t="s">
        <v>7569</v>
      </c>
      <c r="D3131" s="5" t="s">
        <v>7570</v>
      </c>
      <c r="E3131" s="10" t="s">
        <v>48</v>
      </c>
      <c r="I3131" s="11">
        <v>4</v>
      </c>
      <c r="K3131" s="10" t="s">
        <v>50</v>
      </c>
      <c r="L3131" s="5" t="s">
        <v>51</v>
      </c>
      <c r="M3131" s="5" t="s">
        <v>119</v>
      </c>
      <c r="N3131" s="5" t="s">
        <v>120</v>
      </c>
      <c r="O3131" s="14">
        <v>0</v>
      </c>
      <c r="P3131" s="13">
        <v>0</v>
      </c>
      <c r="Q3131" s="13">
        <v>3817</v>
      </c>
      <c r="S3131" s="13">
        <v>2976</v>
      </c>
      <c r="T3131" s="13">
        <v>0</v>
      </c>
      <c r="U3131" s="13">
        <v>2976</v>
      </c>
      <c r="AC3131" s="16" t="str">
        <f t="shared" si="144"/>
        <v>ADD</v>
      </c>
      <c r="AD3131" s="17">
        <f t="shared" si="145"/>
        <v>2976</v>
      </c>
      <c r="AE3131" s="17">
        <f t="shared" si="146"/>
        <v>0</v>
      </c>
      <c r="AF3131" s="10" t="s">
        <v>7571</v>
      </c>
      <c r="AG3131" s="5" t="s">
        <v>2669</v>
      </c>
      <c r="AH3131" s="5" t="s">
        <v>7569</v>
      </c>
      <c r="AI3131" s="5" t="s">
        <v>7572</v>
      </c>
    </row>
    <row r="3132" spans="1:36" ht="10" customHeight="1" x14ac:dyDescent="0.2">
      <c r="A3132" s="5" t="s">
        <v>7153</v>
      </c>
      <c r="B3132" s="5" t="s">
        <v>45</v>
      </c>
      <c r="C3132" s="5" t="s">
        <v>7573</v>
      </c>
      <c r="D3132" s="5" t="s">
        <v>7574</v>
      </c>
      <c r="E3132" s="10" t="s">
        <v>57</v>
      </c>
      <c r="F3132" s="5" t="s">
        <v>7575</v>
      </c>
      <c r="I3132" s="11">
        <v>6</v>
      </c>
      <c r="K3132" s="10" t="s">
        <v>50</v>
      </c>
      <c r="L3132" s="5" t="s">
        <v>51</v>
      </c>
      <c r="M3132" s="5" t="s">
        <v>119</v>
      </c>
      <c r="N3132" s="5" t="s">
        <v>120</v>
      </c>
      <c r="O3132" s="12"/>
      <c r="S3132" s="13">
        <v>500</v>
      </c>
      <c r="U3132" s="13">
        <v>500</v>
      </c>
      <c r="AC3132" s="16" t="str">
        <f t="shared" si="144"/>
        <v/>
      </c>
      <c r="AD3132" s="17">
        <f t="shared" si="145"/>
        <v>500</v>
      </c>
      <c r="AE3132" s="17">
        <f t="shared" si="146"/>
        <v>0</v>
      </c>
      <c r="AF3132" s="10" t="s">
        <v>7576</v>
      </c>
      <c r="AG3132" s="5" t="s">
        <v>2684</v>
      </c>
      <c r="AH3132" s="5" t="s">
        <v>7569</v>
      </c>
      <c r="AI3132" s="5" t="s">
        <v>7572</v>
      </c>
      <c r="AJ3132" s="5" t="s">
        <v>7573</v>
      </c>
    </row>
    <row r="3133" spans="1:36" ht="10" customHeight="1" x14ac:dyDescent="0.2">
      <c r="A3133" s="5" t="s">
        <v>7153</v>
      </c>
      <c r="B3133" s="5" t="s">
        <v>45</v>
      </c>
      <c r="C3133" s="5" t="s">
        <v>7573</v>
      </c>
      <c r="D3133" s="5" t="s">
        <v>7577</v>
      </c>
      <c r="E3133" s="10" t="s">
        <v>57</v>
      </c>
      <c r="F3133" s="5" t="s">
        <v>7575</v>
      </c>
      <c r="I3133" s="11">
        <v>4</v>
      </c>
      <c r="K3133" s="10" t="s">
        <v>50</v>
      </c>
      <c r="L3133" s="5" t="s">
        <v>51</v>
      </c>
      <c r="M3133" s="5" t="s">
        <v>119</v>
      </c>
      <c r="N3133" s="5" t="s">
        <v>120</v>
      </c>
      <c r="O3133" s="12"/>
      <c r="S3133" s="13">
        <v>800</v>
      </c>
      <c r="U3133" s="13">
        <v>800</v>
      </c>
      <c r="AC3133" s="16" t="str">
        <f t="shared" si="144"/>
        <v/>
      </c>
      <c r="AD3133" s="17">
        <f t="shared" si="145"/>
        <v>800</v>
      </c>
      <c r="AE3133" s="17">
        <f t="shared" si="146"/>
        <v>0</v>
      </c>
      <c r="AF3133" s="10" t="s">
        <v>7578</v>
      </c>
      <c r="AG3133" s="5" t="s">
        <v>2684</v>
      </c>
      <c r="AH3133" s="5" t="s">
        <v>7569</v>
      </c>
      <c r="AI3133" s="5" t="s">
        <v>7572</v>
      </c>
      <c r="AJ3133" s="5" t="s">
        <v>7573</v>
      </c>
    </row>
    <row r="3134" spans="1:36" ht="10" customHeight="1" x14ac:dyDescent="0.2">
      <c r="A3134" s="5" t="s">
        <v>7153</v>
      </c>
      <c r="B3134" s="5" t="s">
        <v>45</v>
      </c>
      <c r="C3134" s="5" t="s">
        <v>7573</v>
      </c>
      <c r="D3134" s="5" t="s">
        <v>7579</v>
      </c>
      <c r="E3134" s="10" t="s">
        <v>57</v>
      </c>
      <c r="F3134" s="5" t="s">
        <v>7575</v>
      </c>
      <c r="I3134" s="11">
        <v>6</v>
      </c>
      <c r="K3134" s="12"/>
      <c r="O3134" s="12"/>
      <c r="S3134" s="13">
        <v>1576</v>
      </c>
      <c r="U3134" s="13">
        <v>1576</v>
      </c>
      <c r="AC3134" s="16" t="str">
        <f t="shared" si="144"/>
        <v/>
      </c>
      <c r="AD3134" s="17">
        <f t="shared" si="145"/>
        <v>1576</v>
      </c>
      <c r="AE3134" s="17">
        <f t="shared" si="146"/>
        <v>0</v>
      </c>
      <c r="AF3134" s="10" t="s">
        <v>7580</v>
      </c>
      <c r="AG3134" s="5" t="s">
        <v>2684</v>
      </c>
      <c r="AH3134" s="5" t="s">
        <v>7569</v>
      </c>
      <c r="AI3134" s="5" t="s">
        <v>7572</v>
      </c>
      <c r="AJ3134" s="5" t="s">
        <v>7573</v>
      </c>
    </row>
    <row r="3135" spans="1:36" ht="10" customHeight="1" x14ac:dyDescent="0.2">
      <c r="A3135" s="5" t="s">
        <v>7153</v>
      </c>
      <c r="B3135" s="5" t="s">
        <v>45</v>
      </c>
      <c r="C3135" s="5" t="s">
        <v>7573</v>
      </c>
      <c r="D3135" s="5" t="s">
        <v>7581</v>
      </c>
      <c r="E3135" s="10" t="s">
        <v>57</v>
      </c>
      <c r="F3135" s="5" t="s">
        <v>7575</v>
      </c>
      <c r="I3135" s="11">
        <v>4</v>
      </c>
      <c r="K3135" s="12"/>
      <c r="O3135" s="12"/>
      <c r="S3135" s="13">
        <v>100</v>
      </c>
      <c r="U3135" s="13">
        <v>100</v>
      </c>
      <c r="AC3135" s="16" t="str">
        <f t="shared" si="144"/>
        <v/>
      </c>
      <c r="AD3135" s="17">
        <f t="shared" si="145"/>
        <v>100</v>
      </c>
      <c r="AE3135" s="17">
        <f t="shared" si="146"/>
        <v>0</v>
      </c>
      <c r="AF3135" s="10" t="s">
        <v>7582</v>
      </c>
      <c r="AG3135" s="5" t="s">
        <v>2684</v>
      </c>
      <c r="AH3135" s="5" t="s">
        <v>7569</v>
      </c>
      <c r="AI3135" s="5" t="s">
        <v>7572</v>
      </c>
      <c r="AJ3135" s="5" t="s">
        <v>7573</v>
      </c>
    </row>
    <row r="3136" spans="1:36" ht="10" customHeight="1" x14ac:dyDescent="0.2">
      <c r="A3136" s="5" t="s">
        <v>7153</v>
      </c>
      <c r="B3136" s="5" t="s">
        <v>45</v>
      </c>
      <c r="C3136" s="5" t="s">
        <v>7583</v>
      </c>
      <c r="D3136" s="5" t="s">
        <v>6369</v>
      </c>
      <c r="E3136" s="10" t="s">
        <v>48</v>
      </c>
      <c r="I3136" s="11">
        <v>4</v>
      </c>
      <c r="K3136" s="12"/>
      <c r="O3136" s="14">
        <v>106809</v>
      </c>
      <c r="P3136" s="13">
        <v>4767</v>
      </c>
      <c r="Q3136" s="13">
        <v>3193</v>
      </c>
      <c r="S3136" s="13">
        <v>3635</v>
      </c>
      <c r="T3136" s="13">
        <v>0</v>
      </c>
      <c r="U3136" s="13">
        <v>3635</v>
      </c>
      <c r="Z3136" s="13">
        <v>69425</v>
      </c>
      <c r="AB3136" s="13">
        <v>69425</v>
      </c>
      <c r="AC3136" s="16" t="str">
        <f t="shared" si="144"/>
        <v>ADD</v>
      </c>
      <c r="AD3136" s="17">
        <f t="shared" si="145"/>
        <v>3635</v>
      </c>
      <c r="AE3136" s="17">
        <f t="shared" si="146"/>
        <v>69425</v>
      </c>
      <c r="AF3136" s="10" t="s">
        <v>7584</v>
      </c>
      <c r="AG3136" s="5" t="s">
        <v>2705</v>
      </c>
      <c r="AH3136" s="5" t="s">
        <v>7583</v>
      </c>
    </row>
    <row r="3137" spans="1:36" ht="10" customHeight="1" x14ac:dyDescent="0.2">
      <c r="A3137" s="5" t="s">
        <v>7153</v>
      </c>
      <c r="B3137" s="5" t="s">
        <v>45</v>
      </c>
      <c r="C3137" s="5" t="s">
        <v>7585</v>
      </c>
      <c r="D3137" s="5" t="s">
        <v>7586</v>
      </c>
      <c r="E3137" s="10" t="s">
        <v>57</v>
      </c>
      <c r="F3137" s="5" t="s">
        <v>7587</v>
      </c>
      <c r="I3137" s="11">
        <v>6</v>
      </c>
      <c r="K3137" s="10" t="s">
        <v>50</v>
      </c>
      <c r="L3137" s="5" t="s">
        <v>51</v>
      </c>
      <c r="M3137" s="5" t="s">
        <v>4684</v>
      </c>
      <c r="O3137" s="14">
        <v>25310</v>
      </c>
      <c r="P3137" s="13">
        <v>2805</v>
      </c>
      <c r="Q3137" s="13">
        <v>2646</v>
      </c>
      <c r="S3137" s="13">
        <v>3074</v>
      </c>
      <c r="U3137" s="13">
        <v>3074</v>
      </c>
      <c r="AC3137" s="16" t="str">
        <f t="shared" si="144"/>
        <v/>
      </c>
      <c r="AD3137" s="17">
        <f t="shared" si="145"/>
        <v>3074</v>
      </c>
      <c r="AE3137" s="17">
        <f t="shared" si="146"/>
        <v>0</v>
      </c>
      <c r="AF3137" s="10" t="s">
        <v>7588</v>
      </c>
      <c r="AG3137" s="5" t="s">
        <v>2712</v>
      </c>
      <c r="AH3137" s="5" t="s">
        <v>7583</v>
      </c>
      <c r="AJ3137" s="5" t="s">
        <v>7585</v>
      </c>
    </row>
    <row r="3138" spans="1:36" ht="10" customHeight="1" x14ac:dyDescent="0.2">
      <c r="A3138" s="5" t="s">
        <v>7153</v>
      </c>
      <c r="B3138" s="5" t="s">
        <v>45</v>
      </c>
      <c r="C3138" s="5" t="s">
        <v>7589</v>
      </c>
      <c r="D3138" s="5" t="s">
        <v>7590</v>
      </c>
      <c r="E3138" s="10" t="s">
        <v>57</v>
      </c>
      <c r="F3138" s="5" t="s">
        <v>7587</v>
      </c>
      <c r="I3138" s="11">
        <v>6</v>
      </c>
      <c r="K3138" s="12"/>
      <c r="O3138" s="14">
        <v>11731</v>
      </c>
      <c r="P3138" s="13">
        <v>541</v>
      </c>
      <c r="Q3138" s="13">
        <v>547</v>
      </c>
      <c r="S3138" s="13">
        <v>561</v>
      </c>
      <c r="U3138" s="13">
        <v>561</v>
      </c>
      <c r="AC3138" s="16" t="str">
        <f t="shared" si="144"/>
        <v/>
      </c>
      <c r="AD3138" s="17">
        <f t="shared" si="145"/>
        <v>561</v>
      </c>
      <c r="AE3138" s="17">
        <f t="shared" si="146"/>
        <v>0</v>
      </c>
      <c r="AF3138" s="10" t="s">
        <v>7591</v>
      </c>
      <c r="AG3138" s="5" t="s">
        <v>2721</v>
      </c>
      <c r="AH3138" s="5" t="s">
        <v>7583</v>
      </c>
      <c r="AJ3138" s="5" t="s">
        <v>7589</v>
      </c>
    </row>
    <row r="3139" spans="1:36" ht="10" customHeight="1" x14ac:dyDescent="0.2">
      <c r="A3139" s="5" t="s">
        <v>7153</v>
      </c>
      <c r="B3139" s="5" t="s">
        <v>45</v>
      </c>
      <c r="C3139" s="5" t="s">
        <v>7592</v>
      </c>
      <c r="D3139" s="5" t="s">
        <v>7593</v>
      </c>
      <c r="E3139" s="10" t="s">
        <v>48</v>
      </c>
      <c r="I3139" s="11">
        <v>4</v>
      </c>
      <c r="K3139" s="12"/>
      <c r="O3139" s="14">
        <v>247010</v>
      </c>
      <c r="P3139" s="13">
        <v>51100</v>
      </c>
      <c r="Q3139" s="13">
        <v>75614</v>
      </c>
      <c r="S3139" s="13">
        <v>19129</v>
      </c>
      <c r="T3139" s="13">
        <v>0</v>
      </c>
      <c r="U3139" s="13">
        <v>19129</v>
      </c>
      <c r="Z3139" s="13">
        <v>606241</v>
      </c>
      <c r="AB3139" s="13">
        <v>606241</v>
      </c>
      <c r="AC3139" s="16" t="str">
        <f t="shared" si="144"/>
        <v>ADD</v>
      </c>
      <c r="AD3139" s="17">
        <f t="shared" si="145"/>
        <v>19129</v>
      </c>
      <c r="AE3139" s="17">
        <f t="shared" si="146"/>
        <v>606241</v>
      </c>
      <c r="AF3139" s="10" t="s">
        <v>7594</v>
      </c>
      <c r="AG3139" s="5" t="s">
        <v>2735</v>
      </c>
      <c r="AH3139" s="5" t="s">
        <v>7592</v>
      </c>
    </row>
    <row r="3140" spans="1:36" ht="10" customHeight="1" x14ac:dyDescent="0.2">
      <c r="A3140" s="5" t="s">
        <v>7153</v>
      </c>
      <c r="B3140" s="5" t="s">
        <v>45</v>
      </c>
      <c r="C3140" s="5" t="s">
        <v>7595</v>
      </c>
      <c r="D3140" s="5" t="s">
        <v>7596</v>
      </c>
      <c r="E3140" s="10" t="s">
        <v>57</v>
      </c>
      <c r="F3140" s="5" t="s">
        <v>7597</v>
      </c>
      <c r="I3140" s="11">
        <v>4</v>
      </c>
      <c r="K3140" s="12"/>
      <c r="O3140" s="14">
        <v>8981</v>
      </c>
      <c r="P3140" s="13">
        <v>5550</v>
      </c>
      <c r="Q3140" s="13">
        <v>1583</v>
      </c>
      <c r="S3140" s="13">
        <v>1613</v>
      </c>
      <c r="U3140" s="13">
        <v>1613</v>
      </c>
      <c r="AC3140" s="16" t="str">
        <f t="shared" si="144"/>
        <v/>
      </c>
      <c r="AD3140" s="17">
        <f t="shared" si="145"/>
        <v>1613</v>
      </c>
      <c r="AE3140" s="17">
        <f t="shared" si="146"/>
        <v>0</v>
      </c>
      <c r="AF3140" s="10" t="s">
        <v>7598</v>
      </c>
      <c r="AG3140" s="5" t="s">
        <v>2748</v>
      </c>
      <c r="AH3140" s="5" t="s">
        <v>7592</v>
      </c>
      <c r="AI3140" s="5" t="s">
        <v>7599</v>
      </c>
      <c r="AJ3140" s="5" t="s">
        <v>7595</v>
      </c>
    </row>
    <row r="3141" spans="1:36" ht="10" customHeight="1" x14ac:dyDescent="0.2">
      <c r="A3141" s="5" t="s">
        <v>7153</v>
      </c>
      <c r="B3141" s="5" t="s">
        <v>45</v>
      </c>
      <c r="C3141" s="5" t="s">
        <v>7595</v>
      </c>
      <c r="D3141" s="5" t="s">
        <v>7600</v>
      </c>
      <c r="E3141" s="10" t="s">
        <v>57</v>
      </c>
      <c r="F3141" s="5" t="s">
        <v>7597</v>
      </c>
      <c r="I3141" s="11">
        <v>6</v>
      </c>
      <c r="K3141" s="12"/>
      <c r="O3141" s="14">
        <v>17695</v>
      </c>
      <c r="P3141" s="13">
        <v>9006</v>
      </c>
      <c r="Q3141" s="13">
        <v>3255</v>
      </c>
      <c r="S3141" s="13">
        <v>3312</v>
      </c>
      <c r="U3141" s="13">
        <v>3312</v>
      </c>
      <c r="AC3141" s="16" t="str">
        <f t="shared" si="144"/>
        <v/>
      </c>
      <c r="AD3141" s="17">
        <f t="shared" si="145"/>
        <v>3312</v>
      </c>
      <c r="AE3141" s="17">
        <f t="shared" si="146"/>
        <v>0</v>
      </c>
      <c r="AF3141" s="10" t="s">
        <v>7601</v>
      </c>
      <c r="AG3141" s="5" t="s">
        <v>2748</v>
      </c>
      <c r="AH3141" s="5" t="s">
        <v>7592</v>
      </c>
      <c r="AI3141" s="5" t="s">
        <v>7599</v>
      </c>
      <c r="AJ3141" s="5" t="s">
        <v>7595</v>
      </c>
    </row>
    <row r="3142" spans="1:36" ht="10" customHeight="1" x14ac:dyDescent="0.2">
      <c r="A3142" s="5" t="s">
        <v>7153</v>
      </c>
      <c r="B3142" s="5" t="s">
        <v>45</v>
      </c>
      <c r="C3142" s="5" t="s">
        <v>7602</v>
      </c>
      <c r="D3142" s="5" t="s">
        <v>7603</v>
      </c>
      <c r="E3142" s="10" t="s">
        <v>57</v>
      </c>
      <c r="F3142" s="5" t="s">
        <v>7597</v>
      </c>
      <c r="I3142" s="11">
        <v>6</v>
      </c>
      <c r="K3142" s="12"/>
      <c r="O3142" s="14">
        <v>10489</v>
      </c>
      <c r="P3142" s="13">
        <v>2006</v>
      </c>
      <c r="Q3142" s="13">
        <v>4348</v>
      </c>
      <c r="S3142" s="13">
        <v>1451</v>
      </c>
      <c r="U3142" s="13">
        <v>1451</v>
      </c>
      <c r="AC3142" s="16" t="str">
        <f t="shared" ref="AC3142:AC3205" si="147">IF(OR(E3142="",E3142="[PARENT]"),"ADD",IF(E3142="[ALT_VIEW]","ALT",""))</f>
        <v/>
      </c>
      <c r="AD3142" s="17">
        <f t="shared" ref="AD3142:AD3205" si="148">IF(Y3142&lt;&gt;"",Y3142,IF(U3142&lt;&gt;"",U3142,S3142))</f>
        <v>1451</v>
      </c>
      <c r="AE3142" s="17">
        <f t="shared" ref="AE3142:AE3205" si="149">IF(AB3142&lt;&gt;"",AB3142,Z3142)</f>
        <v>0</v>
      </c>
      <c r="AF3142" s="10" t="s">
        <v>7604</v>
      </c>
      <c r="AG3142" s="5" t="s">
        <v>2753</v>
      </c>
      <c r="AH3142" s="5" t="s">
        <v>7592</v>
      </c>
      <c r="AI3142" s="5" t="s">
        <v>7605</v>
      </c>
      <c r="AJ3142" s="5" t="s">
        <v>7602</v>
      </c>
    </row>
    <row r="3143" spans="1:36" ht="10" customHeight="1" x14ac:dyDescent="0.2">
      <c r="A3143" s="5" t="s">
        <v>7153</v>
      </c>
      <c r="B3143" s="5" t="s">
        <v>45</v>
      </c>
      <c r="C3143" s="5" t="s">
        <v>7606</v>
      </c>
      <c r="D3143" s="5" t="s">
        <v>7607</v>
      </c>
      <c r="E3143" s="10" t="s">
        <v>57</v>
      </c>
      <c r="F3143" s="5" t="s">
        <v>7597</v>
      </c>
      <c r="I3143" s="11">
        <v>4</v>
      </c>
      <c r="K3143" s="12"/>
      <c r="O3143" s="14">
        <v>49986</v>
      </c>
      <c r="P3143" s="13">
        <v>1296</v>
      </c>
      <c r="Q3143" s="13">
        <v>13666</v>
      </c>
      <c r="S3143" s="13">
        <v>0</v>
      </c>
      <c r="U3143" s="13">
        <v>0</v>
      </c>
      <c r="AC3143" s="16" t="str">
        <f t="shared" si="147"/>
        <v/>
      </c>
      <c r="AD3143" s="17">
        <f t="shared" si="148"/>
        <v>0</v>
      </c>
      <c r="AE3143" s="17">
        <f t="shared" si="149"/>
        <v>0</v>
      </c>
      <c r="AF3143" s="10" t="s">
        <v>7608</v>
      </c>
      <c r="AG3143" s="5" t="s">
        <v>2753</v>
      </c>
      <c r="AH3143" s="5" t="s">
        <v>7592</v>
      </c>
      <c r="AI3143" s="5" t="s">
        <v>7609</v>
      </c>
      <c r="AJ3143" s="5" t="s">
        <v>7606</v>
      </c>
    </row>
    <row r="3144" spans="1:36" ht="10" customHeight="1" x14ac:dyDescent="0.2">
      <c r="A3144" s="5" t="s">
        <v>7153</v>
      </c>
      <c r="B3144" s="5" t="s">
        <v>45</v>
      </c>
      <c r="C3144" s="5" t="s">
        <v>7610</v>
      </c>
      <c r="D3144" s="5" t="s">
        <v>7611</v>
      </c>
      <c r="E3144" s="10" t="s">
        <v>57</v>
      </c>
      <c r="F3144" s="5" t="s">
        <v>7597</v>
      </c>
      <c r="I3144" s="11">
        <v>4</v>
      </c>
      <c r="K3144" s="10" t="s">
        <v>50</v>
      </c>
      <c r="L3144" s="5" t="s">
        <v>51</v>
      </c>
      <c r="M3144" s="5" t="s">
        <v>119</v>
      </c>
      <c r="O3144" s="14">
        <v>48623</v>
      </c>
      <c r="P3144" s="13">
        <v>28828</v>
      </c>
      <c r="Q3144" s="13">
        <v>10511</v>
      </c>
      <c r="S3144" s="13">
        <v>0</v>
      </c>
      <c r="U3144" s="13">
        <v>0</v>
      </c>
      <c r="AC3144" s="16" t="str">
        <f t="shared" si="147"/>
        <v/>
      </c>
      <c r="AD3144" s="17">
        <f t="shared" si="148"/>
        <v>0</v>
      </c>
      <c r="AE3144" s="17">
        <f t="shared" si="149"/>
        <v>0</v>
      </c>
      <c r="AF3144" s="10" t="s">
        <v>7612</v>
      </c>
      <c r="AG3144" s="5" t="s">
        <v>2761</v>
      </c>
      <c r="AH3144" s="5" t="s">
        <v>7592</v>
      </c>
      <c r="AI3144" s="5" t="s">
        <v>7613</v>
      </c>
      <c r="AJ3144" s="5" t="s">
        <v>7610</v>
      </c>
    </row>
    <row r="3145" spans="1:36" ht="10" customHeight="1" x14ac:dyDescent="0.2">
      <c r="A3145" s="5" t="s">
        <v>7153</v>
      </c>
      <c r="B3145" s="5" t="s">
        <v>45</v>
      </c>
      <c r="C3145" s="5" t="s">
        <v>7614</v>
      </c>
      <c r="D3145" s="5" t="s">
        <v>7615</v>
      </c>
      <c r="E3145" s="10" t="s">
        <v>57</v>
      </c>
      <c r="F3145" s="5" t="s">
        <v>7597</v>
      </c>
      <c r="I3145" s="11">
        <v>4</v>
      </c>
      <c r="K3145" s="12"/>
      <c r="O3145" s="14">
        <v>37557</v>
      </c>
      <c r="Q3145" s="13">
        <v>7000</v>
      </c>
      <c r="S3145" s="13">
        <v>0</v>
      </c>
      <c r="U3145" s="13">
        <v>0</v>
      </c>
      <c r="AC3145" s="16" t="str">
        <f t="shared" si="147"/>
        <v/>
      </c>
      <c r="AD3145" s="17">
        <f t="shared" si="148"/>
        <v>0</v>
      </c>
      <c r="AE3145" s="17">
        <f t="shared" si="149"/>
        <v>0</v>
      </c>
      <c r="AF3145" s="10" t="s">
        <v>7616</v>
      </c>
      <c r="AG3145" s="5" t="s">
        <v>2761</v>
      </c>
      <c r="AH3145" s="5" t="s">
        <v>7592</v>
      </c>
      <c r="AI3145" s="5" t="s">
        <v>7617</v>
      </c>
      <c r="AJ3145" s="5" t="s">
        <v>7614</v>
      </c>
    </row>
    <row r="3146" spans="1:36" ht="10" customHeight="1" x14ac:dyDescent="0.2">
      <c r="A3146" s="5" t="s">
        <v>7153</v>
      </c>
      <c r="B3146" s="5" t="s">
        <v>45</v>
      </c>
      <c r="C3146" s="5" t="s">
        <v>7618</v>
      </c>
      <c r="D3146" s="5" t="s">
        <v>7619</v>
      </c>
      <c r="E3146" s="10" t="s">
        <v>57</v>
      </c>
      <c r="F3146" s="5" t="s">
        <v>7597</v>
      </c>
      <c r="I3146" s="11">
        <v>4</v>
      </c>
      <c r="K3146" s="10" t="s">
        <v>50</v>
      </c>
      <c r="L3146" s="5" t="s">
        <v>51</v>
      </c>
      <c r="M3146" s="5" t="s">
        <v>119</v>
      </c>
      <c r="N3146" s="5" t="s">
        <v>120</v>
      </c>
      <c r="O3146" s="14">
        <v>0</v>
      </c>
      <c r="Q3146" s="13">
        <v>35251</v>
      </c>
      <c r="S3146" s="13">
        <v>6377</v>
      </c>
      <c r="U3146" s="13">
        <v>6377</v>
      </c>
      <c r="AC3146" s="16" t="str">
        <f t="shared" si="147"/>
        <v/>
      </c>
      <c r="AD3146" s="17">
        <f t="shared" si="148"/>
        <v>6377</v>
      </c>
      <c r="AE3146" s="17">
        <f t="shared" si="149"/>
        <v>0</v>
      </c>
      <c r="AF3146" s="10" t="s">
        <v>7620</v>
      </c>
      <c r="AG3146" s="5" t="s">
        <v>2768</v>
      </c>
      <c r="AH3146" s="5" t="s">
        <v>7592</v>
      </c>
      <c r="AI3146" s="5" t="s">
        <v>7619</v>
      </c>
      <c r="AJ3146" s="5" t="s">
        <v>7618</v>
      </c>
    </row>
    <row r="3147" spans="1:36" ht="10" customHeight="1" x14ac:dyDescent="0.2">
      <c r="A3147" s="5" t="s">
        <v>7153</v>
      </c>
      <c r="B3147" s="5" t="s">
        <v>45</v>
      </c>
      <c r="D3147" s="5" t="s">
        <v>7621</v>
      </c>
      <c r="E3147" s="10" t="s">
        <v>57</v>
      </c>
      <c r="F3147" s="5" t="s">
        <v>7622</v>
      </c>
      <c r="I3147" s="11">
        <v>4</v>
      </c>
      <c r="K3147" s="10" t="s">
        <v>50</v>
      </c>
      <c r="L3147" s="5" t="s">
        <v>51</v>
      </c>
      <c r="M3147" s="5" t="s">
        <v>119</v>
      </c>
      <c r="N3147" s="5" t="s">
        <v>120</v>
      </c>
      <c r="O3147" s="12"/>
      <c r="Q3147" s="13">
        <v>23000</v>
      </c>
      <c r="S3147" s="13">
        <v>2615</v>
      </c>
      <c r="U3147" s="13">
        <v>2615</v>
      </c>
      <c r="AC3147" s="16" t="str">
        <f t="shared" si="147"/>
        <v/>
      </c>
      <c r="AD3147" s="17">
        <f t="shared" si="148"/>
        <v>2615</v>
      </c>
      <c r="AE3147" s="17">
        <f t="shared" si="149"/>
        <v>0</v>
      </c>
      <c r="AF3147" s="10" t="s">
        <v>7623</v>
      </c>
      <c r="AG3147" s="5" t="s">
        <v>2768</v>
      </c>
      <c r="AH3147" s="5" t="s">
        <v>7592</v>
      </c>
    </row>
    <row r="3148" spans="1:36" ht="10" customHeight="1" x14ac:dyDescent="0.2">
      <c r="A3148" s="5" t="s">
        <v>7153</v>
      </c>
      <c r="B3148" s="5" t="s">
        <v>45</v>
      </c>
      <c r="D3148" s="5" t="s">
        <v>7624</v>
      </c>
      <c r="E3148" s="10" t="s">
        <v>57</v>
      </c>
      <c r="F3148" s="5" t="s">
        <v>7622</v>
      </c>
      <c r="I3148" s="11">
        <v>4</v>
      </c>
      <c r="K3148" s="10" t="s">
        <v>50</v>
      </c>
      <c r="L3148" s="5" t="s">
        <v>51</v>
      </c>
      <c r="M3148" s="5" t="s">
        <v>119</v>
      </c>
      <c r="N3148" s="5" t="s">
        <v>120</v>
      </c>
      <c r="O3148" s="12"/>
      <c r="Q3148" s="13">
        <v>9551</v>
      </c>
      <c r="S3148" s="13">
        <v>3762</v>
      </c>
      <c r="U3148" s="13">
        <v>3762</v>
      </c>
      <c r="AC3148" s="16" t="str">
        <f t="shared" si="147"/>
        <v/>
      </c>
      <c r="AD3148" s="17">
        <f t="shared" si="148"/>
        <v>3762</v>
      </c>
      <c r="AE3148" s="17">
        <f t="shared" si="149"/>
        <v>0</v>
      </c>
      <c r="AF3148" s="10" t="s">
        <v>7625</v>
      </c>
      <c r="AG3148" s="5" t="s">
        <v>2768</v>
      </c>
      <c r="AH3148" s="5" t="s">
        <v>7592</v>
      </c>
    </row>
    <row r="3149" spans="1:36" ht="10" customHeight="1" x14ac:dyDescent="0.2">
      <c r="A3149" s="5" t="s">
        <v>7153</v>
      </c>
      <c r="B3149" s="5" t="s">
        <v>45</v>
      </c>
      <c r="C3149" s="5" t="s">
        <v>7626</v>
      </c>
      <c r="D3149" s="5" t="s">
        <v>7627</v>
      </c>
      <c r="E3149" s="10" t="s">
        <v>57</v>
      </c>
      <c r="F3149" s="5" t="s">
        <v>7597</v>
      </c>
      <c r="I3149" s="11">
        <v>4</v>
      </c>
      <c r="K3149" s="12"/>
      <c r="O3149" s="14">
        <v>0</v>
      </c>
      <c r="S3149" s="13">
        <v>6376</v>
      </c>
      <c r="U3149" s="13">
        <v>6376</v>
      </c>
      <c r="AC3149" s="16" t="str">
        <f t="shared" si="147"/>
        <v/>
      </c>
      <c r="AD3149" s="17">
        <f t="shared" si="148"/>
        <v>6376</v>
      </c>
      <c r="AE3149" s="17">
        <f t="shared" si="149"/>
        <v>0</v>
      </c>
      <c r="AF3149" s="10" t="s">
        <v>7628</v>
      </c>
      <c r="AG3149" s="5" t="s">
        <v>2771</v>
      </c>
      <c r="AH3149" s="5" t="s">
        <v>7592</v>
      </c>
      <c r="AI3149" s="5" t="s">
        <v>7627</v>
      </c>
      <c r="AJ3149" s="5" t="s">
        <v>7626</v>
      </c>
    </row>
    <row r="3150" spans="1:36" ht="10" customHeight="1" x14ac:dyDescent="0.2">
      <c r="A3150" s="5" t="s">
        <v>7153</v>
      </c>
      <c r="B3150" s="5" t="s">
        <v>45</v>
      </c>
      <c r="D3150" s="5" t="s">
        <v>7629</v>
      </c>
      <c r="E3150" s="10" t="s">
        <v>57</v>
      </c>
      <c r="F3150" s="5" t="s">
        <v>7630</v>
      </c>
      <c r="I3150" s="11">
        <v>6</v>
      </c>
      <c r="K3150" s="12"/>
      <c r="O3150" s="12"/>
      <c r="S3150" s="13">
        <v>1865</v>
      </c>
      <c r="U3150" s="13">
        <v>1865</v>
      </c>
      <c r="AC3150" s="16" t="str">
        <f t="shared" si="147"/>
        <v/>
      </c>
      <c r="AD3150" s="17">
        <f t="shared" si="148"/>
        <v>1865</v>
      </c>
      <c r="AE3150" s="17">
        <f t="shared" si="149"/>
        <v>0</v>
      </c>
      <c r="AF3150" s="10" t="s">
        <v>7631</v>
      </c>
      <c r="AG3150" s="5" t="s">
        <v>2771</v>
      </c>
      <c r="AH3150" s="5" t="s">
        <v>7592</v>
      </c>
    </row>
    <row r="3151" spans="1:36" ht="10" customHeight="1" x14ac:dyDescent="0.2">
      <c r="A3151" s="5" t="s">
        <v>7153</v>
      </c>
      <c r="B3151" s="5" t="s">
        <v>45</v>
      </c>
      <c r="D3151" s="5" t="s">
        <v>7632</v>
      </c>
      <c r="E3151" s="10" t="s">
        <v>57</v>
      </c>
      <c r="F3151" s="5" t="s">
        <v>7630</v>
      </c>
      <c r="I3151" s="11">
        <v>4</v>
      </c>
      <c r="K3151" s="12"/>
      <c r="O3151" s="12"/>
      <c r="S3151" s="13">
        <v>1250</v>
      </c>
      <c r="U3151" s="13">
        <v>1250</v>
      </c>
      <c r="AC3151" s="16" t="str">
        <f t="shared" si="147"/>
        <v/>
      </c>
      <c r="AD3151" s="17">
        <f t="shared" si="148"/>
        <v>1250</v>
      </c>
      <c r="AE3151" s="17">
        <f t="shared" si="149"/>
        <v>0</v>
      </c>
      <c r="AF3151" s="10" t="s">
        <v>7633</v>
      </c>
      <c r="AG3151" s="5" t="s">
        <v>2771</v>
      </c>
      <c r="AH3151" s="5" t="s">
        <v>7592</v>
      </c>
    </row>
    <row r="3152" spans="1:36" ht="10" customHeight="1" x14ac:dyDescent="0.2">
      <c r="A3152" s="5" t="s">
        <v>7153</v>
      </c>
      <c r="B3152" s="5" t="s">
        <v>45</v>
      </c>
      <c r="D3152" s="5" t="s">
        <v>7634</v>
      </c>
      <c r="E3152" s="10" t="s">
        <v>57</v>
      </c>
      <c r="F3152" s="5" t="s">
        <v>7630</v>
      </c>
      <c r="I3152" s="11">
        <v>6</v>
      </c>
      <c r="K3152" s="12"/>
      <c r="O3152" s="12"/>
      <c r="S3152" s="13">
        <v>3261</v>
      </c>
      <c r="U3152" s="13">
        <v>3261</v>
      </c>
      <c r="AC3152" s="16" t="str">
        <f t="shared" si="147"/>
        <v/>
      </c>
      <c r="AD3152" s="17">
        <f t="shared" si="148"/>
        <v>3261</v>
      </c>
      <c r="AE3152" s="17">
        <f t="shared" si="149"/>
        <v>0</v>
      </c>
      <c r="AF3152" s="10" t="s">
        <v>7635</v>
      </c>
      <c r="AG3152" s="5" t="s">
        <v>2771</v>
      </c>
      <c r="AH3152" s="5" t="s">
        <v>7592</v>
      </c>
    </row>
    <row r="3153" spans="1:36" ht="10" customHeight="1" x14ac:dyDescent="0.2">
      <c r="A3153" s="5" t="s">
        <v>7153</v>
      </c>
      <c r="B3153" s="5" t="s">
        <v>45</v>
      </c>
      <c r="C3153" s="5" t="s">
        <v>7636</v>
      </c>
      <c r="D3153" s="5" t="s">
        <v>7637</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6" t="str">
        <f t="shared" si="147"/>
        <v>ADD</v>
      </c>
      <c r="AD3153" s="17">
        <f t="shared" si="148"/>
        <v>77889</v>
      </c>
      <c r="AE3153" s="17">
        <f t="shared" si="149"/>
        <v>73681</v>
      </c>
      <c r="AF3153" s="10" t="s">
        <v>7638</v>
      </c>
      <c r="AG3153" s="5" t="s">
        <v>2777</v>
      </c>
      <c r="AH3153" s="5" t="s">
        <v>7636</v>
      </c>
    </row>
    <row r="3154" spans="1:36" ht="10" customHeight="1" x14ac:dyDescent="0.2">
      <c r="A3154" s="5" t="s">
        <v>7153</v>
      </c>
      <c r="B3154" s="5" t="s">
        <v>45</v>
      </c>
      <c r="D3154" s="5" t="s">
        <v>7639</v>
      </c>
      <c r="E3154" s="10" t="s">
        <v>57</v>
      </c>
      <c r="F3154" s="5" t="s">
        <v>7640</v>
      </c>
      <c r="I3154" s="11">
        <v>6</v>
      </c>
      <c r="K3154" s="10" t="s">
        <v>50</v>
      </c>
      <c r="L3154" s="5" t="s">
        <v>51</v>
      </c>
      <c r="M3154" s="5" t="s">
        <v>52</v>
      </c>
      <c r="O3154" s="14">
        <v>297318</v>
      </c>
      <c r="P3154" s="13">
        <v>65021</v>
      </c>
      <c r="Q3154" s="13">
        <v>68129</v>
      </c>
      <c r="S3154" s="13">
        <v>65529</v>
      </c>
      <c r="U3154" s="13">
        <v>65529</v>
      </c>
      <c r="AC3154" s="16" t="str">
        <f t="shared" si="147"/>
        <v/>
      </c>
      <c r="AD3154" s="17">
        <f t="shared" si="148"/>
        <v>65529</v>
      </c>
      <c r="AE3154" s="17">
        <f t="shared" si="149"/>
        <v>0</v>
      </c>
      <c r="AF3154" s="10" t="s">
        <v>7641</v>
      </c>
      <c r="AG3154" s="5" t="s">
        <v>7642</v>
      </c>
      <c r="AH3154" s="5" t="s">
        <v>7636</v>
      </c>
    </row>
    <row r="3155" spans="1:36" ht="10" customHeight="1" x14ac:dyDescent="0.2">
      <c r="A3155" s="5" t="s">
        <v>7153</v>
      </c>
      <c r="B3155" s="5" t="s">
        <v>45</v>
      </c>
      <c r="C3155" s="5" t="s">
        <v>7643</v>
      </c>
      <c r="D3155" s="5" t="s">
        <v>7644</v>
      </c>
      <c r="E3155" s="10" t="s">
        <v>57</v>
      </c>
      <c r="F3155" s="5" t="s">
        <v>7645</v>
      </c>
      <c r="I3155" s="11">
        <v>6</v>
      </c>
      <c r="K3155" s="10" t="s">
        <v>50</v>
      </c>
      <c r="L3155" s="5" t="s">
        <v>51</v>
      </c>
      <c r="M3155" s="5" t="s">
        <v>52</v>
      </c>
      <c r="O3155" s="14">
        <v>37900</v>
      </c>
      <c r="P3155" s="13">
        <v>7619</v>
      </c>
      <c r="Q3155" s="13">
        <v>7822</v>
      </c>
      <c r="S3155" s="13">
        <v>7977</v>
      </c>
      <c r="U3155" s="13">
        <v>7977</v>
      </c>
      <c r="AC3155" s="16" t="str">
        <f t="shared" si="147"/>
        <v/>
      </c>
      <c r="AD3155" s="17">
        <f t="shared" si="148"/>
        <v>7977</v>
      </c>
      <c r="AE3155" s="17">
        <f t="shared" si="149"/>
        <v>0</v>
      </c>
      <c r="AF3155" s="10" t="s">
        <v>7646</v>
      </c>
      <c r="AG3155" s="5" t="s">
        <v>7647</v>
      </c>
      <c r="AH3155" s="5" t="s">
        <v>7636</v>
      </c>
      <c r="AI3155" s="5" t="s">
        <v>7648</v>
      </c>
    </row>
    <row r="3156" spans="1:36" ht="10" customHeight="1" x14ac:dyDescent="0.2">
      <c r="A3156" s="5" t="s">
        <v>7153</v>
      </c>
      <c r="B3156" s="5" t="s">
        <v>45</v>
      </c>
      <c r="D3156" s="5" t="s">
        <v>7649</v>
      </c>
      <c r="E3156" s="10" t="s">
        <v>57</v>
      </c>
      <c r="F3156" s="5" t="s">
        <v>7650</v>
      </c>
      <c r="I3156" s="11">
        <v>6</v>
      </c>
      <c r="K3156" s="12"/>
      <c r="O3156" s="14">
        <v>7045</v>
      </c>
      <c r="P3156" s="13">
        <v>3660</v>
      </c>
      <c r="Q3156" s="13">
        <v>3733</v>
      </c>
      <c r="S3156" s="13">
        <v>3807</v>
      </c>
      <c r="U3156" s="13">
        <v>3807</v>
      </c>
      <c r="AC3156" s="16" t="str">
        <f t="shared" si="147"/>
        <v/>
      </c>
      <c r="AD3156" s="17">
        <f t="shared" si="148"/>
        <v>3807</v>
      </c>
      <c r="AE3156" s="17">
        <f t="shared" si="149"/>
        <v>0</v>
      </c>
      <c r="AF3156" s="10" t="s">
        <v>7651</v>
      </c>
      <c r="AG3156" s="5" t="s">
        <v>7647</v>
      </c>
    </row>
    <row r="3157" spans="1:36" ht="10" customHeight="1" x14ac:dyDescent="0.2">
      <c r="A3157" s="5" t="s">
        <v>7153</v>
      </c>
      <c r="B3157" s="5" t="s">
        <v>45</v>
      </c>
      <c r="D3157" s="5" t="s">
        <v>7652</v>
      </c>
      <c r="E3157" s="10" t="s">
        <v>57</v>
      </c>
      <c r="F3157" s="5" t="s">
        <v>7650</v>
      </c>
      <c r="I3157" s="11">
        <v>6</v>
      </c>
      <c r="K3157" s="12"/>
      <c r="O3157" s="14">
        <v>24176</v>
      </c>
      <c r="P3157" s="13">
        <v>1645</v>
      </c>
      <c r="Q3157" s="13">
        <v>1729</v>
      </c>
      <c r="S3157" s="13">
        <v>1763</v>
      </c>
      <c r="U3157" s="13">
        <v>1763</v>
      </c>
      <c r="AC3157" s="16" t="str">
        <f t="shared" si="147"/>
        <v/>
      </c>
      <c r="AD3157" s="17">
        <f t="shared" si="148"/>
        <v>1763</v>
      </c>
      <c r="AE3157" s="17">
        <f t="shared" si="149"/>
        <v>0</v>
      </c>
      <c r="AF3157" s="10" t="s">
        <v>7653</v>
      </c>
      <c r="AG3157" s="5" t="s">
        <v>7647</v>
      </c>
    </row>
    <row r="3158" spans="1:36" ht="10" customHeight="1" x14ac:dyDescent="0.2">
      <c r="A3158" s="5" t="s">
        <v>7153</v>
      </c>
      <c r="B3158" s="5" t="s">
        <v>45</v>
      </c>
      <c r="D3158" s="5" t="s">
        <v>7654</v>
      </c>
      <c r="E3158" s="10" t="s">
        <v>57</v>
      </c>
      <c r="F3158" s="5" t="s">
        <v>7650</v>
      </c>
      <c r="I3158" s="11">
        <v>6</v>
      </c>
      <c r="K3158" s="12"/>
      <c r="O3158" s="14">
        <v>6679</v>
      </c>
      <c r="P3158" s="13">
        <v>2314</v>
      </c>
      <c r="Q3158" s="13">
        <v>2360</v>
      </c>
      <c r="S3158" s="13">
        <v>2407</v>
      </c>
      <c r="U3158" s="13">
        <v>2407</v>
      </c>
      <c r="AC3158" s="16" t="str">
        <f t="shared" si="147"/>
        <v/>
      </c>
      <c r="AD3158" s="17">
        <f t="shared" si="148"/>
        <v>2407</v>
      </c>
      <c r="AE3158" s="17">
        <f t="shared" si="149"/>
        <v>0</v>
      </c>
      <c r="AF3158" s="10" t="s">
        <v>7655</v>
      </c>
      <c r="AG3158" s="5" t="s">
        <v>7647</v>
      </c>
    </row>
    <row r="3159" spans="1:36" ht="10" customHeight="1" x14ac:dyDescent="0.2">
      <c r="A3159" s="5" t="s">
        <v>7153</v>
      </c>
      <c r="B3159" s="5" t="s">
        <v>45</v>
      </c>
      <c r="C3159" s="5" t="s">
        <v>7656</v>
      </c>
      <c r="D3159" s="5" t="s">
        <v>7657</v>
      </c>
      <c r="E3159" s="10" t="s">
        <v>57</v>
      </c>
      <c r="F3159" s="5" t="s">
        <v>7645</v>
      </c>
      <c r="I3159" s="11">
        <v>6</v>
      </c>
      <c r="K3159" s="12"/>
      <c r="O3159" s="14">
        <v>52167</v>
      </c>
      <c r="P3159" s="13">
        <v>6348</v>
      </c>
      <c r="Q3159" s="13">
        <v>6473</v>
      </c>
      <c r="S3159" s="13">
        <v>5832</v>
      </c>
      <c r="U3159" s="13">
        <v>5832</v>
      </c>
      <c r="AC3159" s="16" t="str">
        <f t="shared" si="147"/>
        <v/>
      </c>
      <c r="AD3159" s="17">
        <f t="shared" si="148"/>
        <v>5832</v>
      </c>
      <c r="AE3159" s="17">
        <f t="shared" si="149"/>
        <v>0</v>
      </c>
      <c r="AF3159" s="10" t="s">
        <v>7658</v>
      </c>
      <c r="AG3159" s="5" t="s">
        <v>7659</v>
      </c>
      <c r="AH3159" s="5" t="s">
        <v>7636</v>
      </c>
      <c r="AI3159" s="5" t="s">
        <v>7660</v>
      </c>
      <c r="AJ3159" s="5" t="s">
        <v>7656</v>
      </c>
    </row>
    <row r="3160" spans="1:36" ht="10" customHeight="1" x14ac:dyDescent="0.2">
      <c r="A3160" s="5" t="s">
        <v>7153</v>
      </c>
      <c r="B3160" s="5" t="s">
        <v>45</v>
      </c>
      <c r="D3160" s="5" t="s">
        <v>7661</v>
      </c>
      <c r="E3160" s="10" t="s">
        <v>57</v>
      </c>
      <c r="F3160" s="5" t="s">
        <v>7662</v>
      </c>
      <c r="I3160" s="11">
        <v>6</v>
      </c>
      <c r="K3160" s="12"/>
      <c r="O3160" s="14">
        <v>38652</v>
      </c>
      <c r="P3160" s="13">
        <v>3623</v>
      </c>
      <c r="Q3160" s="13">
        <v>3695</v>
      </c>
      <c r="S3160" s="13">
        <v>3000</v>
      </c>
      <c r="U3160" s="13">
        <v>3000</v>
      </c>
      <c r="AC3160" s="16" t="str">
        <f t="shared" si="147"/>
        <v/>
      </c>
      <c r="AD3160" s="17">
        <f t="shared" si="148"/>
        <v>3000</v>
      </c>
      <c r="AE3160" s="17">
        <f t="shared" si="149"/>
        <v>0</v>
      </c>
      <c r="AF3160" s="10" t="s">
        <v>7663</v>
      </c>
      <c r="AG3160" s="5" t="s">
        <v>7659</v>
      </c>
    </row>
    <row r="3161" spans="1:36" ht="10" customHeight="1" x14ac:dyDescent="0.2">
      <c r="A3161" s="5" t="s">
        <v>7153</v>
      </c>
      <c r="B3161" s="5" t="s">
        <v>45</v>
      </c>
      <c r="D3161" s="5" t="s">
        <v>7664</v>
      </c>
      <c r="E3161" s="10" t="s">
        <v>57</v>
      </c>
      <c r="F3161" s="5" t="s">
        <v>7662</v>
      </c>
      <c r="I3161" s="11">
        <v>6</v>
      </c>
      <c r="K3161" s="12"/>
      <c r="O3161" s="14">
        <v>12149</v>
      </c>
      <c r="P3161" s="13">
        <v>1893</v>
      </c>
      <c r="Q3161" s="13">
        <v>1930</v>
      </c>
      <c r="S3161" s="13">
        <v>1968</v>
      </c>
      <c r="U3161" s="13">
        <v>1968</v>
      </c>
      <c r="AC3161" s="16" t="str">
        <f t="shared" si="147"/>
        <v/>
      </c>
      <c r="AD3161" s="17">
        <f t="shared" si="148"/>
        <v>1968</v>
      </c>
      <c r="AE3161" s="17">
        <f t="shared" si="149"/>
        <v>0</v>
      </c>
      <c r="AF3161" s="10" t="s">
        <v>7665</v>
      </c>
      <c r="AG3161" s="5" t="s">
        <v>7659</v>
      </c>
    </row>
    <row r="3162" spans="1:36" ht="10" customHeight="1" x14ac:dyDescent="0.2">
      <c r="A3162" s="5" t="s">
        <v>7153</v>
      </c>
      <c r="B3162" s="5" t="s">
        <v>45</v>
      </c>
      <c r="D3162" s="5" t="s">
        <v>7666</v>
      </c>
      <c r="E3162" s="10" t="s">
        <v>57</v>
      </c>
      <c r="F3162" s="5" t="s">
        <v>7662</v>
      </c>
      <c r="I3162" s="11">
        <v>6</v>
      </c>
      <c r="K3162" s="12"/>
      <c r="O3162" s="14">
        <v>1366</v>
      </c>
      <c r="P3162" s="13">
        <v>832</v>
      </c>
      <c r="Q3162" s="13">
        <v>848</v>
      </c>
      <c r="S3162" s="13">
        <v>864</v>
      </c>
      <c r="U3162" s="13">
        <v>864</v>
      </c>
      <c r="AC3162" s="16" t="str">
        <f t="shared" si="147"/>
        <v/>
      </c>
      <c r="AD3162" s="17">
        <f t="shared" si="148"/>
        <v>864</v>
      </c>
      <c r="AE3162" s="17">
        <f t="shared" si="149"/>
        <v>0</v>
      </c>
      <c r="AF3162" s="10" t="s">
        <v>7667</v>
      </c>
      <c r="AG3162" s="5" t="s">
        <v>7659</v>
      </c>
    </row>
    <row r="3163" spans="1:36" ht="10" customHeight="1" x14ac:dyDescent="0.2">
      <c r="A3163" s="5" t="s">
        <v>7153</v>
      </c>
      <c r="B3163" s="5" t="s">
        <v>45</v>
      </c>
      <c r="C3163" s="5" t="s">
        <v>7668</v>
      </c>
      <c r="D3163" s="5" t="s">
        <v>7669</v>
      </c>
      <c r="E3163" s="10" t="s">
        <v>57</v>
      </c>
      <c r="F3163" s="5" t="s">
        <v>7645</v>
      </c>
      <c r="I3163" s="11">
        <v>6</v>
      </c>
      <c r="K3163" s="10" t="s">
        <v>50</v>
      </c>
      <c r="L3163" s="5" t="s">
        <v>51</v>
      </c>
      <c r="M3163" s="5" t="s">
        <v>52</v>
      </c>
      <c r="O3163" s="14">
        <v>40763</v>
      </c>
      <c r="P3163" s="13">
        <v>11425</v>
      </c>
      <c r="Q3163" s="13">
        <v>11277</v>
      </c>
      <c r="S3163" s="13">
        <v>13651</v>
      </c>
      <c r="U3163" s="13">
        <v>13651</v>
      </c>
      <c r="AC3163" s="16" t="str">
        <f t="shared" si="147"/>
        <v/>
      </c>
      <c r="AD3163" s="17">
        <f t="shared" si="148"/>
        <v>13651</v>
      </c>
      <c r="AE3163" s="17">
        <f t="shared" si="149"/>
        <v>0</v>
      </c>
      <c r="AF3163" s="10" t="s">
        <v>7670</v>
      </c>
      <c r="AG3163" s="5" t="s">
        <v>2791</v>
      </c>
      <c r="AH3163" s="5" t="s">
        <v>7636</v>
      </c>
      <c r="AI3163" s="5" t="s">
        <v>7671</v>
      </c>
    </row>
    <row r="3164" spans="1:36" ht="10" customHeight="1" x14ac:dyDescent="0.2">
      <c r="A3164" s="5" t="s">
        <v>7153</v>
      </c>
      <c r="B3164" s="5" t="s">
        <v>45</v>
      </c>
      <c r="D3164" s="5" t="s">
        <v>7672</v>
      </c>
      <c r="E3164" s="10" t="s">
        <v>57</v>
      </c>
      <c r="F3164" s="5" t="s">
        <v>7673</v>
      </c>
      <c r="I3164" s="11">
        <v>6</v>
      </c>
      <c r="K3164" s="10" t="s">
        <v>50</v>
      </c>
      <c r="L3164" s="5" t="s">
        <v>51</v>
      </c>
      <c r="M3164" s="5" t="s">
        <v>52</v>
      </c>
      <c r="O3164" s="14">
        <v>22407</v>
      </c>
      <c r="P3164" s="13">
        <v>7768</v>
      </c>
      <c r="Q3164" s="13">
        <v>7922</v>
      </c>
      <c r="S3164" s="13">
        <v>8080</v>
      </c>
      <c r="U3164" s="13">
        <v>8080</v>
      </c>
      <c r="AC3164" s="16" t="str">
        <f t="shared" si="147"/>
        <v/>
      </c>
      <c r="AD3164" s="17">
        <f t="shared" si="148"/>
        <v>8080</v>
      </c>
      <c r="AE3164" s="17">
        <f t="shared" si="149"/>
        <v>0</v>
      </c>
      <c r="AF3164" s="10" t="s">
        <v>7674</v>
      </c>
      <c r="AG3164" s="5" t="s">
        <v>2791</v>
      </c>
    </row>
    <row r="3165" spans="1:36" ht="10" customHeight="1" x14ac:dyDescent="0.2">
      <c r="A3165" s="5" t="s">
        <v>7153</v>
      </c>
      <c r="B3165" s="5" t="s">
        <v>45</v>
      </c>
      <c r="D3165" s="5" t="s">
        <v>7675</v>
      </c>
      <c r="E3165" s="10" t="s">
        <v>57</v>
      </c>
      <c r="F3165" s="5" t="s">
        <v>7673</v>
      </c>
      <c r="I3165" s="11">
        <v>6</v>
      </c>
      <c r="K3165" s="10" t="s">
        <v>50</v>
      </c>
      <c r="L3165" s="5" t="s">
        <v>51</v>
      </c>
      <c r="M3165" s="5" t="s">
        <v>52</v>
      </c>
      <c r="O3165" s="14">
        <v>14035</v>
      </c>
      <c r="P3165" s="13">
        <v>1860</v>
      </c>
      <c r="Q3165" s="13">
        <v>1523</v>
      </c>
      <c r="S3165" s="13">
        <v>703</v>
      </c>
      <c r="U3165" s="13">
        <v>703</v>
      </c>
      <c r="AC3165" s="16" t="str">
        <f t="shared" si="147"/>
        <v/>
      </c>
      <c r="AD3165" s="17">
        <f t="shared" si="148"/>
        <v>703</v>
      </c>
      <c r="AE3165" s="17">
        <f t="shared" si="149"/>
        <v>0</v>
      </c>
      <c r="AF3165" s="10" t="s">
        <v>7676</v>
      </c>
      <c r="AG3165" s="5" t="s">
        <v>2791</v>
      </c>
    </row>
    <row r="3166" spans="1:36" ht="10" customHeight="1" x14ac:dyDescent="0.2">
      <c r="A3166" s="5" t="s">
        <v>7153</v>
      </c>
      <c r="B3166" s="5" t="s">
        <v>45</v>
      </c>
      <c r="D3166" s="5" t="s">
        <v>7677</v>
      </c>
      <c r="E3166" s="10" t="s">
        <v>57</v>
      </c>
      <c r="F3166" s="5" t="s">
        <v>7673</v>
      </c>
      <c r="I3166" s="11">
        <v>6</v>
      </c>
      <c r="K3166" s="10" t="s">
        <v>50</v>
      </c>
      <c r="L3166" s="5" t="s">
        <v>51</v>
      </c>
      <c r="M3166" s="5" t="s">
        <v>52</v>
      </c>
      <c r="N3166" s="5" t="s">
        <v>53</v>
      </c>
      <c r="O3166" s="12"/>
      <c r="S3166" s="13">
        <v>3000</v>
      </c>
      <c r="U3166" s="13">
        <v>3000</v>
      </c>
      <c r="AC3166" s="16" t="str">
        <f t="shared" si="147"/>
        <v/>
      </c>
      <c r="AD3166" s="17">
        <f t="shared" si="148"/>
        <v>3000</v>
      </c>
      <c r="AE3166" s="17">
        <f t="shared" si="149"/>
        <v>0</v>
      </c>
      <c r="AF3166" s="10" t="s">
        <v>7678</v>
      </c>
      <c r="AG3166" s="5" t="s">
        <v>2791</v>
      </c>
    </row>
    <row r="3167" spans="1:36" ht="10" customHeight="1" x14ac:dyDescent="0.2">
      <c r="A3167" s="5" t="s">
        <v>7153</v>
      </c>
      <c r="B3167" s="5" t="s">
        <v>45</v>
      </c>
      <c r="D3167" s="5" t="s">
        <v>7679</v>
      </c>
      <c r="E3167" s="10" t="s">
        <v>57</v>
      </c>
      <c r="F3167" s="5" t="s">
        <v>7673</v>
      </c>
      <c r="I3167" s="11">
        <v>6</v>
      </c>
      <c r="K3167" s="12"/>
      <c r="O3167" s="14">
        <v>4321</v>
      </c>
      <c r="P3167" s="13">
        <v>1797</v>
      </c>
      <c r="Q3167" s="13">
        <v>1832</v>
      </c>
      <c r="S3167" s="13">
        <v>1868</v>
      </c>
      <c r="U3167" s="13">
        <v>1868</v>
      </c>
      <c r="AC3167" s="16" t="str">
        <f t="shared" si="147"/>
        <v/>
      </c>
      <c r="AD3167" s="17">
        <f t="shared" si="148"/>
        <v>1868</v>
      </c>
      <c r="AE3167" s="17">
        <f t="shared" si="149"/>
        <v>0</v>
      </c>
      <c r="AF3167" s="10" t="s">
        <v>7680</v>
      </c>
      <c r="AG3167" s="5" t="s">
        <v>2791</v>
      </c>
    </row>
    <row r="3168" spans="1:36" ht="10" customHeight="1" x14ac:dyDescent="0.2">
      <c r="A3168" s="5" t="s">
        <v>7153</v>
      </c>
      <c r="B3168" s="5" t="s">
        <v>45</v>
      </c>
      <c r="C3168" s="5" t="s">
        <v>7681</v>
      </c>
      <c r="D3168" s="5" t="s">
        <v>7682</v>
      </c>
      <c r="E3168" s="10" t="s">
        <v>57</v>
      </c>
      <c r="F3168" s="5" t="s">
        <v>7645</v>
      </c>
      <c r="I3168" s="11">
        <v>6</v>
      </c>
      <c r="K3168" s="10" t="s">
        <v>50</v>
      </c>
      <c r="L3168" s="5" t="s">
        <v>51</v>
      </c>
      <c r="M3168" s="5" t="s">
        <v>52</v>
      </c>
      <c r="O3168" s="14">
        <v>18760</v>
      </c>
      <c r="P3168" s="13">
        <v>4582</v>
      </c>
      <c r="Q3168" s="13">
        <v>7553</v>
      </c>
      <c r="S3168" s="13">
        <v>2366</v>
      </c>
      <c r="U3168" s="13">
        <v>2366</v>
      </c>
      <c r="AC3168" s="16" t="str">
        <f t="shared" si="147"/>
        <v/>
      </c>
      <c r="AD3168" s="17">
        <f t="shared" si="148"/>
        <v>2366</v>
      </c>
      <c r="AE3168" s="17">
        <f t="shared" si="149"/>
        <v>0</v>
      </c>
      <c r="AF3168" s="10" t="s">
        <v>7683</v>
      </c>
      <c r="AG3168" s="5" t="s">
        <v>6559</v>
      </c>
      <c r="AH3168" s="5" t="s">
        <v>7636</v>
      </c>
      <c r="AI3168" s="5" t="s">
        <v>7684</v>
      </c>
    </row>
    <row r="3169" spans="1:36" ht="10" customHeight="1" x14ac:dyDescent="0.2">
      <c r="A3169" s="5" t="s">
        <v>7153</v>
      </c>
      <c r="B3169" s="5" t="s">
        <v>45</v>
      </c>
      <c r="D3169" s="5" t="s">
        <v>7685</v>
      </c>
      <c r="E3169" s="10" t="s">
        <v>57</v>
      </c>
      <c r="F3169" s="5" t="s">
        <v>7686</v>
      </c>
      <c r="I3169" s="11">
        <v>6</v>
      </c>
      <c r="K3169" s="12"/>
      <c r="O3169" s="14">
        <v>17334</v>
      </c>
      <c r="P3169" s="13">
        <v>3848</v>
      </c>
      <c r="Q3169" s="13">
        <v>6541</v>
      </c>
      <c r="S3169" s="13">
        <v>1334</v>
      </c>
      <c r="U3169" s="13">
        <v>1334</v>
      </c>
      <c r="AC3169" s="16" t="str">
        <f t="shared" si="147"/>
        <v/>
      </c>
      <c r="AD3169" s="17">
        <f t="shared" si="148"/>
        <v>1334</v>
      </c>
      <c r="AE3169" s="17">
        <f t="shared" si="149"/>
        <v>0</v>
      </c>
      <c r="AF3169" s="10" t="s">
        <v>7687</v>
      </c>
      <c r="AG3169" s="5" t="s">
        <v>6559</v>
      </c>
    </row>
    <row r="3170" spans="1:36" ht="10" customHeight="1" x14ac:dyDescent="0.2">
      <c r="A3170" s="5" t="s">
        <v>7153</v>
      </c>
      <c r="B3170" s="5" t="s">
        <v>45</v>
      </c>
      <c r="D3170" s="5" t="s">
        <v>7688</v>
      </c>
      <c r="E3170" s="10" t="s">
        <v>57</v>
      </c>
      <c r="F3170" s="5" t="s">
        <v>7686</v>
      </c>
      <c r="I3170" s="11">
        <v>6</v>
      </c>
      <c r="K3170" s="10" t="s">
        <v>50</v>
      </c>
      <c r="L3170" s="5" t="s">
        <v>51</v>
      </c>
      <c r="M3170" s="5" t="s">
        <v>52</v>
      </c>
      <c r="N3170" s="5" t="s">
        <v>88</v>
      </c>
      <c r="O3170" s="14">
        <v>1426</v>
      </c>
      <c r="P3170" s="13">
        <v>734</v>
      </c>
      <c r="Q3170" s="13">
        <v>1012</v>
      </c>
      <c r="S3170" s="13">
        <v>1032</v>
      </c>
      <c r="U3170" s="13">
        <v>1032</v>
      </c>
      <c r="AC3170" s="16" t="str">
        <f t="shared" si="147"/>
        <v/>
      </c>
      <c r="AD3170" s="17">
        <f t="shared" si="148"/>
        <v>1032</v>
      </c>
      <c r="AE3170" s="17">
        <f t="shared" si="149"/>
        <v>0</v>
      </c>
      <c r="AF3170" s="10" t="s">
        <v>7689</v>
      </c>
      <c r="AG3170" s="5" t="s">
        <v>6559</v>
      </c>
    </row>
    <row r="3171" spans="1:36" ht="10" customHeight="1" x14ac:dyDescent="0.2">
      <c r="A3171" s="5" t="s">
        <v>7153</v>
      </c>
      <c r="B3171" s="5" t="s">
        <v>45</v>
      </c>
      <c r="C3171" s="5" t="s">
        <v>7690</v>
      </c>
      <c r="D3171" s="5" t="s">
        <v>7691</v>
      </c>
      <c r="E3171" s="10" t="s">
        <v>57</v>
      </c>
      <c r="F3171" s="5" t="s">
        <v>7645</v>
      </c>
      <c r="I3171" s="11">
        <v>6</v>
      </c>
      <c r="K3171" s="10" t="s">
        <v>50</v>
      </c>
      <c r="L3171" s="5" t="s">
        <v>51</v>
      </c>
      <c r="M3171" s="5" t="s">
        <v>52</v>
      </c>
      <c r="O3171" s="14">
        <v>147728</v>
      </c>
      <c r="P3171" s="13">
        <v>35047</v>
      </c>
      <c r="Q3171" s="13">
        <v>35004</v>
      </c>
      <c r="S3171" s="13">
        <v>35703</v>
      </c>
      <c r="U3171" s="13">
        <v>35703</v>
      </c>
      <c r="AC3171" s="16" t="str">
        <f t="shared" si="147"/>
        <v/>
      </c>
      <c r="AD3171" s="17">
        <f t="shared" si="148"/>
        <v>35703</v>
      </c>
      <c r="AE3171" s="17">
        <f t="shared" si="149"/>
        <v>0</v>
      </c>
      <c r="AF3171" s="10" t="s">
        <v>7692</v>
      </c>
      <c r="AG3171" s="5" t="s">
        <v>2820</v>
      </c>
      <c r="AH3171" s="5" t="s">
        <v>7636</v>
      </c>
      <c r="AI3171" s="5" t="s">
        <v>7693</v>
      </c>
    </row>
    <row r="3172" spans="1:36" ht="10" customHeight="1" x14ac:dyDescent="0.2">
      <c r="A3172" s="5" t="s">
        <v>7153</v>
      </c>
      <c r="B3172" s="5" t="s">
        <v>45</v>
      </c>
      <c r="D3172" s="5" t="s">
        <v>7694</v>
      </c>
      <c r="E3172" s="10" t="s">
        <v>57</v>
      </c>
      <c r="F3172" s="5" t="s">
        <v>7695</v>
      </c>
      <c r="I3172" s="11">
        <v>6</v>
      </c>
      <c r="K3172" s="10" t="s">
        <v>50</v>
      </c>
      <c r="L3172" s="5" t="s">
        <v>51</v>
      </c>
      <c r="M3172" s="5" t="s">
        <v>52</v>
      </c>
      <c r="O3172" s="14">
        <v>69442</v>
      </c>
      <c r="P3172" s="13">
        <v>24076</v>
      </c>
      <c r="Q3172" s="13">
        <v>24550</v>
      </c>
      <c r="S3172" s="13">
        <v>25041</v>
      </c>
      <c r="U3172" s="13">
        <v>25041</v>
      </c>
      <c r="AC3172" s="16" t="str">
        <f t="shared" si="147"/>
        <v/>
      </c>
      <c r="AD3172" s="17">
        <f t="shared" si="148"/>
        <v>25041</v>
      </c>
      <c r="AE3172" s="17">
        <f t="shared" si="149"/>
        <v>0</v>
      </c>
      <c r="AF3172" s="10" t="s">
        <v>7696</v>
      </c>
      <c r="AG3172" s="5" t="s">
        <v>2820</v>
      </c>
    </row>
    <row r="3173" spans="1:36" ht="10" customHeight="1" x14ac:dyDescent="0.2">
      <c r="A3173" s="5" t="s">
        <v>7153</v>
      </c>
      <c r="B3173" s="5" t="s">
        <v>45</v>
      </c>
      <c r="D3173" s="5" t="s">
        <v>7697</v>
      </c>
      <c r="E3173" s="10" t="s">
        <v>57</v>
      </c>
      <c r="F3173" s="5" t="s">
        <v>7695</v>
      </c>
      <c r="I3173" s="11">
        <v>6</v>
      </c>
      <c r="K3173" s="10" t="s">
        <v>50</v>
      </c>
      <c r="L3173" s="5" t="s">
        <v>51</v>
      </c>
      <c r="M3173" s="5" t="s">
        <v>52</v>
      </c>
      <c r="O3173" s="14">
        <v>18151</v>
      </c>
      <c r="P3173" s="13">
        <v>7522</v>
      </c>
      <c r="Q3173" s="13">
        <v>7672</v>
      </c>
      <c r="S3173" s="13">
        <v>7825</v>
      </c>
      <c r="U3173" s="13">
        <v>7825</v>
      </c>
      <c r="AC3173" s="16" t="str">
        <f t="shared" si="147"/>
        <v/>
      </c>
      <c r="AD3173" s="17">
        <f t="shared" si="148"/>
        <v>7825</v>
      </c>
      <c r="AE3173" s="17">
        <f t="shared" si="149"/>
        <v>0</v>
      </c>
      <c r="AF3173" s="10" t="s">
        <v>7698</v>
      </c>
      <c r="AG3173" s="5" t="s">
        <v>2820</v>
      </c>
    </row>
    <row r="3174" spans="1:36" ht="10" customHeight="1" x14ac:dyDescent="0.2">
      <c r="A3174" s="5" t="s">
        <v>7153</v>
      </c>
      <c r="B3174" s="5" t="s">
        <v>45</v>
      </c>
      <c r="D3174" s="5" t="s">
        <v>7699</v>
      </c>
      <c r="E3174" s="10" t="s">
        <v>57</v>
      </c>
      <c r="F3174" s="5" t="s">
        <v>7695</v>
      </c>
      <c r="I3174" s="11">
        <v>6</v>
      </c>
      <c r="K3174" s="10" t="s">
        <v>50</v>
      </c>
      <c r="L3174" s="5" t="s">
        <v>51</v>
      </c>
      <c r="M3174" s="5" t="s">
        <v>52</v>
      </c>
      <c r="N3174" s="5" t="s">
        <v>88</v>
      </c>
      <c r="O3174" s="14">
        <v>60135</v>
      </c>
      <c r="P3174" s="13">
        <v>3449</v>
      </c>
      <c r="Q3174" s="13">
        <v>2782</v>
      </c>
      <c r="S3174" s="13">
        <v>2837</v>
      </c>
      <c r="U3174" s="13">
        <v>2837</v>
      </c>
      <c r="AC3174" s="16" t="str">
        <f t="shared" si="147"/>
        <v/>
      </c>
      <c r="AD3174" s="17">
        <f t="shared" si="148"/>
        <v>2837</v>
      </c>
      <c r="AE3174" s="17">
        <f t="shared" si="149"/>
        <v>0</v>
      </c>
      <c r="AF3174" s="10" t="s">
        <v>7700</v>
      </c>
      <c r="AG3174" s="5" t="s">
        <v>2820</v>
      </c>
    </row>
    <row r="3175" spans="1:36" ht="10" customHeight="1" x14ac:dyDescent="0.2">
      <c r="A3175" s="5" t="s">
        <v>7153</v>
      </c>
      <c r="B3175" s="5" t="s">
        <v>45</v>
      </c>
      <c r="D3175" s="5" t="s">
        <v>7701</v>
      </c>
      <c r="E3175" s="10" t="s">
        <v>57</v>
      </c>
      <c r="F3175" s="5" t="s">
        <v>7640</v>
      </c>
      <c r="I3175" s="11">
        <v>4</v>
      </c>
      <c r="K3175" s="10" t="s">
        <v>50</v>
      </c>
      <c r="L3175" s="5" t="s">
        <v>51</v>
      </c>
      <c r="M3175" s="5" t="s">
        <v>52</v>
      </c>
      <c r="O3175" s="14">
        <v>204380</v>
      </c>
      <c r="P3175" s="13">
        <v>11882</v>
      </c>
      <c r="Q3175" s="13">
        <v>12119</v>
      </c>
      <c r="S3175" s="13">
        <v>12360</v>
      </c>
      <c r="U3175" s="13">
        <v>12360</v>
      </c>
      <c r="AC3175" s="16" t="str">
        <f t="shared" si="147"/>
        <v/>
      </c>
      <c r="AD3175" s="17">
        <f t="shared" si="148"/>
        <v>12360</v>
      </c>
      <c r="AE3175" s="17">
        <f t="shared" si="149"/>
        <v>0</v>
      </c>
      <c r="AF3175" s="10" t="s">
        <v>7702</v>
      </c>
      <c r="AG3175" s="5" t="s">
        <v>7703</v>
      </c>
      <c r="AH3175" s="5" t="s">
        <v>7636</v>
      </c>
      <c r="AJ3175" s="5" t="s">
        <v>7704</v>
      </c>
    </row>
    <row r="3176" spans="1:36" ht="10" customHeight="1" x14ac:dyDescent="0.2">
      <c r="A3176" s="5" t="s">
        <v>7153</v>
      </c>
      <c r="B3176" s="5" t="s">
        <v>45</v>
      </c>
      <c r="D3176" s="5" t="s">
        <v>7705</v>
      </c>
      <c r="E3176" s="10" t="s">
        <v>57</v>
      </c>
      <c r="F3176" s="5" t="s">
        <v>7706</v>
      </c>
      <c r="I3176" s="11">
        <v>4</v>
      </c>
      <c r="K3176" s="10" t="s">
        <v>50</v>
      </c>
      <c r="L3176" s="5" t="s">
        <v>51</v>
      </c>
      <c r="M3176" s="5" t="s">
        <v>52</v>
      </c>
      <c r="O3176" s="14">
        <v>195382</v>
      </c>
      <c r="P3176" s="13">
        <v>11046</v>
      </c>
      <c r="Q3176" s="13">
        <v>11266</v>
      </c>
      <c r="S3176" s="13">
        <v>11491</v>
      </c>
      <c r="U3176" s="13">
        <v>11491</v>
      </c>
      <c r="AC3176" s="16" t="str">
        <f t="shared" si="147"/>
        <v/>
      </c>
      <c r="AD3176" s="17">
        <f t="shared" si="148"/>
        <v>11491</v>
      </c>
      <c r="AE3176" s="17">
        <f t="shared" si="149"/>
        <v>0</v>
      </c>
      <c r="AF3176" s="10" t="s">
        <v>7707</v>
      </c>
      <c r="AG3176" s="5" t="s">
        <v>7703</v>
      </c>
      <c r="AJ3176" s="5" t="s">
        <v>7708</v>
      </c>
    </row>
    <row r="3177" spans="1:36" ht="10" customHeight="1" x14ac:dyDescent="0.2">
      <c r="A3177" s="5" t="s">
        <v>7153</v>
      </c>
      <c r="B3177" s="5" t="s">
        <v>45</v>
      </c>
      <c r="D3177" s="5" t="s">
        <v>7709</v>
      </c>
      <c r="E3177" s="10" t="s">
        <v>57</v>
      </c>
      <c r="F3177" s="5" t="s">
        <v>7706</v>
      </c>
      <c r="I3177" s="11">
        <v>4</v>
      </c>
      <c r="K3177" s="10" t="s">
        <v>50</v>
      </c>
      <c r="L3177" s="5" t="s">
        <v>51</v>
      </c>
      <c r="M3177" s="5" t="s">
        <v>52</v>
      </c>
      <c r="O3177" s="14">
        <v>8998</v>
      </c>
      <c r="P3177" s="13">
        <v>836</v>
      </c>
      <c r="Q3177" s="13">
        <v>853</v>
      </c>
      <c r="S3177" s="13">
        <v>869</v>
      </c>
      <c r="U3177" s="13">
        <v>869</v>
      </c>
      <c r="AC3177" s="16" t="str">
        <f t="shared" si="147"/>
        <v/>
      </c>
      <c r="AD3177" s="17">
        <f t="shared" si="148"/>
        <v>869</v>
      </c>
      <c r="AE3177" s="17">
        <f t="shared" si="149"/>
        <v>0</v>
      </c>
      <c r="AF3177" s="10" t="s">
        <v>7710</v>
      </c>
      <c r="AG3177" s="5" t="s">
        <v>7703</v>
      </c>
      <c r="AJ3177" s="5" t="s">
        <v>7711</v>
      </c>
    </row>
    <row r="3178" spans="1:36" ht="10" customHeight="1" x14ac:dyDescent="0.2">
      <c r="A3178" s="5" t="s">
        <v>7153</v>
      </c>
      <c r="B3178" s="5" t="s">
        <v>45</v>
      </c>
      <c r="C3178" s="5" t="s">
        <v>7712</v>
      </c>
      <c r="D3178" s="5" t="s">
        <v>7713</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6" t="str">
        <f t="shared" si="147"/>
        <v>ADD</v>
      </c>
      <c r="AD3178" s="17">
        <f t="shared" si="148"/>
        <v>186085</v>
      </c>
      <c r="AE3178" s="17">
        <f t="shared" si="149"/>
        <v>218181</v>
      </c>
      <c r="AF3178" s="10" t="s">
        <v>7714</v>
      </c>
      <c r="AG3178" s="5" t="s">
        <v>2871</v>
      </c>
      <c r="AH3178" s="5" t="s">
        <v>7712</v>
      </c>
      <c r="AI3178" s="5" t="s">
        <v>7715</v>
      </c>
    </row>
    <row r="3179" spans="1:36" ht="10" customHeight="1" x14ac:dyDescent="0.2">
      <c r="A3179" s="5" t="s">
        <v>7153</v>
      </c>
      <c r="B3179" s="5" t="s">
        <v>45</v>
      </c>
      <c r="D3179" s="5" t="s">
        <v>7716</v>
      </c>
      <c r="E3179" s="10" t="s">
        <v>57</v>
      </c>
      <c r="F3179" s="5" t="s">
        <v>7717</v>
      </c>
      <c r="I3179" s="11">
        <v>6</v>
      </c>
      <c r="K3179" s="12"/>
      <c r="O3179" s="14">
        <v>119472</v>
      </c>
      <c r="P3179" s="13">
        <v>19201</v>
      </c>
      <c r="Q3179" s="13">
        <v>19770</v>
      </c>
      <c r="S3179" s="13">
        <v>15510</v>
      </c>
      <c r="U3179" s="13">
        <v>15510</v>
      </c>
      <c r="AC3179" s="16" t="str">
        <f t="shared" si="147"/>
        <v/>
      </c>
      <c r="AD3179" s="17">
        <f t="shared" si="148"/>
        <v>15510</v>
      </c>
      <c r="AE3179" s="17">
        <f t="shared" si="149"/>
        <v>0</v>
      </c>
      <c r="AF3179" s="10" t="s">
        <v>7718</v>
      </c>
      <c r="AG3179" s="5" t="s">
        <v>2964</v>
      </c>
      <c r="AH3179" s="5" t="s">
        <v>7712</v>
      </c>
    </row>
    <row r="3180" spans="1:36" ht="10" customHeight="1" x14ac:dyDescent="0.2">
      <c r="A3180" s="5" t="s">
        <v>7153</v>
      </c>
      <c r="B3180" s="5" t="s">
        <v>45</v>
      </c>
      <c r="D3180" s="5" t="s">
        <v>7719</v>
      </c>
      <c r="E3180" s="10" t="s">
        <v>57</v>
      </c>
      <c r="F3180" s="5" t="s">
        <v>7720</v>
      </c>
      <c r="I3180" s="11">
        <v>6</v>
      </c>
      <c r="K3180" s="12"/>
      <c r="O3180" s="14">
        <v>27852</v>
      </c>
      <c r="P3180" s="13">
        <v>1118</v>
      </c>
      <c r="Q3180" s="13">
        <v>428</v>
      </c>
      <c r="S3180" s="13">
        <v>2482</v>
      </c>
      <c r="U3180" s="13">
        <v>2482</v>
      </c>
      <c r="AC3180" s="16" t="str">
        <f t="shared" si="147"/>
        <v/>
      </c>
      <c r="AD3180" s="17">
        <f t="shared" si="148"/>
        <v>2482</v>
      </c>
      <c r="AE3180" s="17">
        <f t="shared" si="149"/>
        <v>0</v>
      </c>
      <c r="AF3180" s="10" t="s">
        <v>7721</v>
      </c>
      <c r="AG3180" s="5" t="s">
        <v>2964</v>
      </c>
      <c r="AH3180" s="5" t="s">
        <v>7712</v>
      </c>
    </row>
    <row r="3181" spans="1:36" ht="10" customHeight="1" x14ac:dyDescent="0.2">
      <c r="A3181" s="5" t="s">
        <v>7153</v>
      </c>
      <c r="B3181" s="5" t="s">
        <v>45</v>
      </c>
      <c r="D3181" s="5" t="s">
        <v>7722</v>
      </c>
      <c r="E3181" s="10" t="s">
        <v>57</v>
      </c>
      <c r="F3181" s="5" t="s">
        <v>7720</v>
      </c>
      <c r="I3181" s="11">
        <v>6</v>
      </c>
      <c r="K3181" s="12"/>
      <c r="O3181" s="14">
        <v>17576</v>
      </c>
      <c r="P3181" s="13">
        <v>834</v>
      </c>
      <c r="Q3181" s="13">
        <v>833</v>
      </c>
      <c r="S3181" s="13">
        <v>833</v>
      </c>
      <c r="U3181" s="13">
        <v>833</v>
      </c>
      <c r="AC3181" s="16" t="str">
        <f t="shared" si="147"/>
        <v/>
      </c>
      <c r="AD3181" s="17">
        <f t="shared" si="148"/>
        <v>833</v>
      </c>
      <c r="AE3181" s="17">
        <f t="shared" si="149"/>
        <v>0</v>
      </c>
      <c r="AF3181" s="10" t="s">
        <v>7723</v>
      </c>
      <c r="AG3181" s="5" t="s">
        <v>2964</v>
      </c>
      <c r="AH3181" s="5" t="s">
        <v>7712</v>
      </c>
    </row>
    <row r="3182" spans="1:36" ht="10" customHeight="1" x14ac:dyDescent="0.2">
      <c r="A3182" s="5" t="s">
        <v>7153</v>
      </c>
      <c r="B3182" s="5" t="s">
        <v>45</v>
      </c>
      <c r="D3182" s="5" t="s">
        <v>7724</v>
      </c>
      <c r="E3182" s="10" t="s">
        <v>57</v>
      </c>
      <c r="F3182" s="5" t="s">
        <v>7720</v>
      </c>
      <c r="I3182" s="11">
        <v>6</v>
      </c>
      <c r="K3182" s="12"/>
      <c r="O3182" s="14">
        <v>48338</v>
      </c>
      <c r="P3182" s="13">
        <v>2496</v>
      </c>
      <c r="Q3182" s="13">
        <v>1225</v>
      </c>
      <c r="S3182" s="13">
        <v>1225</v>
      </c>
      <c r="U3182" s="13">
        <v>1225</v>
      </c>
      <c r="AC3182" s="16" t="str">
        <f t="shared" si="147"/>
        <v/>
      </c>
      <c r="AD3182" s="17">
        <f t="shared" si="148"/>
        <v>1225</v>
      </c>
      <c r="AE3182" s="17">
        <f t="shared" si="149"/>
        <v>0</v>
      </c>
      <c r="AF3182" s="10" t="s">
        <v>7725</v>
      </c>
      <c r="AG3182" s="5" t="s">
        <v>2964</v>
      </c>
      <c r="AH3182" s="5" t="s">
        <v>7712</v>
      </c>
    </row>
    <row r="3183" spans="1:36" ht="10" customHeight="1" x14ac:dyDescent="0.2">
      <c r="A3183" s="5" t="s">
        <v>7153</v>
      </c>
      <c r="B3183" s="5" t="s">
        <v>45</v>
      </c>
      <c r="D3183" s="5" t="s">
        <v>7726</v>
      </c>
      <c r="E3183" s="10" t="s">
        <v>57</v>
      </c>
      <c r="F3183" s="5" t="s">
        <v>7720</v>
      </c>
      <c r="I3183" s="11">
        <v>6</v>
      </c>
      <c r="K3183" s="12"/>
      <c r="O3183" s="14">
        <v>19094</v>
      </c>
      <c r="P3183" s="13">
        <v>828</v>
      </c>
      <c r="Q3183" s="13">
        <v>5600</v>
      </c>
      <c r="S3183" s="13">
        <v>535</v>
      </c>
      <c r="U3183" s="13">
        <v>535</v>
      </c>
      <c r="AC3183" s="16" t="str">
        <f t="shared" si="147"/>
        <v/>
      </c>
      <c r="AD3183" s="17">
        <f t="shared" si="148"/>
        <v>535</v>
      </c>
      <c r="AE3183" s="17">
        <f t="shared" si="149"/>
        <v>0</v>
      </c>
      <c r="AF3183" s="10" t="s">
        <v>7727</v>
      </c>
      <c r="AG3183" s="5" t="s">
        <v>2964</v>
      </c>
      <c r="AH3183" s="5" t="s">
        <v>7712</v>
      </c>
    </row>
    <row r="3184" spans="1:36" ht="10" customHeight="1" x14ac:dyDescent="0.2">
      <c r="A3184" s="5" t="s">
        <v>7153</v>
      </c>
      <c r="B3184" s="5" t="s">
        <v>45</v>
      </c>
      <c r="D3184" s="5" t="s">
        <v>7728</v>
      </c>
      <c r="E3184" s="10" t="s">
        <v>57</v>
      </c>
      <c r="F3184" s="5" t="s">
        <v>7720</v>
      </c>
      <c r="I3184" s="11">
        <v>6</v>
      </c>
      <c r="K3184" s="12"/>
      <c r="O3184" s="14">
        <v>5592</v>
      </c>
      <c r="P3184" s="13">
        <v>1600</v>
      </c>
      <c r="S3184" s="13">
        <v>435</v>
      </c>
      <c r="U3184" s="13">
        <v>435</v>
      </c>
      <c r="AC3184" s="16" t="str">
        <f t="shared" si="147"/>
        <v/>
      </c>
      <c r="AD3184" s="17">
        <f t="shared" si="148"/>
        <v>435</v>
      </c>
      <c r="AE3184" s="17">
        <f t="shared" si="149"/>
        <v>0</v>
      </c>
      <c r="AF3184" s="10" t="s">
        <v>7729</v>
      </c>
      <c r="AG3184" s="5" t="s">
        <v>2964</v>
      </c>
      <c r="AH3184" s="5" t="s">
        <v>7712</v>
      </c>
    </row>
    <row r="3185" spans="1:36" ht="10" customHeight="1" x14ac:dyDescent="0.2">
      <c r="A3185" s="5" t="s">
        <v>7153</v>
      </c>
      <c r="B3185" s="5" t="s">
        <v>45</v>
      </c>
      <c r="D3185" s="5" t="s">
        <v>7730</v>
      </c>
      <c r="E3185" s="10" t="s">
        <v>57</v>
      </c>
      <c r="F3185" s="5" t="s">
        <v>7720</v>
      </c>
      <c r="I3185" s="11">
        <v>6</v>
      </c>
      <c r="K3185" s="12"/>
      <c r="O3185" s="12"/>
      <c r="P3185" s="13">
        <v>409</v>
      </c>
      <c r="Q3185" s="13">
        <v>1616</v>
      </c>
      <c r="S3185" s="13">
        <v>10000</v>
      </c>
      <c r="U3185" s="13">
        <v>10000</v>
      </c>
      <c r="AC3185" s="16" t="str">
        <f t="shared" si="147"/>
        <v/>
      </c>
      <c r="AD3185" s="17">
        <f t="shared" si="148"/>
        <v>10000</v>
      </c>
      <c r="AE3185" s="17">
        <f t="shared" si="149"/>
        <v>0</v>
      </c>
      <c r="AF3185" s="10" t="s">
        <v>7731</v>
      </c>
      <c r="AG3185" s="5" t="s">
        <v>2964</v>
      </c>
      <c r="AH3185" s="5" t="s">
        <v>7712</v>
      </c>
    </row>
    <row r="3186" spans="1:36" ht="10" customHeight="1" x14ac:dyDescent="0.2">
      <c r="A3186" s="5" t="s">
        <v>7153</v>
      </c>
      <c r="B3186" s="5" t="s">
        <v>45</v>
      </c>
      <c r="D3186" s="5" t="s">
        <v>7732</v>
      </c>
      <c r="E3186" s="10" t="s">
        <v>57</v>
      </c>
      <c r="F3186" s="5" t="s">
        <v>7717</v>
      </c>
      <c r="I3186" s="11">
        <v>6</v>
      </c>
      <c r="K3186" s="10" t="s">
        <v>50</v>
      </c>
      <c r="L3186" s="5" t="s">
        <v>51</v>
      </c>
      <c r="M3186" s="5" t="s">
        <v>119</v>
      </c>
      <c r="O3186" s="14">
        <v>45594</v>
      </c>
      <c r="P3186" s="13">
        <v>7741</v>
      </c>
      <c r="Q3186" s="13">
        <v>29523</v>
      </c>
      <c r="S3186" s="13">
        <v>30126</v>
      </c>
      <c r="U3186" s="13">
        <v>30126</v>
      </c>
      <c r="AC3186" s="16" t="str">
        <f t="shared" si="147"/>
        <v/>
      </c>
      <c r="AD3186" s="17">
        <f t="shared" si="148"/>
        <v>30126</v>
      </c>
      <c r="AE3186" s="17">
        <f t="shared" si="149"/>
        <v>0</v>
      </c>
      <c r="AF3186" s="10" t="s">
        <v>7733</v>
      </c>
      <c r="AG3186" s="5" t="s">
        <v>2979</v>
      </c>
      <c r="AH3186" s="5" t="s">
        <v>7712</v>
      </c>
      <c r="AI3186" s="5" t="s">
        <v>7734</v>
      </c>
    </row>
    <row r="3187" spans="1:36" ht="10" customHeight="1" x14ac:dyDescent="0.2">
      <c r="A3187" s="5" t="s">
        <v>7153</v>
      </c>
      <c r="B3187" s="5" t="s">
        <v>45</v>
      </c>
      <c r="D3187" s="5" t="s">
        <v>7735</v>
      </c>
      <c r="E3187" s="10" t="s">
        <v>57</v>
      </c>
      <c r="F3187" s="5" t="s">
        <v>7736</v>
      </c>
      <c r="I3187" s="11">
        <v>6</v>
      </c>
      <c r="K3187" s="12"/>
      <c r="O3187" s="14">
        <v>10059</v>
      </c>
      <c r="Q3187" s="13">
        <v>1542</v>
      </c>
      <c r="S3187" s="13">
        <v>1388</v>
      </c>
      <c r="U3187" s="13">
        <v>1388</v>
      </c>
      <c r="AC3187" s="16" t="str">
        <f t="shared" si="147"/>
        <v/>
      </c>
      <c r="AD3187" s="17">
        <f t="shared" si="148"/>
        <v>1388</v>
      </c>
      <c r="AE3187" s="17">
        <f t="shared" si="149"/>
        <v>0</v>
      </c>
      <c r="AF3187" s="10" t="s">
        <v>7737</v>
      </c>
      <c r="AG3187" s="5" t="s">
        <v>2979</v>
      </c>
      <c r="AH3187" s="5" t="s">
        <v>7712</v>
      </c>
      <c r="AI3187" s="5" t="s">
        <v>7738</v>
      </c>
      <c r="AJ3187" s="5" t="s">
        <v>7739</v>
      </c>
    </row>
    <row r="3188" spans="1:36" ht="10" customHeight="1" x14ac:dyDescent="0.2">
      <c r="A3188" s="5" t="s">
        <v>7153</v>
      </c>
      <c r="B3188" s="5" t="s">
        <v>45</v>
      </c>
      <c r="D3188" s="5" t="s">
        <v>7740</v>
      </c>
      <c r="E3188" s="10" t="s">
        <v>57</v>
      </c>
      <c r="F3188" s="5" t="s">
        <v>7736</v>
      </c>
      <c r="I3188" s="11">
        <v>6</v>
      </c>
      <c r="K3188" s="12"/>
      <c r="O3188" s="14">
        <v>21751</v>
      </c>
      <c r="Q3188" s="13">
        <v>13521</v>
      </c>
      <c r="S3188" s="13">
        <v>3314</v>
      </c>
      <c r="U3188" s="13">
        <v>3314</v>
      </c>
      <c r="AC3188" s="16" t="str">
        <f t="shared" si="147"/>
        <v/>
      </c>
      <c r="AD3188" s="17">
        <f t="shared" si="148"/>
        <v>3314</v>
      </c>
      <c r="AE3188" s="17">
        <f t="shared" si="149"/>
        <v>0</v>
      </c>
      <c r="AF3188" s="10" t="s">
        <v>7741</v>
      </c>
      <c r="AG3188" s="5" t="s">
        <v>2979</v>
      </c>
      <c r="AH3188" s="5" t="s">
        <v>7712</v>
      </c>
      <c r="AI3188" s="5" t="s">
        <v>7738</v>
      </c>
      <c r="AJ3188" s="5" t="s">
        <v>7739</v>
      </c>
    </row>
    <row r="3189" spans="1:36" ht="10" customHeight="1" x14ac:dyDescent="0.2">
      <c r="A3189" s="5" t="s">
        <v>7153</v>
      </c>
      <c r="B3189" s="5" t="s">
        <v>45</v>
      </c>
      <c r="D3189" s="5" t="s">
        <v>7742</v>
      </c>
      <c r="E3189" s="10" t="s">
        <v>57</v>
      </c>
      <c r="F3189" s="5" t="s">
        <v>7736</v>
      </c>
      <c r="I3189" s="11">
        <v>6</v>
      </c>
      <c r="K3189" s="12"/>
      <c r="O3189" s="12"/>
      <c r="P3189" s="13">
        <v>3692</v>
      </c>
      <c r="Q3189" s="13">
        <v>14460</v>
      </c>
      <c r="S3189" s="13">
        <v>25424</v>
      </c>
      <c r="U3189" s="13">
        <v>25424</v>
      </c>
      <c r="AC3189" s="16" t="str">
        <f t="shared" si="147"/>
        <v/>
      </c>
      <c r="AD3189" s="17">
        <f t="shared" si="148"/>
        <v>25424</v>
      </c>
      <c r="AE3189" s="17">
        <f t="shared" si="149"/>
        <v>0</v>
      </c>
      <c r="AF3189" s="10" t="s">
        <v>7743</v>
      </c>
      <c r="AG3189" s="5" t="s">
        <v>2979</v>
      </c>
      <c r="AH3189" s="5" t="s">
        <v>7712</v>
      </c>
      <c r="AI3189" s="5" t="s">
        <v>7738</v>
      </c>
      <c r="AJ3189" s="5" t="s">
        <v>7739</v>
      </c>
    </row>
    <row r="3190" spans="1:36" ht="10" customHeight="1" x14ac:dyDescent="0.2">
      <c r="A3190" s="5" t="s">
        <v>7153</v>
      </c>
      <c r="B3190" s="5" t="s">
        <v>45</v>
      </c>
      <c r="D3190" s="5" t="s">
        <v>7715</v>
      </c>
      <c r="E3190" s="10" t="s">
        <v>57</v>
      </c>
      <c r="F3190" s="5" t="s">
        <v>7717</v>
      </c>
      <c r="I3190" s="11">
        <v>6</v>
      </c>
      <c r="K3190" s="10" t="s">
        <v>50</v>
      </c>
      <c r="L3190" s="5" t="s">
        <v>51</v>
      </c>
      <c r="M3190" s="5" t="s">
        <v>69</v>
      </c>
      <c r="N3190" s="5" t="s">
        <v>70</v>
      </c>
      <c r="O3190" s="14">
        <v>35254</v>
      </c>
      <c r="P3190" s="13">
        <v>2428</v>
      </c>
      <c r="Q3190" s="13">
        <v>2474</v>
      </c>
      <c r="S3190" s="13">
        <v>880</v>
      </c>
      <c r="U3190" s="13">
        <v>880</v>
      </c>
      <c r="AC3190" s="16" t="str">
        <f t="shared" si="147"/>
        <v/>
      </c>
      <c r="AD3190" s="17">
        <f t="shared" si="148"/>
        <v>880</v>
      </c>
      <c r="AE3190" s="17">
        <f t="shared" si="149"/>
        <v>0</v>
      </c>
      <c r="AF3190" s="10" t="s">
        <v>7744</v>
      </c>
      <c r="AG3190" s="5" t="s">
        <v>2991</v>
      </c>
      <c r="AH3190" s="5" t="s">
        <v>7712</v>
      </c>
      <c r="AI3190" s="5" t="s">
        <v>7715</v>
      </c>
    </row>
    <row r="3191" spans="1:36" ht="10" customHeight="1" x14ac:dyDescent="0.2">
      <c r="A3191" s="5" t="s">
        <v>7153</v>
      </c>
      <c r="B3191" s="5" t="s">
        <v>45</v>
      </c>
      <c r="D3191" s="5" t="s">
        <v>7745</v>
      </c>
      <c r="E3191" s="10" t="s">
        <v>57</v>
      </c>
      <c r="F3191" s="5" t="s">
        <v>7717</v>
      </c>
      <c r="I3191" s="11">
        <v>6</v>
      </c>
      <c r="K3191" s="10" t="s">
        <v>50</v>
      </c>
      <c r="L3191" s="5" t="s">
        <v>239</v>
      </c>
      <c r="M3191" s="5" t="s">
        <v>240</v>
      </c>
      <c r="N3191" s="5" t="s">
        <v>287</v>
      </c>
      <c r="O3191" s="14">
        <v>13167</v>
      </c>
      <c r="P3191" s="13">
        <v>15317</v>
      </c>
      <c r="Q3191" s="13">
        <v>10687</v>
      </c>
      <c r="S3191" s="13">
        <v>1620</v>
      </c>
      <c r="U3191" s="13">
        <v>1620</v>
      </c>
      <c r="AC3191" s="16" t="str">
        <f t="shared" si="147"/>
        <v/>
      </c>
      <c r="AD3191" s="17">
        <f t="shared" si="148"/>
        <v>1620</v>
      </c>
      <c r="AE3191" s="17">
        <f t="shared" si="149"/>
        <v>0</v>
      </c>
      <c r="AF3191" s="10" t="s">
        <v>7746</v>
      </c>
      <c r="AG3191" s="5" t="s">
        <v>2991</v>
      </c>
      <c r="AH3191" s="5" t="s">
        <v>7712</v>
      </c>
      <c r="AI3191" s="5" t="s">
        <v>7745</v>
      </c>
    </row>
    <row r="3192" spans="1:36" ht="10" customHeight="1" x14ac:dyDescent="0.2">
      <c r="A3192" s="5" t="s">
        <v>7153</v>
      </c>
      <c r="B3192" s="5" t="s">
        <v>45</v>
      </c>
      <c r="D3192" s="5" t="s">
        <v>7747</v>
      </c>
      <c r="E3192" s="10" t="s">
        <v>57</v>
      </c>
      <c r="F3192" s="5" t="s">
        <v>7717</v>
      </c>
      <c r="I3192" s="11">
        <v>6</v>
      </c>
      <c r="K3192" s="12"/>
      <c r="O3192" s="14">
        <v>0</v>
      </c>
      <c r="S3192" s="13">
        <v>4764</v>
      </c>
      <c r="U3192" s="13">
        <v>4764</v>
      </c>
      <c r="AC3192" s="16" t="str">
        <f t="shared" si="147"/>
        <v/>
      </c>
      <c r="AD3192" s="17">
        <f t="shared" si="148"/>
        <v>4764</v>
      </c>
      <c r="AE3192" s="17">
        <f t="shared" si="149"/>
        <v>0</v>
      </c>
      <c r="AF3192" s="10" t="s">
        <v>7748</v>
      </c>
      <c r="AG3192" s="5" t="s">
        <v>3001</v>
      </c>
      <c r="AH3192" s="5" t="s">
        <v>7712</v>
      </c>
      <c r="AI3192" s="5" t="s">
        <v>7749</v>
      </c>
    </row>
    <row r="3193" spans="1:36" ht="10" customHeight="1" x14ac:dyDescent="0.2">
      <c r="A3193" s="5" t="s">
        <v>7153</v>
      </c>
      <c r="B3193" s="5" t="s">
        <v>45</v>
      </c>
      <c r="C3193" s="5" t="s">
        <v>7750</v>
      </c>
      <c r="D3193" s="5" t="s">
        <v>7751</v>
      </c>
      <c r="E3193" s="10" t="s">
        <v>57</v>
      </c>
      <c r="F3193" s="5" t="s">
        <v>7717</v>
      </c>
      <c r="I3193" s="11">
        <v>6</v>
      </c>
      <c r="K3193" s="12"/>
      <c r="O3193" s="14">
        <v>551504</v>
      </c>
      <c r="P3193" s="13">
        <v>134366</v>
      </c>
      <c r="Q3193" s="13">
        <v>83905</v>
      </c>
      <c r="S3193" s="13">
        <v>105860</v>
      </c>
      <c r="U3193" s="13">
        <v>105860</v>
      </c>
      <c r="AC3193" s="16" t="str">
        <f t="shared" si="147"/>
        <v/>
      </c>
      <c r="AD3193" s="17">
        <f t="shared" si="148"/>
        <v>105860</v>
      </c>
      <c r="AE3193" s="17">
        <f t="shared" si="149"/>
        <v>0</v>
      </c>
      <c r="AF3193" s="10" t="s">
        <v>7752</v>
      </c>
      <c r="AG3193" s="5" t="s">
        <v>3013</v>
      </c>
      <c r="AH3193" s="5" t="s">
        <v>7712</v>
      </c>
      <c r="AI3193" s="5" t="s">
        <v>7753</v>
      </c>
      <c r="AJ3193" s="5" t="s">
        <v>7750</v>
      </c>
    </row>
    <row r="3194" spans="1:36" ht="10" customHeight="1" x14ac:dyDescent="0.2">
      <c r="A3194" s="5" t="s">
        <v>7153</v>
      </c>
      <c r="B3194" s="5" t="s">
        <v>45</v>
      </c>
      <c r="D3194" s="5" t="s">
        <v>7754</v>
      </c>
      <c r="E3194" s="10" t="s">
        <v>57</v>
      </c>
      <c r="F3194" s="5" t="s">
        <v>7755</v>
      </c>
      <c r="I3194" s="11">
        <v>6</v>
      </c>
      <c r="K3194" s="12"/>
      <c r="O3194" s="14">
        <v>148855</v>
      </c>
      <c r="P3194" s="13">
        <v>20777</v>
      </c>
      <c r="Q3194" s="13">
        <v>15637</v>
      </c>
      <c r="S3194" s="13">
        <v>15203</v>
      </c>
      <c r="U3194" s="13">
        <v>15203</v>
      </c>
      <c r="AC3194" s="16" t="str">
        <f t="shared" si="147"/>
        <v/>
      </c>
      <c r="AD3194" s="17">
        <f t="shared" si="148"/>
        <v>15203</v>
      </c>
      <c r="AE3194" s="17">
        <f t="shared" si="149"/>
        <v>0</v>
      </c>
      <c r="AF3194" s="10" t="s">
        <v>7756</v>
      </c>
      <c r="AG3194" s="5" t="s">
        <v>7757</v>
      </c>
      <c r="AH3194" s="5" t="s">
        <v>7712</v>
      </c>
    </row>
    <row r="3195" spans="1:36" ht="10" customHeight="1" x14ac:dyDescent="0.2">
      <c r="A3195" s="5" t="s">
        <v>7153</v>
      </c>
      <c r="B3195" s="5" t="s">
        <v>45</v>
      </c>
      <c r="D3195" s="5" t="s">
        <v>7758</v>
      </c>
      <c r="E3195" s="10" t="s">
        <v>57</v>
      </c>
      <c r="F3195" s="5" t="s">
        <v>7755</v>
      </c>
      <c r="I3195" s="11">
        <v>6</v>
      </c>
      <c r="K3195" s="10" t="s">
        <v>50</v>
      </c>
      <c r="L3195" s="5" t="s">
        <v>51</v>
      </c>
      <c r="M3195" s="5" t="s">
        <v>119</v>
      </c>
      <c r="O3195" s="14">
        <v>34738</v>
      </c>
      <c r="P3195" s="13">
        <v>700</v>
      </c>
      <c r="Q3195" s="13">
        <v>700</v>
      </c>
      <c r="S3195" s="13">
        <v>700</v>
      </c>
      <c r="U3195" s="13">
        <v>700</v>
      </c>
      <c r="AC3195" s="16" t="str">
        <f t="shared" si="147"/>
        <v/>
      </c>
      <c r="AD3195" s="17">
        <f t="shared" si="148"/>
        <v>700</v>
      </c>
      <c r="AE3195" s="17">
        <f t="shared" si="149"/>
        <v>0</v>
      </c>
      <c r="AF3195" s="10" t="s">
        <v>7759</v>
      </c>
      <c r="AG3195" s="5" t="s">
        <v>7757</v>
      </c>
      <c r="AH3195" s="5" t="s">
        <v>7712</v>
      </c>
    </row>
    <row r="3196" spans="1:36" ht="10" customHeight="1" x14ac:dyDescent="0.2">
      <c r="A3196" s="5" t="s">
        <v>7153</v>
      </c>
      <c r="B3196" s="5" t="s">
        <v>45</v>
      </c>
      <c r="D3196" s="5" t="s">
        <v>7760</v>
      </c>
      <c r="E3196" s="10" t="s">
        <v>57</v>
      </c>
      <c r="F3196" s="5" t="s">
        <v>7755</v>
      </c>
      <c r="I3196" s="11">
        <v>6</v>
      </c>
      <c r="K3196" s="10" t="s">
        <v>50</v>
      </c>
      <c r="L3196" s="5" t="s">
        <v>51</v>
      </c>
      <c r="M3196" s="5" t="s">
        <v>119</v>
      </c>
      <c r="O3196" s="14">
        <v>146460</v>
      </c>
      <c r="P3196" s="13">
        <v>14979</v>
      </c>
      <c r="Q3196" s="13">
        <v>20000</v>
      </c>
      <c r="S3196" s="13">
        <v>19410</v>
      </c>
      <c r="U3196" s="13">
        <v>19410</v>
      </c>
      <c r="AC3196" s="16" t="str">
        <f t="shared" si="147"/>
        <v/>
      </c>
      <c r="AD3196" s="17">
        <f t="shared" si="148"/>
        <v>19410</v>
      </c>
      <c r="AE3196" s="17">
        <f t="shared" si="149"/>
        <v>0</v>
      </c>
      <c r="AF3196" s="10" t="s">
        <v>7761</v>
      </c>
      <c r="AG3196" s="5" t="s">
        <v>7757</v>
      </c>
      <c r="AH3196" s="5" t="s">
        <v>7712</v>
      </c>
    </row>
    <row r="3197" spans="1:36" ht="10" customHeight="1" x14ac:dyDescent="0.2">
      <c r="A3197" s="5" t="s">
        <v>7153</v>
      </c>
      <c r="B3197" s="5" t="s">
        <v>45</v>
      </c>
      <c r="D3197" s="5" t="s">
        <v>7762</v>
      </c>
      <c r="E3197" s="10" t="s">
        <v>57</v>
      </c>
      <c r="F3197" s="5" t="s">
        <v>7755</v>
      </c>
      <c r="I3197" s="11">
        <v>6</v>
      </c>
      <c r="K3197" s="12"/>
      <c r="O3197" s="14">
        <v>45893</v>
      </c>
      <c r="P3197" s="13">
        <v>7775</v>
      </c>
      <c r="Q3197" s="13">
        <v>1500</v>
      </c>
      <c r="S3197" s="13">
        <v>850</v>
      </c>
      <c r="U3197" s="13">
        <v>850</v>
      </c>
      <c r="AC3197" s="16" t="str">
        <f t="shared" si="147"/>
        <v/>
      </c>
      <c r="AD3197" s="17">
        <f t="shared" si="148"/>
        <v>850</v>
      </c>
      <c r="AE3197" s="17">
        <f t="shared" si="149"/>
        <v>0</v>
      </c>
      <c r="AF3197" s="10" t="s">
        <v>7763</v>
      </c>
      <c r="AG3197" s="5" t="s">
        <v>7757</v>
      </c>
      <c r="AH3197" s="5" t="s">
        <v>7712</v>
      </c>
    </row>
    <row r="3198" spans="1:36" ht="10" customHeight="1" x14ac:dyDescent="0.2">
      <c r="A3198" s="5" t="s">
        <v>7153</v>
      </c>
      <c r="B3198" s="5" t="s">
        <v>45</v>
      </c>
      <c r="D3198" s="5" t="s">
        <v>7764</v>
      </c>
      <c r="E3198" s="10" t="s">
        <v>57</v>
      </c>
      <c r="F3198" s="5" t="s">
        <v>7755</v>
      </c>
      <c r="I3198" s="11">
        <v>6</v>
      </c>
      <c r="K3198" s="12"/>
      <c r="O3198" s="12"/>
      <c r="P3198" s="13">
        <v>15950</v>
      </c>
      <c r="Q3198" s="13">
        <v>15760</v>
      </c>
      <c r="S3198" s="13">
        <v>6075</v>
      </c>
      <c r="U3198" s="13">
        <v>6075</v>
      </c>
      <c r="AC3198" s="16" t="str">
        <f t="shared" si="147"/>
        <v/>
      </c>
      <c r="AD3198" s="17">
        <f t="shared" si="148"/>
        <v>6075</v>
      </c>
      <c r="AE3198" s="17">
        <f t="shared" si="149"/>
        <v>0</v>
      </c>
      <c r="AF3198" s="10" t="s">
        <v>7765</v>
      </c>
      <c r="AG3198" s="5" t="s">
        <v>7757</v>
      </c>
      <c r="AH3198" s="5" t="s">
        <v>7712</v>
      </c>
    </row>
    <row r="3199" spans="1:36" ht="10" customHeight="1" x14ac:dyDescent="0.2">
      <c r="A3199" s="5" t="s">
        <v>7153</v>
      </c>
      <c r="B3199" s="5" t="s">
        <v>45</v>
      </c>
      <c r="D3199" s="5" t="s">
        <v>7766</v>
      </c>
      <c r="E3199" s="10" t="s">
        <v>57</v>
      </c>
      <c r="F3199" s="5" t="s">
        <v>7755</v>
      </c>
      <c r="I3199" s="11">
        <v>4</v>
      </c>
      <c r="K3199" s="12"/>
      <c r="O3199" s="14">
        <v>153411</v>
      </c>
      <c r="P3199" s="13">
        <v>70088</v>
      </c>
      <c r="Q3199" s="13">
        <v>26755</v>
      </c>
      <c r="S3199" s="13">
        <v>60380</v>
      </c>
      <c r="U3199" s="13">
        <v>60380</v>
      </c>
      <c r="AC3199" s="16" t="str">
        <f t="shared" si="147"/>
        <v/>
      </c>
      <c r="AD3199" s="17">
        <f t="shared" si="148"/>
        <v>60380</v>
      </c>
      <c r="AE3199" s="17">
        <f t="shared" si="149"/>
        <v>0</v>
      </c>
      <c r="AF3199" s="10" t="s">
        <v>7767</v>
      </c>
      <c r="AG3199" s="5" t="s">
        <v>3027</v>
      </c>
      <c r="AH3199" s="5" t="s">
        <v>7712</v>
      </c>
    </row>
    <row r="3200" spans="1:36" ht="10" customHeight="1" x14ac:dyDescent="0.2">
      <c r="A3200" s="5" t="s">
        <v>7153</v>
      </c>
      <c r="B3200" s="5" t="s">
        <v>45</v>
      </c>
      <c r="D3200" s="5" t="s">
        <v>7768</v>
      </c>
      <c r="E3200" s="10" t="s">
        <v>57</v>
      </c>
      <c r="F3200" s="5" t="s">
        <v>7755</v>
      </c>
      <c r="I3200" s="11">
        <v>6</v>
      </c>
      <c r="K3200" s="12"/>
      <c r="O3200" s="14">
        <v>11407</v>
      </c>
      <c r="P3200" s="13">
        <v>1670</v>
      </c>
      <c r="Q3200" s="13">
        <v>1660</v>
      </c>
      <c r="S3200" s="13">
        <v>1670</v>
      </c>
      <c r="U3200" s="13">
        <v>1670</v>
      </c>
      <c r="AC3200" s="16" t="str">
        <f t="shared" si="147"/>
        <v/>
      </c>
      <c r="AD3200" s="17">
        <f t="shared" si="148"/>
        <v>1670</v>
      </c>
      <c r="AE3200" s="17">
        <f t="shared" si="149"/>
        <v>0</v>
      </c>
      <c r="AF3200" s="10" t="s">
        <v>7769</v>
      </c>
      <c r="AG3200" s="5" t="s">
        <v>3027</v>
      </c>
      <c r="AH3200" s="5" t="s">
        <v>7712</v>
      </c>
    </row>
    <row r="3201" spans="1:36" ht="10" customHeight="1" x14ac:dyDescent="0.2">
      <c r="A3201" s="5" t="s">
        <v>7153</v>
      </c>
      <c r="B3201" s="5" t="s">
        <v>45</v>
      </c>
      <c r="D3201" s="5" t="s">
        <v>7770</v>
      </c>
      <c r="E3201" s="10" t="s">
        <v>57</v>
      </c>
      <c r="F3201" s="5" t="s">
        <v>7755</v>
      </c>
      <c r="I3201" s="11">
        <v>6</v>
      </c>
      <c r="K3201" s="12"/>
      <c r="O3201" s="14">
        <v>5350</v>
      </c>
      <c r="P3201" s="13">
        <v>1600</v>
      </c>
      <c r="Q3201" s="13">
        <v>1050</v>
      </c>
      <c r="S3201" s="13">
        <v>1300</v>
      </c>
      <c r="U3201" s="13">
        <v>1300</v>
      </c>
      <c r="AC3201" s="16" t="str">
        <f t="shared" si="147"/>
        <v/>
      </c>
      <c r="AD3201" s="17">
        <f t="shared" si="148"/>
        <v>1300</v>
      </c>
      <c r="AE3201" s="17">
        <f t="shared" si="149"/>
        <v>0</v>
      </c>
      <c r="AF3201" s="10" t="s">
        <v>7771</v>
      </c>
      <c r="AG3201" s="5" t="s">
        <v>3027</v>
      </c>
      <c r="AH3201" s="5" t="s">
        <v>7712</v>
      </c>
    </row>
    <row r="3202" spans="1:36" ht="10" customHeight="1" x14ac:dyDescent="0.2">
      <c r="A3202" s="5" t="s">
        <v>7153</v>
      </c>
      <c r="B3202" s="5" t="s">
        <v>45</v>
      </c>
      <c r="D3202" s="5" t="s">
        <v>7772</v>
      </c>
      <c r="E3202" s="10" t="s">
        <v>57</v>
      </c>
      <c r="F3202" s="5" t="s">
        <v>7717</v>
      </c>
      <c r="I3202" s="11">
        <v>4</v>
      </c>
      <c r="K3202" s="10" t="s">
        <v>50</v>
      </c>
      <c r="L3202" s="5" t="s">
        <v>51</v>
      </c>
      <c r="M3202" s="5" t="s">
        <v>119</v>
      </c>
      <c r="O3202" s="14">
        <v>99059</v>
      </c>
      <c r="P3202" s="13">
        <v>13000</v>
      </c>
      <c r="Q3202" s="13">
        <v>14400</v>
      </c>
      <c r="S3202" s="13">
        <v>11230</v>
      </c>
      <c r="U3202" s="13">
        <v>11230</v>
      </c>
      <c r="AC3202" s="16" t="str">
        <f t="shared" si="147"/>
        <v/>
      </c>
      <c r="AD3202" s="17">
        <f t="shared" si="148"/>
        <v>11230</v>
      </c>
      <c r="AE3202" s="17">
        <f t="shared" si="149"/>
        <v>0</v>
      </c>
      <c r="AF3202" s="10" t="s">
        <v>7773</v>
      </c>
      <c r="AG3202" s="5" t="s">
        <v>3053</v>
      </c>
      <c r="AH3202" s="5" t="s">
        <v>7712</v>
      </c>
      <c r="AI3202" s="5" t="s">
        <v>7738</v>
      </c>
      <c r="AJ3202" s="5" t="s">
        <v>7739</v>
      </c>
    </row>
    <row r="3203" spans="1:36" ht="10" customHeight="1" x14ac:dyDescent="0.2">
      <c r="A3203" s="5" t="s">
        <v>7153</v>
      </c>
      <c r="B3203" s="5" t="s">
        <v>45</v>
      </c>
      <c r="D3203" s="5" t="s">
        <v>7774</v>
      </c>
      <c r="E3203" s="10" t="s">
        <v>57</v>
      </c>
      <c r="F3203" s="5" t="s">
        <v>7775</v>
      </c>
      <c r="I3203" s="11">
        <v>4</v>
      </c>
      <c r="K3203" s="12"/>
      <c r="O3203" s="14">
        <v>66094</v>
      </c>
      <c r="P3203" s="13">
        <v>9000</v>
      </c>
      <c r="Q3203" s="13">
        <v>9900</v>
      </c>
      <c r="S3203" s="13">
        <v>5950</v>
      </c>
      <c r="U3203" s="13">
        <v>5950</v>
      </c>
      <c r="AC3203" s="16" t="str">
        <f t="shared" si="147"/>
        <v/>
      </c>
      <c r="AD3203" s="17">
        <f t="shared" si="148"/>
        <v>5950</v>
      </c>
      <c r="AE3203" s="17">
        <f t="shared" si="149"/>
        <v>0</v>
      </c>
      <c r="AF3203" s="10" t="s">
        <v>7776</v>
      </c>
      <c r="AG3203" s="5" t="s">
        <v>3065</v>
      </c>
      <c r="AH3203" s="5" t="s">
        <v>7712</v>
      </c>
      <c r="AJ3203" s="5" t="s">
        <v>7777</v>
      </c>
    </row>
    <row r="3204" spans="1:36" ht="10" customHeight="1" x14ac:dyDescent="0.2">
      <c r="A3204" s="5" t="s">
        <v>7153</v>
      </c>
      <c r="B3204" s="5" t="s">
        <v>45</v>
      </c>
      <c r="D3204" s="5" t="s">
        <v>7778</v>
      </c>
      <c r="E3204" s="10" t="s">
        <v>57</v>
      </c>
      <c r="F3204" s="5" t="s">
        <v>7775</v>
      </c>
      <c r="I3204" s="11">
        <v>4</v>
      </c>
      <c r="K3204" s="12"/>
      <c r="O3204" s="14">
        <v>32965</v>
      </c>
      <c r="P3204" s="13">
        <v>4000</v>
      </c>
      <c r="Q3204" s="13">
        <v>4500</v>
      </c>
      <c r="S3204" s="13">
        <v>5280</v>
      </c>
      <c r="U3204" s="13">
        <v>5280</v>
      </c>
      <c r="AC3204" s="16" t="str">
        <f t="shared" si="147"/>
        <v/>
      </c>
      <c r="AD3204" s="17">
        <f t="shared" si="148"/>
        <v>5280</v>
      </c>
      <c r="AE3204" s="17">
        <f t="shared" si="149"/>
        <v>0</v>
      </c>
      <c r="AF3204" s="10" t="s">
        <v>7779</v>
      </c>
      <c r="AG3204" s="5" t="s">
        <v>3065</v>
      </c>
      <c r="AH3204" s="5" t="s">
        <v>7712</v>
      </c>
      <c r="AJ3204" s="5" t="s">
        <v>7780</v>
      </c>
    </row>
    <row r="3205" spans="1:36" ht="10" customHeight="1" x14ac:dyDescent="0.2">
      <c r="A3205" s="5" t="s">
        <v>7153</v>
      </c>
      <c r="B3205" s="5" t="s">
        <v>45</v>
      </c>
      <c r="D3205" s="5" t="s">
        <v>7781</v>
      </c>
      <c r="E3205" s="10" t="s">
        <v>57</v>
      </c>
      <c r="F3205" s="5" t="s">
        <v>7717</v>
      </c>
      <c r="I3205" s="11">
        <v>4</v>
      </c>
      <c r="K3205" s="10" t="s">
        <v>50</v>
      </c>
      <c r="L3205" s="5" t="s">
        <v>51</v>
      </c>
      <c r="M3205" s="5" t="s">
        <v>119</v>
      </c>
      <c r="O3205" s="14">
        <v>72272</v>
      </c>
      <c r="P3205" s="13">
        <v>15178</v>
      </c>
      <c r="Q3205" s="13">
        <v>19215</v>
      </c>
      <c r="S3205" s="13">
        <v>16095</v>
      </c>
      <c r="U3205" s="13">
        <v>16095</v>
      </c>
      <c r="AC3205" s="16" t="str">
        <f t="shared" si="147"/>
        <v/>
      </c>
      <c r="AD3205" s="17">
        <f t="shared" si="148"/>
        <v>16095</v>
      </c>
      <c r="AE3205" s="17">
        <f t="shared" si="149"/>
        <v>0</v>
      </c>
      <c r="AF3205" s="10" t="s">
        <v>7782</v>
      </c>
      <c r="AG3205" s="5" t="s">
        <v>3086</v>
      </c>
      <c r="AH3205" s="5" t="s">
        <v>7712</v>
      </c>
      <c r="AI3205" s="5" t="s">
        <v>7738</v>
      </c>
      <c r="AJ3205" s="5" t="s">
        <v>7739</v>
      </c>
    </row>
    <row r="3206" spans="1:36" ht="10" customHeight="1" x14ac:dyDescent="0.2">
      <c r="A3206" s="5" t="s">
        <v>7153</v>
      </c>
      <c r="B3206" s="5" t="s">
        <v>45</v>
      </c>
      <c r="D3206" s="5" t="s">
        <v>7783</v>
      </c>
      <c r="E3206" s="10" t="s">
        <v>57</v>
      </c>
      <c r="F3206" s="5" t="s">
        <v>7784</v>
      </c>
      <c r="I3206" s="11">
        <v>4</v>
      </c>
      <c r="K3206" s="12"/>
      <c r="O3206" s="14">
        <v>26775</v>
      </c>
      <c r="P3206" s="13">
        <v>6651</v>
      </c>
      <c r="Q3206" s="13">
        <v>8621</v>
      </c>
      <c r="S3206" s="13">
        <v>7331</v>
      </c>
      <c r="U3206" s="13">
        <v>7331</v>
      </c>
      <c r="AC3206" s="16" t="str">
        <f t="shared" ref="AC3206:AC3269" si="150">IF(OR(E3206="",E3206="[PARENT]"),"ADD",IF(E3206="[ALT_VIEW]","ALT",""))</f>
        <v/>
      </c>
      <c r="AD3206" s="17">
        <f t="shared" ref="AD3206:AD3269" si="151">IF(Y3206&lt;&gt;"",Y3206,IF(U3206&lt;&gt;"",U3206,S3206))</f>
        <v>7331</v>
      </c>
      <c r="AE3206" s="17">
        <f t="shared" ref="AE3206:AE3269" si="152">IF(AB3206&lt;&gt;"",AB3206,Z3206)</f>
        <v>0</v>
      </c>
      <c r="AF3206" s="10" t="s">
        <v>7785</v>
      </c>
      <c r="AG3206" s="5" t="s">
        <v>3098</v>
      </c>
      <c r="AH3206" s="5" t="s">
        <v>7712</v>
      </c>
      <c r="AJ3206" s="5" t="s">
        <v>7786</v>
      </c>
    </row>
    <row r="3207" spans="1:36" ht="10" customHeight="1" x14ac:dyDescent="0.2">
      <c r="A3207" s="5" t="s">
        <v>7153</v>
      </c>
      <c r="B3207" s="5" t="s">
        <v>45</v>
      </c>
      <c r="D3207" s="5" t="s">
        <v>7787</v>
      </c>
      <c r="E3207" s="10" t="s">
        <v>57</v>
      </c>
      <c r="F3207" s="5" t="s">
        <v>7784</v>
      </c>
      <c r="I3207" s="11">
        <v>4</v>
      </c>
      <c r="K3207" s="12"/>
      <c r="O3207" s="14">
        <v>45497</v>
      </c>
      <c r="P3207" s="13">
        <v>8527</v>
      </c>
      <c r="Q3207" s="13">
        <v>10594</v>
      </c>
      <c r="S3207" s="13">
        <v>8764</v>
      </c>
      <c r="U3207" s="13">
        <v>8764</v>
      </c>
      <c r="AC3207" s="16" t="str">
        <f t="shared" si="150"/>
        <v/>
      </c>
      <c r="AD3207" s="17">
        <f t="shared" si="151"/>
        <v>8764</v>
      </c>
      <c r="AE3207" s="17">
        <f t="shared" si="152"/>
        <v>0</v>
      </c>
      <c r="AF3207" s="10" t="s">
        <v>7788</v>
      </c>
      <c r="AG3207" s="5" t="s">
        <v>3098</v>
      </c>
      <c r="AH3207" s="5" t="s">
        <v>7712</v>
      </c>
      <c r="AJ3207" s="5" t="s">
        <v>7789</v>
      </c>
    </row>
    <row r="3208" spans="1:36" ht="10" customHeight="1" x14ac:dyDescent="0.2">
      <c r="A3208" s="5" t="s">
        <v>7790</v>
      </c>
      <c r="B3208" s="5" t="s">
        <v>45</v>
      </c>
      <c r="C3208" s="5" t="s">
        <v>7791</v>
      </c>
      <c r="D3208" s="5" t="s">
        <v>7792</v>
      </c>
      <c r="E3208" s="10" t="s">
        <v>349</v>
      </c>
      <c r="K3208" s="12"/>
      <c r="O3208" s="12"/>
      <c r="P3208" s="13">
        <v>906795</v>
      </c>
      <c r="Q3208" s="13">
        <v>889155</v>
      </c>
      <c r="S3208" s="13">
        <v>814932</v>
      </c>
      <c r="T3208" s="13">
        <v>80000</v>
      </c>
      <c r="U3208" s="13">
        <v>894932</v>
      </c>
      <c r="AC3208" s="16" t="str">
        <f t="shared" si="150"/>
        <v>ALT</v>
      </c>
      <c r="AD3208" s="17">
        <f t="shared" si="151"/>
        <v>894932</v>
      </c>
      <c r="AE3208" s="17">
        <f t="shared" si="152"/>
        <v>0</v>
      </c>
      <c r="AF3208" s="10" t="s">
        <v>7793</v>
      </c>
      <c r="AG3208" s="5" t="s">
        <v>156</v>
      </c>
    </row>
    <row r="3209" spans="1:36" ht="10" customHeight="1" x14ac:dyDescent="0.2">
      <c r="A3209" s="5" t="s">
        <v>7790</v>
      </c>
      <c r="B3209" s="5" t="s">
        <v>45</v>
      </c>
      <c r="C3209" s="5" t="s">
        <v>1449</v>
      </c>
      <c r="D3209" s="5" t="s">
        <v>6986</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6" t="str">
        <f t="shared" si="150"/>
        <v>ADD</v>
      </c>
      <c r="AD3209" s="17">
        <f t="shared" si="151"/>
        <v>4484</v>
      </c>
      <c r="AE3209" s="17">
        <f t="shared" si="152"/>
        <v>23551</v>
      </c>
      <c r="AF3209" s="10" t="s">
        <v>7794</v>
      </c>
      <c r="AG3209" s="5" t="s">
        <v>7795</v>
      </c>
      <c r="AH3209" s="5" t="s">
        <v>6988</v>
      </c>
      <c r="AI3209" s="5" t="s">
        <v>6986</v>
      </c>
    </row>
    <row r="3210" spans="1:36" ht="10" customHeight="1" x14ac:dyDescent="0.2">
      <c r="A3210" s="5" t="s">
        <v>7790</v>
      </c>
      <c r="B3210" s="5" t="s">
        <v>45</v>
      </c>
      <c r="C3210" s="5" t="s">
        <v>85</v>
      </c>
      <c r="D3210" s="5" t="s">
        <v>7004</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6" t="str">
        <f t="shared" si="150"/>
        <v>ADD</v>
      </c>
      <c r="AD3210" s="17">
        <f t="shared" si="151"/>
        <v>16294</v>
      </c>
      <c r="AE3210" s="17">
        <f t="shared" si="152"/>
        <v>36908</v>
      </c>
      <c r="AF3210" s="10" t="s">
        <v>7794</v>
      </c>
      <c r="AG3210" s="5" t="s">
        <v>6377</v>
      </c>
      <c r="AH3210" s="5" t="s">
        <v>7006</v>
      </c>
      <c r="AI3210" s="5" t="s">
        <v>7004</v>
      </c>
    </row>
    <row r="3211" spans="1:36" ht="10" customHeight="1" x14ac:dyDescent="0.2">
      <c r="A3211" s="5" t="s">
        <v>7790</v>
      </c>
      <c r="B3211" s="5" t="s">
        <v>45</v>
      </c>
      <c r="C3211" s="5" t="s">
        <v>1542</v>
      </c>
      <c r="D3211" s="5" t="s">
        <v>7112</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6" t="str">
        <f t="shared" si="150"/>
        <v>ADD</v>
      </c>
      <c r="AD3211" s="17">
        <f t="shared" si="151"/>
        <v>189553</v>
      </c>
      <c r="AE3211" s="17">
        <f t="shared" si="152"/>
        <v>211216</v>
      </c>
      <c r="AF3211" s="10" t="s">
        <v>7794</v>
      </c>
      <c r="AG3211" s="5" t="s">
        <v>6377</v>
      </c>
      <c r="AH3211" s="5" t="s">
        <v>7114</v>
      </c>
      <c r="AI3211" s="5" t="s">
        <v>7112</v>
      </c>
    </row>
    <row r="3212" spans="1:36" ht="10" customHeight="1" x14ac:dyDescent="0.2">
      <c r="A3212" s="5" t="s">
        <v>7790</v>
      </c>
      <c r="B3212" s="5" t="s">
        <v>45</v>
      </c>
      <c r="C3212" s="5" t="s">
        <v>7796</v>
      </c>
      <c r="D3212" s="5" t="s">
        <v>7797</v>
      </c>
      <c r="E3212" s="10" t="s">
        <v>349</v>
      </c>
      <c r="K3212" s="12"/>
      <c r="O3212" s="12"/>
      <c r="P3212" s="13">
        <v>186641</v>
      </c>
      <c r="Q3212" s="13">
        <v>260583</v>
      </c>
      <c r="S3212" s="13">
        <v>347308</v>
      </c>
      <c r="T3212" s="13">
        <v>0</v>
      </c>
      <c r="U3212" s="13">
        <v>347308</v>
      </c>
      <c r="AC3212" s="16" t="str">
        <f t="shared" si="150"/>
        <v>ALT</v>
      </c>
      <c r="AD3212" s="17">
        <f t="shared" si="151"/>
        <v>347308</v>
      </c>
      <c r="AE3212" s="17">
        <f t="shared" si="152"/>
        <v>0</v>
      </c>
      <c r="AF3212" s="10" t="s">
        <v>7798</v>
      </c>
      <c r="AG3212" s="5" t="s">
        <v>6401</v>
      </c>
    </row>
    <row r="3213" spans="1:36" ht="10" customHeight="1" x14ac:dyDescent="0.2">
      <c r="A3213" s="5" t="s">
        <v>7790</v>
      </c>
      <c r="B3213" s="5" t="s">
        <v>45</v>
      </c>
      <c r="C3213" s="5" t="s">
        <v>1883</v>
      </c>
      <c r="D3213" s="5" t="s">
        <v>7799</v>
      </c>
      <c r="E3213" s="12"/>
      <c r="I3213" s="11">
        <v>7</v>
      </c>
      <c r="K3213" s="10" t="s">
        <v>50</v>
      </c>
      <c r="L3213" s="5" t="s">
        <v>51</v>
      </c>
      <c r="M3213" s="5" t="s">
        <v>182</v>
      </c>
      <c r="N3213" s="5" t="s">
        <v>6075</v>
      </c>
      <c r="O3213" s="12"/>
      <c r="P3213" s="13">
        <v>4501</v>
      </c>
      <c r="Q3213" s="13">
        <v>6454</v>
      </c>
      <c r="S3213" s="13">
        <v>38073</v>
      </c>
      <c r="T3213" s="13">
        <v>0</v>
      </c>
      <c r="U3213" s="13">
        <v>38073</v>
      </c>
      <c r="X3213" s="13">
        <v>38073</v>
      </c>
      <c r="Y3213" s="13">
        <v>38073</v>
      </c>
      <c r="Z3213" s="13">
        <v>53916</v>
      </c>
      <c r="AB3213" s="13">
        <v>53916</v>
      </c>
      <c r="AC3213" s="16" t="str">
        <f t="shared" si="150"/>
        <v>ADD</v>
      </c>
      <c r="AD3213" s="17">
        <f t="shared" si="151"/>
        <v>38073</v>
      </c>
      <c r="AE3213" s="17">
        <f t="shared" si="152"/>
        <v>53916</v>
      </c>
      <c r="AF3213" s="10" t="s">
        <v>7800</v>
      </c>
      <c r="AG3213" s="5" t="s">
        <v>1470</v>
      </c>
      <c r="AH3213" s="5" t="s">
        <v>7801</v>
      </c>
      <c r="AI3213" s="5" t="s">
        <v>7799</v>
      </c>
    </row>
    <row r="3214" spans="1:36" ht="10" customHeight="1" x14ac:dyDescent="0.2">
      <c r="A3214" s="5" t="s">
        <v>7790</v>
      </c>
      <c r="B3214" s="5" t="s">
        <v>45</v>
      </c>
      <c r="C3214" s="5" t="s">
        <v>7802</v>
      </c>
      <c r="D3214" s="5" t="s">
        <v>7803</v>
      </c>
      <c r="E3214" s="10" t="s">
        <v>349</v>
      </c>
      <c r="K3214" s="12"/>
      <c r="O3214" s="12"/>
      <c r="P3214" s="13">
        <v>698653</v>
      </c>
      <c r="Q3214" s="13">
        <v>1063444</v>
      </c>
      <c r="S3214" s="13">
        <v>688659</v>
      </c>
      <c r="T3214" s="13">
        <v>0</v>
      </c>
      <c r="U3214" s="13">
        <v>688659</v>
      </c>
      <c r="AC3214" s="16" t="str">
        <f t="shared" si="150"/>
        <v>ALT</v>
      </c>
      <c r="AD3214" s="17">
        <f t="shared" si="151"/>
        <v>688659</v>
      </c>
      <c r="AE3214" s="17">
        <f t="shared" si="152"/>
        <v>0</v>
      </c>
      <c r="AF3214" s="10" t="s">
        <v>7804</v>
      </c>
      <c r="AG3214" s="5" t="s">
        <v>6401</v>
      </c>
    </row>
    <row r="3215" spans="1:36" ht="10" customHeight="1" x14ac:dyDescent="0.2">
      <c r="A3215" s="5" t="s">
        <v>7790</v>
      </c>
      <c r="B3215" s="5" t="s">
        <v>45</v>
      </c>
      <c r="C3215" s="5" t="s">
        <v>1942</v>
      </c>
      <c r="D3215" s="5" t="s">
        <v>7805</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6" t="str">
        <f t="shared" si="150"/>
        <v>ADD</v>
      </c>
      <c r="AD3215" s="17">
        <f t="shared" si="151"/>
        <v>40800</v>
      </c>
      <c r="AE3215" s="17">
        <f t="shared" si="152"/>
        <v>67828</v>
      </c>
      <c r="AF3215" s="10" t="s">
        <v>7806</v>
      </c>
      <c r="AG3215" s="5" t="s">
        <v>106</v>
      </c>
      <c r="AH3215" s="5" t="s">
        <v>7807</v>
      </c>
      <c r="AI3215" s="5" t="s">
        <v>7805</v>
      </c>
    </row>
    <row r="3216" spans="1:36" ht="10" customHeight="1" x14ac:dyDescent="0.2">
      <c r="A3216" s="5" t="s">
        <v>7790</v>
      </c>
      <c r="B3216" s="5" t="s">
        <v>45</v>
      </c>
      <c r="C3216" s="5" t="s">
        <v>7808</v>
      </c>
      <c r="D3216" s="5" t="s">
        <v>7809</v>
      </c>
      <c r="E3216" s="10" t="s">
        <v>57</v>
      </c>
      <c r="F3216" s="5" t="s">
        <v>7810</v>
      </c>
      <c r="I3216" s="11">
        <v>7</v>
      </c>
      <c r="K3216" s="12"/>
      <c r="O3216" s="12"/>
      <c r="P3216" s="13">
        <v>11944</v>
      </c>
      <c r="Q3216" s="13">
        <v>24890</v>
      </c>
      <c r="S3216" s="13">
        <v>33325</v>
      </c>
      <c r="T3216" s="13">
        <v>0</v>
      </c>
      <c r="U3216" s="13">
        <v>33325</v>
      </c>
      <c r="AC3216" s="16" t="str">
        <f t="shared" si="150"/>
        <v/>
      </c>
      <c r="AD3216" s="17">
        <f t="shared" si="151"/>
        <v>33325</v>
      </c>
      <c r="AE3216" s="17">
        <f t="shared" si="152"/>
        <v>0</v>
      </c>
      <c r="AF3216" s="10" t="s">
        <v>7811</v>
      </c>
      <c r="AG3216" s="5" t="s">
        <v>106</v>
      </c>
    </row>
    <row r="3217" spans="1:35" ht="10" customHeight="1" x14ac:dyDescent="0.2">
      <c r="A3217" s="5" t="s">
        <v>7790</v>
      </c>
      <c r="B3217" s="5" t="s">
        <v>45</v>
      </c>
      <c r="C3217" s="5" t="s">
        <v>1960</v>
      </c>
      <c r="D3217" s="5" t="s">
        <v>7812</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6" t="str">
        <f t="shared" si="150"/>
        <v>ADD</v>
      </c>
      <c r="AD3217" s="17">
        <f t="shared" si="151"/>
        <v>666618</v>
      </c>
      <c r="AE3217" s="17">
        <f t="shared" si="152"/>
        <v>323644</v>
      </c>
      <c r="AF3217" s="10" t="s">
        <v>7813</v>
      </c>
      <c r="AG3217" s="5" t="s">
        <v>2306</v>
      </c>
      <c r="AH3217" s="5" t="s">
        <v>7814</v>
      </c>
      <c r="AI3217" s="5" t="s">
        <v>7812</v>
      </c>
    </row>
    <row r="3218" spans="1:35" ht="10" customHeight="1" x14ac:dyDescent="0.2">
      <c r="A3218" s="5" t="s">
        <v>7790</v>
      </c>
      <c r="B3218" s="5" t="s">
        <v>45</v>
      </c>
      <c r="C3218" s="5" t="s">
        <v>7815</v>
      </c>
      <c r="D3218" s="5" t="s">
        <v>7816</v>
      </c>
      <c r="E3218" s="10" t="s">
        <v>349</v>
      </c>
      <c r="K3218" s="12"/>
      <c r="O3218" s="12"/>
      <c r="P3218" s="13">
        <v>600986</v>
      </c>
      <c r="Q3218" s="13">
        <v>555677</v>
      </c>
      <c r="S3218" s="13">
        <v>672347</v>
      </c>
      <c r="T3218" s="13">
        <v>232000</v>
      </c>
      <c r="U3218" s="13">
        <v>904347</v>
      </c>
      <c r="AC3218" s="16" t="str">
        <f t="shared" si="150"/>
        <v>ALT</v>
      </c>
      <c r="AD3218" s="17">
        <f t="shared" si="151"/>
        <v>904347</v>
      </c>
      <c r="AE3218" s="17">
        <f t="shared" si="152"/>
        <v>0</v>
      </c>
      <c r="AF3218" s="10" t="s">
        <v>7817</v>
      </c>
      <c r="AG3218" s="5" t="s">
        <v>5170</v>
      </c>
    </row>
    <row r="3219" spans="1:35" ht="10" customHeight="1" x14ac:dyDescent="0.2">
      <c r="A3219" s="5" t="s">
        <v>7790</v>
      </c>
      <c r="B3219" s="5" t="s">
        <v>45</v>
      </c>
      <c r="C3219" s="5" t="s">
        <v>1965</v>
      </c>
      <c r="D3219" s="5" t="s">
        <v>7818</v>
      </c>
      <c r="E3219" s="12"/>
      <c r="I3219" s="11">
        <v>6</v>
      </c>
      <c r="K3219" s="12"/>
      <c r="O3219" s="12"/>
      <c r="P3219" s="13">
        <v>17521</v>
      </c>
      <c r="Q3219" s="13">
        <v>10122</v>
      </c>
      <c r="S3219" s="13">
        <v>12256</v>
      </c>
      <c r="T3219" s="13">
        <v>0</v>
      </c>
      <c r="U3219" s="13">
        <v>12256</v>
      </c>
      <c r="X3219" s="13">
        <v>24256</v>
      </c>
      <c r="Y3219" s="13">
        <v>24256</v>
      </c>
      <c r="Z3219" s="13">
        <v>54862</v>
      </c>
      <c r="AB3219" s="13">
        <v>54862</v>
      </c>
      <c r="AC3219" s="16" t="str">
        <f t="shared" si="150"/>
        <v>ADD</v>
      </c>
      <c r="AD3219" s="17">
        <f t="shared" si="151"/>
        <v>24256</v>
      </c>
      <c r="AE3219" s="17">
        <f t="shared" si="152"/>
        <v>54862</v>
      </c>
      <c r="AF3219" s="10" t="s">
        <v>7819</v>
      </c>
      <c r="AG3219" s="5" t="s">
        <v>2927</v>
      </c>
      <c r="AH3219" s="5" t="s">
        <v>7820</v>
      </c>
    </row>
    <row r="3220" spans="1:35" ht="10" customHeight="1" x14ac:dyDescent="0.2">
      <c r="A3220" s="5" t="s">
        <v>7790</v>
      </c>
      <c r="B3220" s="5" t="s">
        <v>45</v>
      </c>
      <c r="C3220" s="5" t="s">
        <v>7821</v>
      </c>
      <c r="D3220" s="5" t="s">
        <v>7822</v>
      </c>
      <c r="E3220" s="10" t="s">
        <v>349</v>
      </c>
      <c r="K3220" s="12"/>
      <c r="O3220" s="12"/>
      <c r="P3220" s="13">
        <v>1215461</v>
      </c>
      <c r="Q3220" s="13">
        <v>705144</v>
      </c>
      <c r="S3220" s="13">
        <v>585865</v>
      </c>
      <c r="T3220" s="13">
        <v>297765</v>
      </c>
      <c r="U3220" s="13">
        <v>883630</v>
      </c>
      <c r="AC3220" s="16" t="str">
        <f t="shared" si="150"/>
        <v>ALT</v>
      </c>
      <c r="AD3220" s="17">
        <f t="shared" si="151"/>
        <v>883630</v>
      </c>
      <c r="AE3220" s="17">
        <f t="shared" si="152"/>
        <v>0</v>
      </c>
      <c r="AF3220" s="10" t="s">
        <v>7823</v>
      </c>
      <c r="AG3220" s="5" t="s">
        <v>6423</v>
      </c>
    </row>
    <row r="3221" spans="1:35" ht="10" customHeight="1" x14ac:dyDescent="0.2">
      <c r="A3221" s="5" t="s">
        <v>7790</v>
      </c>
      <c r="B3221" s="5" t="s">
        <v>45</v>
      </c>
      <c r="C3221" s="5" t="s">
        <v>7148</v>
      </c>
      <c r="D3221" s="5" t="s">
        <v>5451</v>
      </c>
      <c r="E3221" s="10" t="s">
        <v>48</v>
      </c>
      <c r="I3221" s="11">
        <v>6</v>
      </c>
      <c r="K3221" s="12"/>
      <c r="O3221" s="12"/>
      <c r="P3221" s="13">
        <v>736770</v>
      </c>
      <c r="Q3221" s="13">
        <v>705144</v>
      </c>
      <c r="S3221" s="13">
        <v>585865</v>
      </c>
      <c r="T3221" s="13">
        <v>297765</v>
      </c>
      <c r="U3221" s="13">
        <v>883630</v>
      </c>
      <c r="Z3221" s="13">
        <v>765711</v>
      </c>
      <c r="AB3221" s="13">
        <v>765711</v>
      </c>
      <c r="AC3221" s="16" t="str">
        <f t="shared" si="150"/>
        <v>ADD</v>
      </c>
      <c r="AD3221" s="17">
        <f t="shared" si="151"/>
        <v>883630</v>
      </c>
      <c r="AE3221" s="17">
        <f t="shared" si="152"/>
        <v>765711</v>
      </c>
      <c r="AF3221" s="10" t="s">
        <v>7824</v>
      </c>
      <c r="AG3221" s="5" t="s">
        <v>178</v>
      </c>
      <c r="AH3221" s="5" t="s">
        <v>7150</v>
      </c>
    </row>
    <row r="3222" spans="1:35" ht="10" customHeight="1" x14ac:dyDescent="0.2">
      <c r="A3222" s="5" t="s">
        <v>7790</v>
      </c>
      <c r="B3222" s="5" t="s">
        <v>45</v>
      </c>
      <c r="C3222" s="5" t="s">
        <v>4806</v>
      </c>
      <c r="D3222" s="5" t="s">
        <v>7825</v>
      </c>
      <c r="E3222" s="10" t="s">
        <v>48</v>
      </c>
      <c r="I3222" s="11">
        <v>6</v>
      </c>
      <c r="K3222" s="10" t="s">
        <v>50</v>
      </c>
      <c r="L3222" s="5" t="s">
        <v>51</v>
      </c>
      <c r="M3222" s="5" t="s">
        <v>52</v>
      </c>
      <c r="N3222" s="5" t="s">
        <v>88</v>
      </c>
      <c r="O3222" s="12"/>
      <c r="P3222" s="13">
        <v>478691</v>
      </c>
      <c r="Q3222" s="13">
        <v>0</v>
      </c>
      <c r="S3222" s="13">
        <v>0</v>
      </c>
      <c r="T3222" s="13">
        <v>0</v>
      </c>
      <c r="U3222" s="13">
        <v>0</v>
      </c>
      <c r="AC3222" s="16" t="str">
        <f t="shared" si="150"/>
        <v>ADD</v>
      </c>
      <c r="AD3222" s="17">
        <f t="shared" si="151"/>
        <v>0</v>
      </c>
      <c r="AE3222" s="17">
        <f t="shared" si="152"/>
        <v>0</v>
      </c>
      <c r="AF3222" s="10" t="s">
        <v>7826</v>
      </c>
      <c r="AG3222" s="5" t="s">
        <v>199</v>
      </c>
      <c r="AH3222" s="5" t="s">
        <v>7152</v>
      </c>
    </row>
    <row r="3223" spans="1:35" ht="10" customHeight="1" x14ac:dyDescent="0.2">
      <c r="A3223" s="5" t="s">
        <v>7790</v>
      </c>
      <c r="B3223" s="5" t="s">
        <v>45</v>
      </c>
      <c r="C3223" s="5" t="s">
        <v>7827</v>
      </c>
      <c r="D3223" s="5" t="s">
        <v>7828</v>
      </c>
      <c r="E3223" s="10" t="s">
        <v>57</v>
      </c>
      <c r="F3223" s="5" t="s">
        <v>7829</v>
      </c>
      <c r="I3223" s="11">
        <v>6</v>
      </c>
      <c r="K3223" s="12"/>
      <c r="O3223" s="12"/>
      <c r="P3223" s="13">
        <v>255329</v>
      </c>
      <c r="Q3223" s="13">
        <v>281755</v>
      </c>
      <c r="S3223" s="13">
        <v>194461</v>
      </c>
      <c r="T3223" s="13">
        <v>0</v>
      </c>
      <c r="U3223" s="13">
        <v>194461</v>
      </c>
      <c r="AC3223" s="16" t="str">
        <f t="shared" si="150"/>
        <v/>
      </c>
      <c r="AD3223" s="17">
        <f t="shared" si="151"/>
        <v>194461</v>
      </c>
      <c r="AE3223" s="17">
        <f t="shared" si="152"/>
        <v>0</v>
      </c>
      <c r="AF3223" s="10" t="s">
        <v>7830</v>
      </c>
      <c r="AG3223" s="5" t="s">
        <v>193</v>
      </c>
      <c r="AH3223" s="5" t="s">
        <v>7831</v>
      </c>
    </row>
    <row r="3224" spans="1:35" ht="10" customHeight="1" x14ac:dyDescent="0.2">
      <c r="A3224" s="5" t="s">
        <v>7790</v>
      </c>
      <c r="B3224" s="5" t="s">
        <v>45</v>
      </c>
      <c r="C3224" s="5" t="s">
        <v>7832</v>
      </c>
      <c r="D3224" s="5" t="s">
        <v>7833</v>
      </c>
      <c r="E3224" s="10" t="s">
        <v>57</v>
      </c>
      <c r="F3224" s="5" t="s">
        <v>7829</v>
      </c>
      <c r="I3224" s="11">
        <v>6</v>
      </c>
      <c r="K3224" s="10" t="s">
        <v>50</v>
      </c>
      <c r="L3224" s="5" t="s">
        <v>51</v>
      </c>
      <c r="M3224" s="5" t="s">
        <v>52</v>
      </c>
      <c r="O3224" s="12"/>
      <c r="P3224" s="13">
        <v>46657</v>
      </c>
      <c r="Q3224" s="13">
        <v>46565</v>
      </c>
      <c r="S3224" s="13">
        <v>28865</v>
      </c>
      <c r="T3224" s="13">
        <v>0</v>
      </c>
      <c r="U3224" s="13">
        <v>28865</v>
      </c>
      <c r="AC3224" s="16" t="str">
        <f t="shared" si="150"/>
        <v/>
      </c>
      <c r="AD3224" s="17">
        <f t="shared" si="151"/>
        <v>28865</v>
      </c>
      <c r="AE3224" s="17">
        <f t="shared" si="152"/>
        <v>0</v>
      </c>
      <c r="AF3224" s="10" t="s">
        <v>7834</v>
      </c>
      <c r="AG3224" s="5" t="s">
        <v>193</v>
      </c>
      <c r="AH3224" s="5" t="s">
        <v>6274</v>
      </c>
    </row>
    <row r="3225" spans="1:35" ht="10" customHeight="1" x14ac:dyDescent="0.2">
      <c r="A3225" s="5" t="s">
        <v>7790</v>
      </c>
      <c r="B3225" s="5" t="s">
        <v>45</v>
      </c>
      <c r="C3225" s="5" t="s">
        <v>7835</v>
      </c>
      <c r="D3225" s="5" t="s">
        <v>7836</v>
      </c>
      <c r="E3225" s="10" t="s">
        <v>57</v>
      </c>
      <c r="F3225" s="5" t="s">
        <v>7829</v>
      </c>
      <c r="I3225" s="11">
        <v>6</v>
      </c>
      <c r="K3225" s="10" t="s">
        <v>50</v>
      </c>
      <c r="L3225" s="5" t="s">
        <v>51</v>
      </c>
      <c r="M3225" s="5" t="s">
        <v>119</v>
      </c>
      <c r="N3225" s="5" t="s">
        <v>120</v>
      </c>
      <c r="O3225" s="12"/>
      <c r="P3225" s="13">
        <v>13413</v>
      </c>
      <c r="Q3225" s="13">
        <v>10335</v>
      </c>
      <c r="S3225" s="13">
        <v>23948</v>
      </c>
      <c r="T3225" s="13">
        <v>0</v>
      </c>
      <c r="U3225" s="13">
        <v>23948</v>
      </c>
      <c r="AC3225" s="16" t="str">
        <f t="shared" si="150"/>
        <v/>
      </c>
      <c r="AD3225" s="17">
        <f t="shared" si="151"/>
        <v>23948</v>
      </c>
      <c r="AE3225" s="17">
        <f t="shared" si="152"/>
        <v>0</v>
      </c>
      <c r="AF3225" s="10" t="s">
        <v>7837</v>
      </c>
      <c r="AG3225" s="5" t="s">
        <v>193</v>
      </c>
      <c r="AH3225" s="5" t="s">
        <v>6278</v>
      </c>
    </row>
    <row r="3226" spans="1:35" ht="10" customHeight="1" x14ac:dyDescent="0.2">
      <c r="A3226" s="5" t="s">
        <v>7790</v>
      </c>
      <c r="B3226" s="5" t="s">
        <v>45</v>
      </c>
      <c r="C3226" s="5" t="s">
        <v>7838</v>
      </c>
      <c r="D3226" s="5" t="s">
        <v>7839</v>
      </c>
      <c r="E3226" s="10" t="s">
        <v>57</v>
      </c>
      <c r="F3226" s="5" t="s">
        <v>7829</v>
      </c>
      <c r="I3226" s="11">
        <v>6</v>
      </c>
      <c r="K3226" s="12"/>
      <c r="O3226" s="12"/>
      <c r="P3226" s="13">
        <v>0</v>
      </c>
      <c r="Q3226" s="13">
        <v>236</v>
      </c>
      <c r="S3226" s="13">
        <v>22543</v>
      </c>
      <c r="T3226" s="13">
        <v>0</v>
      </c>
      <c r="U3226" s="13">
        <v>22543</v>
      </c>
      <c r="AC3226" s="16" t="str">
        <f t="shared" si="150"/>
        <v/>
      </c>
      <c r="AD3226" s="17">
        <f t="shared" si="151"/>
        <v>22543</v>
      </c>
      <c r="AE3226" s="17">
        <f t="shared" si="152"/>
        <v>0</v>
      </c>
      <c r="AF3226" s="10" t="s">
        <v>7840</v>
      </c>
      <c r="AG3226" s="5" t="s">
        <v>193</v>
      </c>
      <c r="AH3226" s="5" t="s">
        <v>7841</v>
      </c>
    </row>
    <row r="3227" spans="1:35" ht="10" customHeight="1" x14ac:dyDescent="0.2">
      <c r="A3227" s="5" t="s">
        <v>7790</v>
      </c>
      <c r="B3227" s="5" t="s">
        <v>45</v>
      </c>
      <c r="C3227" s="5" t="s">
        <v>7842</v>
      </c>
      <c r="D3227" s="5" t="s">
        <v>7843</v>
      </c>
      <c r="E3227" s="10" t="s">
        <v>57</v>
      </c>
      <c r="F3227" s="5" t="s">
        <v>7829</v>
      </c>
      <c r="I3227" s="11">
        <v>6</v>
      </c>
      <c r="K3227" s="10" t="s">
        <v>50</v>
      </c>
      <c r="L3227" s="5" t="s">
        <v>51</v>
      </c>
      <c r="M3227" s="5" t="s">
        <v>119</v>
      </c>
      <c r="O3227" s="12"/>
      <c r="P3227" s="13">
        <v>9602</v>
      </c>
      <c r="Q3227" s="13">
        <v>7595</v>
      </c>
      <c r="S3227" s="13">
        <v>21562</v>
      </c>
      <c r="T3227" s="13">
        <v>0</v>
      </c>
      <c r="U3227" s="13">
        <v>21562</v>
      </c>
      <c r="AC3227" s="16" t="str">
        <f t="shared" si="150"/>
        <v/>
      </c>
      <c r="AD3227" s="17">
        <f t="shared" si="151"/>
        <v>21562</v>
      </c>
      <c r="AE3227" s="17">
        <f t="shared" si="152"/>
        <v>0</v>
      </c>
      <c r="AF3227" s="10" t="s">
        <v>7844</v>
      </c>
      <c r="AG3227" s="5" t="s">
        <v>4086</v>
      </c>
      <c r="AH3227" s="5" t="s">
        <v>7187</v>
      </c>
    </row>
    <row r="3228" spans="1:35" ht="10" customHeight="1" x14ac:dyDescent="0.2">
      <c r="A3228" s="5" t="s">
        <v>7790</v>
      </c>
      <c r="B3228" s="5" t="s">
        <v>45</v>
      </c>
      <c r="C3228" s="5" t="s">
        <v>7845</v>
      </c>
      <c r="D3228" s="5" t="s">
        <v>7846</v>
      </c>
      <c r="E3228" s="10" t="s">
        <v>57</v>
      </c>
      <c r="F3228" s="5" t="s">
        <v>7829</v>
      </c>
      <c r="I3228" s="11">
        <v>6</v>
      </c>
      <c r="K3228" s="10" t="s">
        <v>50</v>
      </c>
      <c r="L3228" s="5" t="s">
        <v>51</v>
      </c>
      <c r="M3228" s="5" t="s">
        <v>52</v>
      </c>
      <c r="O3228" s="12"/>
      <c r="P3228" s="13">
        <v>117331</v>
      </c>
      <c r="Q3228" s="13">
        <v>25544</v>
      </c>
      <c r="S3228" s="13">
        <v>19721</v>
      </c>
      <c r="T3228" s="13">
        <v>0</v>
      </c>
      <c r="U3228" s="13">
        <v>19721</v>
      </c>
      <c r="AC3228" s="16" t="str">
        <f t="shared" si="150"/>
        <v/>
      </c>
      <c r="AD3228" s="17">
        <f t="shared" si="151"/>
        <v>19721</v>
      </c>
      <c r="AE3228" s="17">
        <f t="shared" si="152"/>
        <v>0</v>
      </c>
      <c r="AF3228" s="10" t="s">
        <v>7847</v>
      </c>
      <c r="AG3228" s="5" t="s">
        <v>193</v>
      </c>
      <c r="AH3228" s="5" t="s">
        <v>6494</v>
      </c>
    </row>
    <row r="3229" spans="1:35" ht="10" customHeight="1" x14ac:dyDescent="0.2">
      <c r="A3229" s="5" t="s">
        <v>7790</v>
      </c>
      <c r="B3229" s="5" t="s">
        <v>45</v>
      </c>
      <c r="C3229" s="5" t="s">
        <v>7848</v>
      </c>
      <c r="D3229" s="5" t="s">
        <v>7849</v>
      </c>
      <c r="E3229" s="10" t="s">
        <v>57</v>
      </c>
      <c r="F3229" s="5" t="s">
        <v>7829</v>
      </c>
      <c r="I3229" s="11">
        <v>6</v>
      </c>
      <c r="K3229" s="10" t="s">
        <v>50</v>
      </c>
      <c r="L3229" s="5" t="s">
        <v>51</v>
      </c>
      <c r="M3229" s="5" t="s">
        <v>119</v>
      </c>
      <c r="O3229" s="12"/>
      <c r="P3229" s="13">
        <v>10135</v>
      </c>
      <c r="Q3229" s="13">
        <v>26957</v>
      </c>
      <c r="S3229" s="13">
        <v>16874</v>
      </c>
      <c r="T3229" s="13">
        <v>0</v>
      </c>
      <c r="U3229" s="13">
        <v>16874</v>
      </c>
      <c r="AC3229" s="16" t="str">
        <f t="shared" si="150"/>
        <v/>
      </c>
      <c r="AD3229" s="17">
        <f t="shared" si="151"/>
        <v>16874</v>
      </c>
      <c r="AE3229" s="17">
        <f t="shared" si="152"/>
        <v>0</v>
      </c>
      <c r="AF3229" s="10" t="s">
        <v>7850</v>
      </c>
      <c r="AG3229" s="5" t="s">
        <v>193</v>
      </c>
      <c r="AH3229" s="5" t="s">
        <v>6546</v>
      </c>
    </row>
    <row r="3230" spans="1:35" ht="10" customHeight="1" x14ac:dyDescent="0.2">
      <c r="A3230" s="5" t="s">
        <v>7790</v>
      </c>
      <c r="B3230" s="5" t="s">
        <v>45</v>
      </c>
      <c r="C3230" s="5" t="s">
        <v>7851</v>
      </c>
      <c r="D3230" s="5" t="s">
        <v>7852</v>
      </c>
      <c r="E3230" s="10" t="s">
        <v>57</v>
      </c>
      <c r="F3230" s="5" t="s">
        <v>7829</v>
      </c>
      <c r="I3230" s="11">
        <v>6</v>
      </c>
      <c r="K3230" s="10" t="s">
        <v>50</v>
      </c>
      <c r="L3230" s="5" t="s">
        <v>51</v>
      </c>
      <c r="M3230" s="5" t="s">
        <v>119</v>
      </c>
      <c r="O3230" s="12"/>
      <c r="P3230" s="13">
        <v>3339</v>
      </c>
      <c r="Q3230" s="13">
        <v>3846</v>
      </c>
      <c r="S3230" s="13">
        <v>14954</v>
      </c>
      <c r="T3230" s="13">
        <v>0</v>
      </c>
      <c r="U3230" s="13">
        <v>14954</v>
      </c>
      <c r="AC3230" s="16" t="str">
        <f t="shared" si="150"/>
        <v/>
      </c>
      <c r="AD3230" s="17">
        <f t="shared" si="151"/>
        <v>14954</v>
      </c>
      <c r="AE3230" s="17">
        <f t="shared" si="152"/>
        <v>0</v>
      </c>
      <c r="AF3230" s="10" t="s">
        <v>7853</v>
      </c>
      <c r="AG3230" s="5" t="s">
        <v>193</v>
      </c>
      <c r="AH3230" s="5" t="s">
        <v>6436</v>
      </c>
      <c r="AI3230" s="5" t="s">
        <v>6437</v>
      </c>
    </row>
    <row r="3231" spans="1:35" ht="10" customHeight="1" x14ac:dyDescent="0.2">
      <c r="A3231" s="5" t="s">
        <v>7790</v>
      </c>
      <c r="B3231" s="5" t="s">
        <v>45</v>
      </c>
      <c r="C3231" s="5" t="s">
        <v>7854</v>
      </c>
      <c r="D3231" s="5" t="s">
        <v>7855</v>
      </c>
      <c r="E3231" s="10" t="s">
        <v>57</v>
      </c>
      <c r="F3231" s="5" t="s">
        <v>7829</v>
      </c>
      <c r="I3231" s="11">
        <v>6</v>
      </c>
      <c r="K3231" s="10" t="s">
        <v>50</v>
      </c>
      <c r="L3231" s="5" t="s">
        <v>51</v>
      </c>
      <c r="M3231" s="5" t="s">
        <v>119</v>
      </c>
      <c r="O3231" s="12"/>
      <c r="P3231" s="13">
        <v>476</v>
      </c>
      <c r="Q3231" s="13">
        <v>9862</v>
      </c>
      <c r="S3231" s="13">
        <v>13778</v>
      </c>
      <c r="T3231" s="13">
        <v>0</v>
      </c>
      <c r="U3231" s="13">
        <v>13778</v>
      </c>
      <c r="AC3231" s="16" t="str">
        <f t="shared" si="150"/>
        <v/>
      </c>
      <c r="AD3231" s="17">
        <f t="shared" si="151"/>
        <v>13778</v>
      </c>
      <c r="AE3231" s="17">
        <f t="shared" si="152"/>
        <v>0</v>
      </c>
      <c r="AF3231" s="10" t="s">
        <v>7856</v>
      </c>
      <c r="AG3231" s="5" t="s">
        <v>7857</v>
      </c>
      <c r="AH3231" s="5" t="s">
        <v>6582</v>
      </c>
    </row>
    <row r="3232" spans="1:35" ht="10" customHeight="1" x14ac:dyDescent="0.2">
      <c r="A3232" s="5" t="s">
        <v>7790</v>
      </c>
      <c r="B3232" s="5" t="s">
        <v>45</v>
      </c>
      <c r="C3232" s="5" t="s">
        <v>7858</v>
      </c>
      <c r="D3232" s="5" t="s">
        <v>7859</v>
      </c>
      <c r="E3232" s="10" t="s">
        <v>57</v>
      </c>
      <c r="F3232" s="5" t="s">
        <v>7829</v>
      </c>
      <c r="I3232" s="11">
        <v>6</v>
      </c>
      <c r="K3232" s="12"/>
      <c r="O3232" s="12"/>
      <c r="P3232" s="13">
        <v>5418</v>
      </c>
      <c r="Q3232" s="13">
        <v>8302</v>
      </c>
      <c r="S3232" s="13">
        <v>9277</v>
      </c>
      <c r="T3232" s="13">
        <v>0</v>
      </c>
      <c r="U3232" s="13">
        <v>9277</v>
      </c>
      <c r="AC3232" s="16" t="str">
        <f t="shared" si="150"/>
        <v/>
      </c>
      <c r="AD3232" s="17">
        <f t="shared" si="151"/>
        <v>9277</v>
      </c>
      <c r="AE3232" s="17">
        <f t="shared" si="152"/>
        <v>0</v>
      </c>
      <c r="AF3232" s="10" t="s">
        <v>7860</v>
      </c>
      <c r="AG3232" s="5" t="s">
        <v>193</v>
      </c>
      <c r="AH3232" s="5" t="s">
        <v>1264</v>
      </c>
    </row>
    <row r="3233" spans="1:35" ht="10" customHeight="1" x14ac:dyDescent="0.2">
      <c r="A3233" s="5" t="s">
        <v>7790</v>
      </c>
      <c r="B3233" s="5" t="s">
        <v>45</v>
      </c>
      <c r="C3233" s="5" t="s">
        <v>7861</v>
      </c>
      <c r="D3233" s="5" t="s">
        <v>7862</v>
      </c>
      <c r="E3233" s="10" t="s">
        <v>57</v>
      </c>
      <c r="F3233" s="5" t="s">
        <v>7829</v>
      </c>
      <c r="I3233" s="11">
        <v>6</v>
      </c>
      <c r="K3233" s="10" t="s">
        <v>50</v>
      </c>
      <c r="L3233" s="5" t="s">
        <v>51</v>
      </c>
      <c r="M3233" s="5" t="s">
        <v>119</v>
      </c>
      <c r="O3233" s="12"/>
      <c r="P3233" s="13">
        <v>4508</v>
      </c>
      <c r="Q3233" s="13">
        <v>0</v>
      </c>
      <c r="S3233" s="13">
        <v>8199</v>
      </c>
      <c r="T3233" s="13">
        <v>0</v>
      </c>
      <c r="U3233" s="13">
        <v>8199</v>
      </c>
      <c r="AC3233" s="16" t="str">
        <f t="shared" si="150"/>
        <v/>
      </c>
      <c r="AD3233" s="17">
        <f t="shared" si="151"/>
        <v>8199</v>
      </c>
      <c r="AE3233" s="17">
        <f t="shared" si="152"/>
        <v>0</v>
      </c>
      <c r="AF3233" s="10" t="s">
        <v>7863</v>
      </c>
      <c r="AG3233" s="5" t="s">
        <v>193</v>
      </c>
      <c r="AH3233" s="5" t="s">
        <v>6447</v>
      </c>
    </row>
    <row r="3234" spans="1:35" ht="10" customHeight="1" x14ac:dyDescent="0.2">
      <c r="A3234" s="5" t="s">
        <v>7790</v>
      </c>
      <c r="B3234" s="5" t="s">
        <v>45</v>
      </c>
      <c r="C3234" s="5" t="s">
        <v>7864</v>
      </c>
      <c r="D3234" s="5" t="s">
        <v>7865</v>
      </c>
      <c r="E3234" s="10" t="s">
        <v>57</v>
      </c>
      <c r="F3234" s="5" t="s">
        <v>7829</v>
      </c>
      <c r="I3234" s="11">
        <v>6</v>
      </c>
      <c r="K3234" s="12"/>
      <c r="O3234" s="12"/>
      <c r="P3234" s="13">
        <v>5730</v>
      </c>
      <c r="Q3234" s="13">
        <v>9195</v>
      </c>
      <c r="S3234" s="13">
        <v>7219</v>
      </c>
      <c r="T3234" s="13">
        <v>0</v>
      </c>
      <c r="U3234" s="13">
        <v>7219</v>
      </c>
      <c r="AC3234" s="16" t="str">
        <f t="shared" si="150"/>
        <v/>
      </c>
      <c r="AD3234" s="17">
        <f t="shared" si="151"/>
        <v>7219</v>
      </c>
      <c r="AE3234" s="17">
        <f t="shared" si="152"/>
        <v>0</v>
      </c>
      <c r="AF3234" s="10" t="s">
        <v>7866</v>
      </c>
      <c r="AG3234" s="5" t="s">
        <v>7857</v>
      </c>
      <c r="AH3234" s="5" t="s">
        <v>7867</v>
      </c>
    </row>
    <row r="3235" spans="1:35" ht="10" customHeight="1" x14ac:dyDescent="0.2">
      <c r="A3235" s="5" t="s">
        <v>7790</v>
      </c>
      <c r="B3235" s="5" t="s">
        <v>45</v>
      </c>
      <c r="C3235" s="5" t="s">
        <v>7868</v>
      </c>
      <c r="D3235" s="5" t="s">
        <v>7869</v>
      </c>
      <c r="E3235" s="10" t="s">
        <v>57</v>
      </c>
      <c r="F3235" s="5" t="s">
        <v>7829</v>
      </c>
      <c r="I3235" s="11">
        <v>6</v>
      </c>
      <c r="K3235" s="10" t="s">
        <v>50</v>
      </c>
      <c r="L3235" s="5" t="s">
        <v>4675</v>
      </c>
      <c r="M3235" s="5" t="s">
        <v>4676</v>
      </c>
      <c r="O3235" s="12"/>
      <c r="P3235" s="13">
        <v>7367</v>
      </c>
      <c r="Q3235" s="13">
        <v>8681</v>
      </c>
      <c r="S3235" s="13">
        <v>6588</v>
      </c>
      <c r="T3235" s="13">
        <v>0</v>
      </c>
      <c r="U3235" s="13">
        <v>6588</v>
      </c>
      <c r="AC3235" s="16" t="str">
        <f t="shared" si="150"/>
        <v/>
      </c>
      <c r="AD3235" s="17">
        <f t="shared" si="151"/>
        <v>6588</v>
      </c>
      <c r="AE3235" s="17">
        <f t="shared" si="152"/>
        <v>0</v>
      </c>
      <c r="AF3235" s="10" t="s">
        <v>7870</v>
      </c>
      <c r="AG3235" s="5" t="s">
        <v>193</v>
      </c>
      <c r="AH3235" s="5" t="s">
        <v>6453</v>
      </c>
      <c r="AI3235" s="5" t="s">
        <v>6449</v>
      </c>
    </row>
    <row r="3236" spans="1:35" ht="10" customHeight="1" x14ac:dyDescent="0.2">
      <c r="A3236" s="5" t="s">
        <v>7790</v>
      </c>
      <c r="B3236" s="5" t="s">
        <v>45</v>
      </c>
      <c r="C3236" s="5" t="s">
        <v>7871</v>
      </c>
      <c r="D3236" s="5" t="s">
        <v>7872</v>
      </c>
      <c r="E3236" s="10" t="s">
        <v>57</v>
      </c>
      <c r="F3236" s="5" t="s">
        <v>7829</v>
      </c>
      <c r="I3236" s="11">
        <v>6</v>
      </c>
      <c r="K3236" s="10" t="s">
        <v>50</v>
      </c>
      <c r="L3236" s="5" t="s">
        <v>51</v>
      </c>
      <c r="M3236" s="5" t="s">
        <v>119</v>
      </c>
      <c r="O3236" s="12"/>
      <c r="P3236" s="13">
        <v>5877</v>
      </c>
      <c r="Q3236" s="13">
        <v>3709</v>
      </c>
      <c r="S3236" s="13">
        <v>6328</v>
      </c>
      <c r="T3236" s="13">
        <v>0</v>
      </c>
      <c r="U3236" s="13">
        <v>6328</v>
      </c>
      <c r="AC3236" s="16" t="str">
        <f t="shared" si="150"/>
        <v/>
      </c>
      <c r="AD3236" s="17">
        <f t="shared" si="151"/>
        <v>6328</v>
      </c>
      <c r="AE3236" s="17">
        <f t="shared" si="152"/>
        <v>0</v>
      </c>
      <c r="AF3236" s="10" t="s">
        <v>7873</v>
      </c>
      <c r="AG3236" s="5" t="s">
        <v>193</v>
      </c>
      <c r="AH3236" s="5" t="s">
        <v>6472</v>
      </c>
    </row>
    <row r="3237" spans="1:35" ht="10" customHeight="1" x14ac:dyDescent="0.2">
      <c r="A3237" s="5" t="s">
        <v>7790</v>
      </c>
      <c r="B3237" s="5" t="s">
        <v>45</v>
      </c>
      <c r="C3237" s="5" t="s">
        <v>7874</v>
      </c>
      <c r="D3237" s="5" t="s">
        <v>7875</v>
      </c>
      <c r="E3237" s="10" t="s">
        <v>57</v>
      </c>
      <c r="F3237" s="5" t="s">
        <v>7829</v>
      </c>
      <c r="I3237" s="11">
        <v>6</v>
      </c>
      <c r="K3237" s="10" t="s">
        <v>50</v>
      </c>
      <c r="L3237" s="5" t="s">
        <v>51</v>
      </c>
      <c r="M3237" s="5" t="s">
        <v>52</v>
      </c>
      <c r="O3237" s="12"/>
      <c r="P3237" s="13">
        <v>1095</v>
      </c>
      <c r="Q3237" s="13">
        <v>1484</v>
      </c>
      <c r="S3237" s="13">
        <v>3966</v>
      </c>
      <c r="T3237" s="13">
        <v>0</v>
      </c>
      <c r="U3237" s="13">
        <v>3966</v>
      </c>
      <c r="AC3237" s="16" t="str">
        <f t="shared" si="150"/>
        <v/>
      </c>
      <c r="AD3237" s="17">
        <f t="shared" si="151"/>
        <v>3966</v>
      </c>
      <c r="AE3237" s="17">
        <f t="shared" si="152"/>
        <v>0</v>
      </c>
      <c r="AF3237" s="10" t="s">
        <v>7876</v>
      </c>
      <c r="AG3237" s="5" t="s">
        <v>193</v>
      </c>
      <c r="AH3237" s="5" t="s">
        <v>6525</v>
      </c>
    </row>
    <row r="3238" spans="1:35" ht="10" customHeight="1" x14ac:dyDescent="0.2">
      <c r="A3238" s="5" t="s">
        <v>7790</v>
      </c>
      <c r="B3238" s="5" t="s">
        <v>45</v>
      </c>
      <c r="C3238" s="5" t="s">
        <v>7877</v>
      </c>
      <c r="D3238" s="5" t="s">
        <v>7878</v>
      </c>
      <c r="E3238" s="10" t="s">
        <v>57</v>
      </c>
      <c r="F3238" s="5" t="s">
        <v>7829</v>
      </c>
      <c r="I3238" s="11">
        <v>6</v>
      </c>
      <c r="K3238" s="10" t="s">
        <v>50</v>
      </c>
      <c r="L3238" s="5" t="s">
        <v>51</v>
      </c>
      <c r="M3238" s="5" t="s">
        <v>149</v>
      </c>
      <c r="O3238" s="12"/>
      <c r="P3238" s="13">
        <v>0</v>
      </c>
      <c r="Q3238" s="13">
        <v>342</v>
      </c>
      <c r="S3238" s="13">
        <v>3672</v>
      </c>
      <c r="T3238" s="13">
        <v>0</v>
      </c>
      <c r="U3238" s="13">
        <v>3672</v>
      </c>
      <c r="AC3238" s="16" t="str">
        <f t="shared" si="150"/>
        <v/>
      </c>
      <c r="AD3238" s="17">
        <f t="shared" si="151"/>
        <v>3672</v>
      </c>
      <c r="AE3238" s="17">
        <f t="shared" si="152"/>
        <v>0</v>
      </c>
      <c r="AF3238" s="10" t="s">
        <v>7879</v>
      </c>
      <c r="AG3238" s="5" t="s">
        <v>193</v>
      </c>
      <c r="AH3238" s="5" t="s">
        <v>2745</v>
      </c>
    </row>
    <row r="3239" spans="1:35" ht="10" customHeight="1" x14ac:dyDescent="0.2">
      <c r="A3239" s="5" t="s">
        <v>7790</v>
      </c>
      <c r="B3239" s="5" t="s">
        <v>45</v>
      </c>
      <c r="C3239" s="5" t="s">
        <v>7880</v>
      </c>
      <c r="D3239" s="5" t="s">
        <v>7881</v>
      </c>
      <c r="E3239" s="10" t="s">
        <v>57</v>
      </c>
      <c r="F3239" s="5" t="s">
        <v>7829</v>
      </c>
      <c r="I3239" s="11">
        <v>6</v>
      </c>
      <c r="K3239" s="12"/>
      <c r="O3239" s="12"/>
      <c r="P3239" s="13">
        <v>0</v>
      </c>
      <c r="Q3239" s="13">
        <v>0</v>
      </c>
      <c r="S3239" s="13">
        <v>3419</v>
      </c>
      <c r="T3239" s="13">
        <v>0</v>
      </c>
      <c r="U3239" s="13">
        <v>3419</v>
      </c>
      <c r="AC3239" s="16" t="str">
        <f t="shared" si="150"/>
        <v/>
      </c>
      <c r="AD3239" s="17">
        <f t="shared" si="151"/>
        <v>3419</v>
      </c>
      <c r="AE3239" s="17">
        <f t="shared" si="152"/>
        <v>0</v>
      </c>
      <c r="AF3239" s="10" t="s">
        <v>7882</v>
      </c>
      <c r="AG3239" s="5" t="s">
        <v>193</v>
      </c>
      <c r="AH3239" s="5" t="s">
        <v>6412</v>
      </c>
    </row>
    <row r="3240" spans="1:35" ht="10" customHeight="1" x14ac:dyDescent="0.2">
      <c r="A3240" s="5" t="s">
        <v>7790</v>
      </c>
      <c r="B3240" s="5" t="s">
        <v>45</v>
      </c>
      <c r="C3240" s="5" t="s">
        <v>7883</v>
      </c>
      <c r="D3240" s="5" t="s">
        <v>7884</v>
      </c>
      <c r="E3240" s="10" t="s">
        <v>57</v>
      </c>
      <c r="F3240" s="5" t="s">
        <v>7829</v>
      </c>
      <c r="I3240" s="11">
        <v>6</v>
      </c>
      <c r="K3240" s="12"/>
      <c r="O3240" s="12"/>
      <c r="P3240" s="13">
        <v>0</v>
      </c>
      <c r="Q3240" s="13">
        <v>0</v>
      </c>
      <c r="S3240" s="13">
        <v>2930</v>
      </c>
      <c r="T3240" s="13">
        <v>0</v>
      </c>
      <c r="U3240" s="13">
        <v>2930</v>
      </c>
      <c r="AC3240" s="16" t="str">
        <f t="shared" si="150"/>
        <v/>
      </c>
      <c r="AD3240" s="17">
        <f t="shared" si="151"/>
        <v>2930</v>
      </c>
      <c r="AE3240" s="17">
        <f t="shared" si="152"/>
        <v>0</v>
      </c>
      <c r="AF3240" s="10" t="s">
        <v>7885</v>
      </c>
      <c r="AG3240" s="5" t="s">
        <v>193</v>
      </c>
      <c r="AH3240" s="5" t="s">
        <v>6521</v>
      </c>
    </row>
    <row r="3241" spans="1:35" ht="10" customHeight="1" x14ac:dyDescent="0.2">
      <c r="A3241" s="5" t="s">
        <v>7790</v>
      </c>
      <c r="B3241" s="5" t="s">
        <v>45</v>
      </c>
      <c r="C3241" s="5" t="s">
        <v>7886</v>
      </c>
      <c r="D3241" s="5" t="s">
        <v>7887</v>
      </c>
      <c r="E3241" s="10" t="s">
        <v>57</v>
      </c>
      <c r="F3241" s="5" t="s">
        <v>7829</v>
      </c>
      <c r="I3241" s="11">
        <v>6</v>
      </c>
      <c r="K3241" s="10" t="s">
        <v>190</v>
      </c>
      <c r="L3241" s="5" t="s">
        <v>51</v>
      </c>
      <c r="M3241" s="5" t="s">
        <v>214</v>
      </c>
      <c r="N3241" s="5" t="s">
        <v>215</v>
      </c>
      <c r="O3241" s="12"/>
      <c r="P3241" s="13">
        <v>3344</v>
      </c>
      <c r="Q3241" s="13">
        <v>2448</v>
      </c>
      <c r="S3241" s="13">
        <v>2802</v>
      </c>
      <c r="T3241" s="13">
        <v>0</v>
      </c>
      <c r="U3241" s="13">
        <v>2802</v>
      </c>
      <c r="AC3241" s="16" t="str">
        <f t="shared" si="150"/>
        <v/>
      </c>
      <c r="AD3241" s="17">
        <f t="shared" si="151"/>
        <v>2802</v>
      </c>
      <c r="AE3241" s="17">
        <f t="shared" si="152"/>
        <v>0</v>
      </c>
      <c r="AF3241" s="10" t="s">
        <v>7888</v>
      </c>
      <c r="AG3241" s="5" t="s">
        <v>193</v>
      </c>
      <c r="AH3241" s="5" t="s">
        <v>6535</v>
      </c>
    </row>
    <row r="3242" spans="1:35" ht="10" customHeight="1" x14ac:dyDescent="0.2">
      <c r="A3242" s="5" t="s">
        <v>7790</v>
      </c>
      <c r="B3242" s="5" t="s">
        <v>45</v>
      </c>
      <c r="C3242" s="5" t="s">
        <v>7889</v>
      </c>
      <c r="D3242" s="5" t="s">
        <v>7890</v>
      </c>
      <c r="E3242" s="10" t="s">
        <v>57</v>
      </c>
      <c r="F3242" s="5" t="s">
        <v>7829</v>
      </c>
      <c r="I3242" s="11">
        <v>6</v>
      </c>
      <c r="K3242" s="10" t="s">
        <v>50</v>
      </c>
      <c r="L3242" s="5" t="s">
        <v>51</v>
      </c>
      <c r="M3242" s="5" t="s">
        <v>119</v>
      </c>
      <c r="O3242" s="12"/>
      <c r="P3242" s="13">
        <v>3411</v>
      </c>
      <c r="Q3242" s="13">
        <v>3986</v>
      </c>
      <c r="S3242" s="13">
        <v>2651</v>
      </c>
      <c r="T3242" s="13">
        <v>0</v>
      </c>
      <c r="U3242" s="13">
        <v>2651</v>
      </c>
      <c r="AC3242" s="16" t="str">
        <f t="shared" si="150"/>
        <v/>
      </c>
      <c r="AD3242" s="17">
        <f t="shared" si="151"/>
        <v>2651</v>
      </c>
      <c r="AE3242" s="17">
        <f t="shared" si="152"/>
        <v>0</v>
      </c>
      <c r="AF3242" s="10" t="s">
        <v>7891</v>
      </c>
      <c r="AG3242" s="5" t="s">
        <v>193</v>
      </c>
      <c r="AH3242" s="5" t="s">
        <v>6266</v>
      </c>
    </row>
    <row r="3243" spans="1:35" ht="10" customHeight="1" x14ac:dyDescent="0.2">
      <c r="A3243" s="5" t="s">
        <v>7790</v>
      </c>
      <c r="B3243" s="5" t="s">
        <v>45</v>
      </c>
      <c r="C3243" s="5" t="s">
        <v>7892</v>
      </c>
      <c r="D3243" s="5" t="s">
        <v>7893</v>
      </c>
      <c r="E3243" s="10" t="s">
        <v>57</v>
      </c>
      <c r="F3243" s="5" t="s">
        <v>7829</v>
      </c>
      <c r="I3243" s="11">
        <v>6</v>
      </c>
      <c r="K3243" s="12"/>
      <c r="O3243" s="12"/>
      <c r="P3243" s="13">
        <v>2438</v>
      </c>
      <c r="Q3243" s="13">
        <v>1318</v>
      </c>
      <c r="S3243" s="13">
        <v>2268</v>
      </c>
      <c r="T3243" s="13">
        <v>0</v>
      </c>
      <c r="U3243" s="13">
        <v>2268</v>
      </c>
      <c r="AC3243" s="16" t="str">
        <f t="shared" si="150"/>
        <v/>
      </c>
      <c r="AD3243" s="17">
        <f t="shared" si="151"/>
        <v>2268</v>
      </c>
      <c r="AE3243" s="17">
        <f t="shared" si="152"/>
        <v>0</v>
      </c>
      <c r="AF3243" s="10" t="s">
        <v>7894</v>
      </c>
      <c r="AG3243" s="5" t="s">
        <v>7857</v>
      </c>
      <c r="AH3243" s="5" t="s">
        <v>180</v>
      </c>
      <c r="AI3243" s="5" t="s">
        <v>6714</v>
      </c>
    </row>
    <row r="3244" spans="1:35" ht="10" customHeight="1" x14ac:dyDescent="0.2">
      <c r="A3244" s="5" t="s">
        <v>7790</v>
      </c>
      <c r="B3244" s="5" t="s">
        <v>45</v>
      </c>
      <c r="C3244" s="5" t="s">
        <v>7895</v>
      </c>
      <c r="D3244" s="5" t="s">
        <v>7896</v>
      </c>
      <c r="E3244" s="10" t="s">
        <v>57</v>
      </c>
      <c r="F3244" s="5" t="s">
        <v>7829</v>
      </c>
      <c r="I3244" s="11">
        <v>6</v>
      </c>
      <c r="K3244" s="12"/>
      <c r="O3244" s="12"/>
      <c r="P3244" s="13">
        <v>1880</v>
      </c>
      <c r="Q3244" s="13">
        <v>357</v>
      </c>
      <c r="S3244" s="13">
        <v>2104</v>
      </c>
      <c r="T3244" s="13">
        <v>0</v>
      </c>
      <c r="U3244" s="13">
        <v>2104</v>
      </c>
      <c r="AC3244" s="16" t="str">
        <f t="shared" si="150"/>
        <v/>
      </c>
      <c r="AD3244" s="17">
        <f t="shared" si="151"/>
        <v>2104</v>
      </c>
      <c r="AE3244" s="17">
        <f t="shared" si="152"/>
        <v>0</v>
      </c>
      <c r="AF3244" s="10" t="s">
        <v>7897</v>
      </c>
      <c r="AG3244" s="5" t="s">
        <v>193</v>
      </c>
      <c r="AH3244" s="5" t="s">
        <v>6366</v>
      </c>
    </row>
    <row r="3245" spans="1:35" ht="10" customHeight="1" x14ac:dyDescent="0.2">
      <c r="A3245" s="5" t="s">
        <v>7790</v>
      </c>
      <c r="B3245" s="5" t="s">
        <v>45</v>
      </c>
      <c r="C3245" s="5" t="s">
        <v>7898</v>
      </c>
      <c r="D3245" s="5" t="s">
        <v>7899</v>
      </c>
      <c r="E3245" s="10" t="s">
        <v>57</v>
      </c>
      <c r="F3245" s="5" t="s">
        <v>7829</v>
      </c>
      <c r="I3245" s="11">
        <v>6</v>
      </c>
      <c r="K3245" s="10" t="s">
        <v>50</v>
      </c>
      <c r="L3245" s="5" t="s">
        <v>51</v>
      </c>
      <c r="M3245" s="5" t="s">
        <v>52</v>
      </c>
      <c r="N3245" s="5" t="s">
        <v>88</v>
      </c>
      <c r="O3245" s="12"/>
      <c r="P3245" s="13">
        <v>0</v>
      </c>
      <c r="Q3245" s="13">
        <v>0</v>
      </c>
      <c r="S3245" s="13">
        <v>1963</v>
      </c>
      <c r="T3245" s="13">
        <v>0</v>
      </c>
      <c r="U3245" s="13">
        <v>1963</v>
      </c>
      <c r="AC3245" s="16" t="str">
        <f t="shared" si="150"/>
        <v/>
      </c>
      <c r="AD3245" s="17">
        <f t="shared" si="151"/>
        <v>1963</v>
      </c>
      <c r="AE3245" s="17">
        <f t="shared" si="152"/>
        <v>0</v>
      </c>
      <c r="AF3245" s="10" t="s">
        <v>7900</v>
      </c>
      <c r="AG3245" s="5" t="s">
        <v>193</v>
      </c>
      <c r="AH3245" s="5" t="s">
        <v>6323</v>
      </c>
    </row>
    <row r="3246" spans="1:35" ht="10" customHeight="1" x14ac:dyDescent="0.2">
      <c r="A3246" s="5" t="s">
        <v>7790</v>
      </c>
      <c r="B3246" s="5" t="s">
        <v>45</v>
      </c>
      <c r="C3246" s="5" t="s">
        <v>7901</v>
      </c>
      <c r="D3246" s="5" t="s">
        <v>7902</v>
      </c>
      <c r="E3246" s="10" t="s">
        <v>57</v>
      </c>
      <c r="F3246" s="5" t="s">
        <v>7829</v>
      </c>
      <c r="I3246" s="11">
        <v>6</v>
      </c>
      <c r="K3246" s="10" t="s">
        <v>50</v>
      </c>
      <c r="L3246" s="5" t="s">
        <v>51</v>
      </c>
      <c r="M3246" s="5" t="s">
        <v>119</v>
      </c>
      <c r="O3246" s="12"/>
      <c r="P3246" s="13">
        <v>4523</v>
      </c>
      <c r="Q3246" s="13">
        <v>0</v>
      </c>
      <c r="S3246" s="13">
        <v>1954</v>
      </c>
      <c r="T3246" s="13">
        <v>0</v>
      </c>
      <c r="U3246" s="13">
        <v>1954</v>
      </c>
      <c r="AC3246" s="16" t="str">
        <f t="shared" si="150"/>
        <v/>
      </c>
      <c r="AD3246" s="17">
        <f t="shared" si="151"/>
        <v>1954</v>
      </c>
      <c r="AE3246" s="17">
        <f t="shared" si="152"/>
        <v>0</v>
      </c>
      <c r="AF3246" s="10" t="s">
        <v>7903</v>
      </c>
      <c r="AG3246" s="5" t="s">
        <v>193</v>
      </c>
      <c r="AH3246" s="5" t="s">
        <v>6442</v>
      </c>
    </row>
    <row r="3247" spans="1:35" ht="10" customHeight="1" x14ac:dyDescent="0.2">
      <c r="A3247" s="5" t="s">
        <v>7790</v>
      </c>
      <c r="B3247" s="5" t="s">
        <v>45</v>
      </c>
      <c r="C3247" s="5" t="s">
        <v>7904</v>
      </c>
      <c r="D3247" s="5" t="s">
        <v>7905</v>
      </c>
      <c r="E3247" s="10" t="s">
        <v>57</v>
      </c>
      <c r="F3247" s="5" t="s">
        <v>7829</v>
      </c>
      <c r="I3247" s="11">
        <v>6</v>
      </c>
      <c r="K3247" s="10" t="s">
        <v>50</v>
      </c>
      <c r="L3247" s="5" t="s">
        <v>51</v>
      </c>
      <c r="M3247" s="5" t="s">
        <v>52</v>
      </c>
      <c r="O3247" s="12"/>
      <c r="P3247" s="13">
        <v>5641</v>
      </c>
      <c r="Q3247" s="13">
        <v>8512</v>
      </c>
      <c r="S3247" s="13">
        <v>14862</v>
      </c>
      <c r="T3247" s="13">
        <v>0</v>
      </c>
      <c r="U3247" s="13">
        <v>14862</v>
      </c>
      <c r="AC3247" s="16" t="str">
        <f t="shared" si="150"/>
        <v/>
      </c>
      <c r="AD3247" s="17">
        <f t="shared" si="151"/>
        <v>14862</v>
      </c>
      <c r="AE3247" s="17">
        <f t="shared" si="152"/>
        <v>0</v>
      </c>
      <c r="AF3247" s="10" t="s">
        <v>7906</v>
      </c>
      <c r="AG3247" s="5" t="s">
        <v>193</v>
      </c>
      <c r="AH3247" s="5" t="s">
        <v>6274</v>
      </c>
    </row>
    <row r="3248" spans="1:35" ht="10" customHeight="1" x14ac:dyDescent="0.2">
      <c r="A3248" s="5" t="s">
        <v>7790</v>
      </c>
      <c r="B3248" s="5" t="s">
        <v>45</v>
      </c>
      <c r="C3248" s="5" t="s">
        <v>7907</v>
      </c>
      <c r="D3248" s="5" t="s">
        <v>7908</v>
      </c>
      <c r="E3248" s="10" t="s">
        <v>57</v>
      </c>
      <c r="F3248" s="5" t="s">
        <v>7829</v>
      </c>
      <c r="I3248" s="11">
        <v>6</v>
      </c>
      <c r="K3248" s="10" t="s">
        <v>50</v>
      </c>
      <c r="L3248" s="5" t="s">
        <v>51</v>
      </c>
      <c r="M3248" s="5" t="s">
        <v>52</v>
      </c>
      <c r="N3248" s="5" t="s">
        <v>4752</v>
      </c>
      <c r="O3248" s="12"/>
      <c r="P3248" s="13">
        <v>9882</v>
      </c>
      <c r="Q3248" s="13">
        <v>10157</v>
      </c>
      <c r="S3248" s="13">
        <v>9296</v>
      </c>
      <c r="T3248" s="13">
        <v>0</v>
      </c>
      <c r="U3248" s="13">
        <v>9296</v>
      </c>
      <c r="AC3248" s="16" t="str">
        <f t="shared" si="150"/>
        <v/>
      </c>
      <c r="AD3248" s="17">
        <f t="shared" si="151"/>
        <v>9296</v>
      </c>
      <c r="AE3248" s="17">
        <f t="shared" si="152"/>
        <v>0</v>
      </c>
      <c r="AF3248" s="10" t="s">
        <v>7909</v>
      </c>
      <c r="AG3248" s="5" t="s">
        <v>193</v>
      </c>
      <c r="AH3248" s="5" t="s">
        <v>6350</v>
      </c>
    </row>
    <row r="3249" spans="1:35" ht="10" customHeight="1" x14ac:dyDescent="0.2">
      <c r="A3249" s="5" t="s">
        <v>7790</v>
      </c>
      <c r="B3249" s="5" t="s">
        <v>45</v>
      </c>
      <c r="C3249" s="5" t="s">
        <v>7910</v>
      </c>
      <c r="D3249" s="5" t="s">
        <v>7911</v>
      </c>
      <c r="E3249" s="10" t="s">
        <v>57</v>
      </c>
      <c r="F3249" s="5" t="s">
        <v>7829</v>
      </c>
      <c r="I3249" s="11">
        <v>6</v>
      </c>
      <c r="K3249" s="10" t="s">
        <v>50</v>
      </c>
      <c r="L3249" s="5" t="s">
        <v>51</v>
      </c>
      <c r="M3249" s="5" t="s">
        <v>119</v>
      </c>
      <c r="O3249" s="12"/>
      <c r="P3249" s="13">
        <v>8393</v>
      </c>
      <c r="Q3249" s="13">
        <v>6479</v>
      </c>
      <c r="S3249" s="13">
        <v>6411</v>
      </c>
      <c r="T3249" s="13">
        <v>0</v>
      </c>
      <c r="U3249" s="13">
        <v>6411</v>
      </c>
      <c r="AC3249" s="16" t="str">
        <f t="shared" si="150"/>
        <v/>
      </c>
      <c r="AD3249" s="17">
        <f t="shared" si="151"/>
        <v>6411</v>
      </c>
      <c r="AE3249" s="17">
        <f t="shared" si="152"/>
        <v>0</v>
      </c>
      <c r="AF3249" s="10" t="s">
        <v>7912</v>
      </c>
      <c r="AG3249" s="5" t="s">
        <v>4086</v>
      </c>
      <c r="AH3249" s="5" t="s">
        <v>7154</v>
      </c>
    </row>
    <row r="3250" spans="1:35" ht="10" customHeight="1" x14ac:dyDescent="0.2">
      <c r="A3250" s="5" t="s">
        <v>7790</v>
      </c>
      <c r="B3250" s="5" t="s">
        <v>45</v>
      </c>
      <c r="C3250" s="5" t="s">
        <v>7913</v>
      </c>
      <c r="D3250" s="5" t="s">
        <v>7914</v>
      </c>
      <c r="E3250" s="10" t="s">
        <v>57</v>
      </c>
      <c r="F3250" s="5" t="s">
        <v>7829</v>
      </c>
      <c r="I3250" s="11">
        <v>6</v>
      </c>
      <c r="K3250" s="10" t="s">
        <v>50</v>
      </c>
      <c r="L3250" s="5" t="s">
        <v>51</v>
      </c>
      <c r="M3250" s="5" t="s">
        <v>52</v>
      </c>
      <c r="N3250" s="5" t="s">
        <v>4752</v>
      </c>
      <c r="O3250" s="12"/>
      <c r="P3250" s="13">
        <v>3954</v>
      </c>
      <c r="Q3250" s="13">
        <v>3951</v>
      </c>
      <c r="S3250" s="13">
        <v>5308</v>
      </c>
      <c r="T3250" s="13">
        <v>0</v>
      </c>
      <c r="U3250" s="13">
        <v>5308</v>
      </c>
      <c r="AC3250" s="16" t="str">
        <f t="shared" si="150"/>
        <v/>
      </c>
      <c r="AD3250" s="17">
        <f t="shared" si="151"/>
        <v>5308</v>
      </c>
      <c r="AE3250" s="17">
        <f t="shared" si="152"/>
        <v>0</v>
      </c>
      <c r="AF3250" s="10" t="s">
        <v>7915</v>
      </c>
      <c r="AG3250" s="5" t="s">
        <v>7916</v>
      </c>
      <c r="AH3250" s="5" t="s">
        <v>7364</v>
      </c>
    </row>
    <row r="3251" spans="1:35" ht="10" customHeight="1" x14ac:dyDescent="0.2">
      <c r="A3251" s="5" t="s">
        <v>7790</v>
      </c>
      <c r="B3251" s="5" t="s">
        <v>45</v>
      </c>
      <c r="C3251" s="5" t="s">
        <v>7917</v>
      </c>
      <c r="D3251" s="5" t="s">
        <v>7918</v>
      </c>
      <c r="E3251" s="10" t="s">
        <v>57</v>
      </c>
      <c r="F3251" s="5" t="s">
        <v>7829</v>
      </c>
      <c r="I3251" s="11">
        <v>6</v>
      </c>
      <c r="K3251" s="10" t="s">
        <v>50</v>
      </c>
      <c r="L3251" s="5" t="s">
        <v>51</v>
      </c>
      <c r="M3251" s="5" t="s">
        <v>4684</v>
      </c>
      <c r="N3251" s="5" t="s">
        <v>4685</v>
      </c>
      <c r="O3251" s="12"/>
      <c r="P3251" s="13">
        <v>1851</v>
      </c>
      <c r="Q3251" s="13">
        <v>2139</v>
      </c>
      <c r="S3251" s="13">
        <v>2688</v>
      </c>
      <c r="T3251" s="13">
        <v>0</v>
      </c>
      <c r="U3251" s="13">
        <v>2688</v>
      </c>
      <c r="AC3251" s="16" t="str">
        <f t="shared" si="150"/>
        <v/>
      </c>
      <c r="AD3251" s="17">
        <f t="shared" si="151"/>
        <v>2688</v>
      </c>
      <c r="AE3251" s="17">
        <f t="shared" si="152"/>
        <v>0</v>
      </c>
      <c r="AF3251" s="10" t="s">
        <v>7919</v>
      </c>
      <c r="AG3251" s="5" t="s">
        <v>7916</v>
      </c>
      <c r="AH3251" s="5" t="s">
        <v>6595</v>
      </c>
      <c r="AI3251" s="5" t="s">
        <v>6598</v>
      </c>
    </row>
    <row r="3252" spans="1:35" ht="10" customHeight="1" x14ac:dyDescent="0.2">
      <c r="A3252" s="5" t="s">
        <v>7790</v>
      </c>
      <c r="B3252" s="5" t="s">
        <v>45</v>
      </c>
      <c r="C3252" s="5" t="s">
        <v>7920</v>
      </c>
      <c r="D3252" s="5" t="s">
        <v>7921</v>
      </c>
      <c r="E3252" s="10" t="s">
        <v>57</v>
      </c>
      <c r="F3252" s="5" t="s">
        <v>7829</v>
      </c>
      <c r="I3252" s="11">
        <v>6</v>
      </c>
      <c r="K3252" s="10" t="s">
        <v>50</v>
      </c>
      <c r="L3252" s="5" t="s">
        <v>51</v>
      </c>
      <c r="M3252" s="5" t="s">
        <v>52</v>
      </c>
      <c r="O3252" s="12"/>
      <c r="P3252" s="13">
        <v>1622</v>
      </c>
      <c r="Q3252" s="13">
        <v>2046</v>
      </c>
      <c r="S3252" s="13">
        <v>2679</v>
      </c>
      <c r="T3252" s="13">
        <v>0</v>
      </c>
      <c r="U3252" s="13">
        <v>2679</v>
      </c>
      <c r="AC3252" s="16" t="str">
        <f t="shared" si="150"/>
        <v/>
      </c>
      <c r="AD3252" s="17">
        <f t="shared" si="151"/>
        <v>2679</v>
      </c>
      <c r="AE3252" s="17">
        <f t="shared" si="152"/>
        <v>0</v>
      </c>
      <c r="AF3252" s="10" t="s">
        <v>7922</v>
      </c>
      <c r="AG3252" s="5" t="s">
        <v>193</v>
      </c>
      <c r="AH3252" s="5" t="s">
        <v>6525</v>
      </c>
    </row>
    <row r="3253" spans="1:35" ht="10" customHeight="1" x14ac:dyDescent="0.2">
      <c r="A3253" s="5" t="s">
        <v>7790</v>
      </c>
      <c r="B3253" s="5" t="s">
        <v>45</v>
      </c>
      <c r="C3253" s="5" t="s">
        <v>7923</v>
      </c>
      <c r="D3253" s="5" t="s">
        <v>7924</v>
      </c>
      <c r="E3253" s="10" t="s">
        <v>57</v>
      </c>
      <c r="F3253" s="5" t="s">
        <v>7829</v>
      </c>
      <c r="I3253" s="11">
        <v>6</v>
      </c>
      <c r="K3253" s="12"/>
      <c r="O3253" s="12"/>
      <c r="P3253" s="13">
        <v>2324</v>
      </c>
      <c r="Q3253" s="13">
        <v>2515</v>
      </c>
      <c r="S3253" s="13">
        <v>2023</v>
      </c>
      <c r="T3253" s="13">
        <v>0</v>
      </c>
      <c r="U3253" s="13">
        <v>2023</v>
      </c>
      <c r="AC3253" s="16" t="str">
        <f t="shared" si="150"/>
        <v/>
      </c>
      <c r="AD3253" s="17">
        <f t="shared" si="151"/>
        <v>2023</v>
      </c>
      <c r="AE3253" s="17">
        <f t="shared" si="152"/>
        <v>0</v>
      </c>
      <c r="AF3253" s="10" t="s">
        <v>7925</v>
      </c>
      <c r="AG3253" s="5" t="s">
        <v>7916</v>
      </c>
      <c r="AH3253" s="5" t="s">
        <v>7500</v>
      </c>
    </row>
    <row r="3254" spans="1:35" ht="10" customHeight="1" x14ac:dyDescent="0.2">
      <c r="A3254" s="5" t="s">
        <v>7790</v>
      </c>
      <c r="B3254" s="5" t="s">
        <v>45</v>
      </c>
      <c r="C3254" s="5" t="s">
        <v>7926</v>
      </c>
      <c r="D3254" s="5" t="s">
        <v>7927</v>
      </c>
      <c r="E3254" s="10" t="s">
        <v>57</v>
      </c>
      <c r="F3254" s="5" t="s">
        <v>7829</v>
      </c>
      <c r="I3254" s="11">
        <v>6</v>
      </c>
      <c r="K3254" s="10" t="s">
        <v>50</v>
      </c>
      <c r="L3254" s="5" t="s">
        <v>51</v>
      </c>
      <c r="M3254" s="5" t="s">
        <v>119</v>
      </c>
      <c r="O3254" s="12"/>
      <c r="P3254" s="13">
        <v>1874</v>
      </c>
      <c r="Q3254" s="13">
        <v>1000</v>
      </c>
      <c r="S3254" s="13">
        <v>1929</v>
      </c>
      <c r="T3254" s="13">
        <v>0</v>
      </c>
      <c r="U3254" s="13">
        <v>1929</v>
      </c>
      <c r="AC3254" s="16" t="str">
        <f t="shared" si="150"/>
        <v/>
      </c>
      <c r="AD3254" s="17">
        <f t="shared" si="151"/>
        <v>1929</v>
      </c>
      <c r="AE3254" s="17">
        <f t="shared" si="152"/>
        <v>0</v>
      </c>
      <c r="AF3254" s="10" t="s">
        <v>7928</v>
      </c>
      <c r="AG3254" s="5" t="s">
        <v>193</v>
      </c>
      <c r="AH3254" s="5" t="s">
        <v>6442</v>
      </c>
    </row>
    <row r="3255" spans="1:35" ht="10" customHeight="1" x14ac:dyDescent="0.2">
      <c r="A3255" s="5" t="s">
        <v>7790</v>
      </c>
      <c r="B3255" s="5" t="s">
        <v>45</v>
      </c>
      <c r="C3255" s="5" t="s">
        <v>7929</v>
      </c>
      <c r="D3255" s="5" t="s">
        <v>7930</v>
      </c>
      <c r="E3255" s="10" t="s">
        <v>57</v>
      </c>
      <c r="F3255" s="5" t="s">
        <v>7931</v>
      </c>
      <c r="I3255" s="11">
        <v>6</v>
      </c>
      <c r="K3255" s="10" t="s">
        <v>50</v>
      </c>
      <c r="L3255" s="5" t="s">
        <v>51</v>
      </c>
      <c r="M3255" s="5" t="s">
        <v>52</v>
      </c>
      <c r="N3255" s="5" t="s">
        <v>88</v>
      </c>
      <c r="O3255" s="12"/>
      <c r="P3255" s="13">
        <v>478691</v>
      </c>
      <c r="Q3255" s="13">
        <v>0</v>
      </c>
      <c r="S3255" s="13">
        <v>0</v>
      </c>
      <c r="T3255" s="13">
        <v>0</v>
      </c>
      <c r="U3255" s="13">
        <v>0</v>
      </c>
      <c r="AC3255" s="16" t="str">
        <f t="shared" si="150"/>
        <v/>
      </c>
      <c r="AD3255" s="17">
        <f t="shared" si="151"/>
        <v>0</v>
      </c>
      <c r="AE3255" s="17">
        <f t="shared" si="152"/>
        <v>0</v>
      </c>
      <c r="AF3255" s="10" t="s">
        <v>7932</v>
      </c>
      <c r="AG3255" s="5" t="s">
        <v>7933</v>
      </c>
      <c r="AH3255" s="5" t="s">
        <v>7934</v>
      </c>
    </row>
    <row r="3256" spans="1:35" ht="10" customHeight="1" x14ac:dyDescent="0.2">
      <c r="A3256" s="5" t="s">
        <v>7935</v>
      </c>
      <c r="B3256" s="5" t="s">
        <v>45</v>
      </c>
      <c r="C3256" s="5" t="s">
        <v>7936</v>
      </c>
      <c r="D3256" s="5" t="s">
        <v>7937</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6" t="str">
        <f t="shared" si="150"/>
        <v>ADD</v>
      </c>
      <c r="AD3256" s="17">
        <f t="shared" si="151"/>
        <v>2678712</v>
      </c>
      <c r="AE3256" s="17">
        <f t="shared" si="152"/>
        <v>3912267</v>
      </c>
      <c r="AF3256" s="10" t="s">
        <v>7938</v>
      </c>
      <c r="AG3256" s="5" t="s">
        <v>55</v>
      </c>
      <c r="AH3256" s="5" t="s">
        <v>7936</v>
      </c>
    </row>
    <row r="3257" spans="1:35" ht="10" customHeight="1" x14ac:dyDescent="0.2">
      <c r="A3257" s="5" t="s">
        <v>7935</v>
      </c>
      <c r="B3257" s="5" t="s">
        <v>45</v>
      </c>
      <c r="D3257" s="5" t="s">
        <v>7939</v>
      </c>
      <c r="E3257" s="10" t="s">
        <v>57</v>
      </c>
      <c r="F3257" s="5" t="s">
        <v>7940</v>
      </c>
      <c r="I3257" s="11">
        <v>4</v>
      </c>
      <c r="K3257" s="10" t="s">
        <v>50</v>
      </c>
      <c r="L3257" s="5" t="s">
        <v>51</v>
      </c>
      <c r="M3257" s="5" t="s">
        <v>52</v>
      </c>
      <c r="N3257" s="5" t="s">
        <v>4752</v>
      </c>
      <c r="O3257" s="12"/>
      <c r="P3257" s="13">
        <v>304115</v>
      </c>
      <c r="Q3257" s="13">
        <v>209997</v>
      </c>
      <c r="S3257" s="13">
        <v>94372</v>
      </c>
      <c r="U3257" s="13">
        <v>94372</v>
      </c>
      <c r="AC3257" s="16" t="str">
        <f t="shared" si="150"/>
        <v/>
      </c>
      <c r="AD3257" s="17">
        <f t="shared" si="151"/>
        <v>94372</v>
      </c>
      <c r="AE3257" s="17">
        <f t="shared" si="152"/>
        <v>0</v>
      </c>
      <c r="AF3257" s="10" t="s">
        <v>7941</v>
      </c>
      <c r="AG3257" s="5" t="s">
        <v>478</v>
      </c>
      <c r="AH3257" s="5" t="s">
        <v>7936</v>
      </c>
      <c r="AI3257" s="5" t="s">
        <v>7942</v>
      </c>
    </row>
    <row r="3258" spans="1:35" ht="10" customHeight="1" x14ac:dyDescent="0.2">
      <c r="A3258" s="5" t="s">
        <v>7935</v>
      </c>
      <c r="B3258" s="5" t="s">
        <v>45</v>
      </c>
      <c r="D3258" s="5" t="s">
        <v>7943</v>
      </c>
      <c r="E3258" s="10" t="s">
        <v>57</v>
      </c>
      <c r="F3258" s="5" t="s">
        <v>7940</v>
      </c>
      <c r="I3258" s="11">
        <v>4</v>
      </c>
      <c r="K3258" s="10" t="s">
        <v>50</v>
      </c>
      <c r="L3258" s="5" t="s">
        <v>51</v>
      </c>
      <c r="M3258" s="5" t="s">
        <v>52</v>
      </c>
      <c r="O3258" s="12"/>
      <c r="P3258" s="13">
        <v>716119</v>
      </c>
      <c r="Q3258" s="13">
        <v>777853</v>
      </c>
      <c r="S3258" s="13">
        <v>873363</v>
      </c>
      <c r="U3258" s="13">
        <v>873363</v>
      </c>
      <c r="AC3258" s="16" t="str">
        <f t="shared" si="150"/>
        <v/>
      </c>
      <c r="AD3258" s="17">
        <f t="shared" si="151"/>
        <v>873363</v>
      </c>
      <c r="AE3258" s="17">
        <f t="shared" si="152"/>
        <v>0</v>
      </c>
      <c r="AF3258" s="10" t="s">
        <v>7944</v>
      </c>
      <c r="AG3258" s="5" t="s">
        <v>821</v>
      </c>
      <c r="AH3258" s="5" t="s">
        <v>7936</v>
      </c>
      <c r="AI3258" s="5" t="s">
        <v>7945</v>
      </c>
    </row>
    <row r="3259" spans="1:35" ht="10" customHeight="1" x14ac:dyDescent="0.2">
      <c r="A3259" s="5" t="s">
        <v>7935</v>
      </c>
      <c r="B3259" s="5" t="s">
        <v>45</v>
      </c>
      <c r="D3259" s="5" t="s">
        <v>7946</v>
      </c>
      <c r="E3259" s="10" t="s">
        <v>57</v>
      </c>
      <c r="F3259" s="5" t="s">
        <v>7940</v>
      </c>
      <c r="I3259" s="11">
        <v>4</v>
      </c>
      <c r="K3259" s="10" t="s">
        <v>50</v>
      </c>
      <c r="L3259" s="5" t="s">
        <v>51</v>
      </c>
      <c r="M3259" s="5" t="s">
        <v>52</v>
      </c>
      <c r="N3259" s="5" t="s">
        <v>53</v>
      </c>
      <c r="O3259" s="12"/>
      <c r="P3259" s="13">
        <v>264471</v>
      </c>
      <c r="Q3259" s="13">
        <v>806017</v>
      </c>
      <c r="S3259" s="13">
        <v>1614294</v>
      </c>
      <c r="U3259" s="13">
        <v>1614294</v>
      </c>
      <c r="AC3259" s="16" t="str">
        <f t="shared" si="150"/>
        <v/>
      </c>
      <c r="AD3259" s="17">
        <f t="shared" si="151"/>
        <v>1614294</v>
      </c>
      <c r="AE3259" s="17">
        <f t="shared" si="152"/>
        <v>0</v>
      </c>
      <c r="AF3259" s="10" t="s">
        <v>7947</v>
      </c>
      <c r="AG3259" s="5" t="s">
        <v>1004</v>
      </c>
      <c r="AH3259" s="5" t="s">
        <v>7936</v>
      </c>
      <c r="AI3259" s="5" t="s">
        <v>7942</v>
      </c>
    </row>
    <row r="3260" spans="1:35" ht="10" customHeight="1" x14ac:dyDescent="0.2">
      <c r="A3260" s="5" t="s">
        <v>7935</v>
      </c>
      <c r="B3260" s="5" t="s">
        <v>45</v>
      </c>
      <c r="C3260" s="5" t="s">
        <v>7948</v>
      </c>
      <c r="D3260" s="5" t="s">
        <v>7949</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6" t="str">
        <f t="shared" si="150"/>
        <v/>
      </c>
      <c r="AD3260" s="17">
        <f t="shared" si="151"/>
        <v>352222</v>
      </c>
      <c r="AE3260" s="17">
        <f t="shared" si="152"/>
        <v>0</v>
      </c>
      <c r="AF3260" s="10" t="s">
        <v>7950</v>
      </c>
      <c r="AG3260" s="5" t="s">
        <v>1109</v>
      </c>
      <c r="AH3260" s="5" t="s">
        <v>7948</v>
      </c>
      <c r="AI3260" s="5" t="s">
        <v>7949</v>
      </c>
    </row>
    <row r="3261" spans="1:35" ht="10" customHeight="1" x14ac:dyDescent="0.2">
      <c r="A3261" s="5" t="s">
        <v>7935</v>
      </c>
      <c r="B3261" s="5" t="s">
        <v>45</v>
      </c>
      <c r="C3261" s="5" t="s">
        <v>7951</v>
      </c>
      <c r="D3261" s="5" t="s">
        <v>7952</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6" t="str">
        <f t="shared" si="150"/>
        <v>ADD</v>
      </c>
      <c r="AD3261" s="17">
        <f t="shared" si="151"/>
        <v>686888</v>
      </c>
      <c r="AE3261" s="17">
        <f t="shared" si="152"/>
        <v>3008909</v>
      </c>
      <c r="AF3261" s="10" t="s">
        <v>7953</v>
      </c>
      <c r="AG3261" s="5" t="s">
        <v>1157</v>
      </c>
      <c r="AH3261" s="5" t="s">
        <v>7951</v>
      </c>
      <c r="AI3261" s="5" t="s">
        <v>7952</v>
      </c>
    </row>
    <row r="3262" spans="1:35" ht="10" customHeight="1" x14ac:dyDescent="0.2">
      <c r="A3262" s="5" t="s">
        <v>7935</v>
      </c>
      <c r="B3262" s="5" t="s">
        <v>45</v>
      </c>
      <c r="C3262" s="5" t="s">
        <v>7954</v>
      </c>
      <c r="D3262" s="5" t="s">
        <v>7955</v>
      </c>
      <c r="E3262" s="10" t="s">
        <v>188</v>
      </c>
      <c r="I3262" s="11">
        <v>4</v>
      </c>
      <c r="K3262" s="12"/>
      <c r="O3262" s="12"/>
      <c r="P3262" s="13">
        <v>385678</v>
      </c>
      <c r="Q3262" s="13">
        <v>191493</v>
      </c>
      <c r="S3262" s="13">
        <v>69913</v>
      </c>
      <c r="U3262" s="13">
        <v>69913</v>
      </c>
      <c r="AC3262" s="16" t="str">
        <f t="shared" si="150"/>
        <v/>
      </c>
      <c r="AD3262" s="17">
        <f t="shared" si="151"/>
        <v>69913</v>
      </c>
      <c r="AE3262" s="17">
        <f t="shared" si="152"/>
        <v>0</v>
      </c>
      <c r="AF3262" s="10" t="s">
        <v>7956</v>
      </c>
      <c r="AG3262" s="5" t="s">
        <v>1290</v>
      </c>
      <c r="AH3262" s="5" t="s">
        <v>7954</v>
      </c>
      <c r="AI3262" s="5" t="s">
        <v>7955</v>
      </c>
    </row>
    <row r="3263" spans="1:35" ht="10" customHeight="1" x14ac:dyDescent="0.2">
      <c r="A3263" s="5" t="s">
        <v>7935</v>
      </c>
      <c r="B3263" s="5" t="s">
        <v>45</v>
      </c>
      <c r="C3263" s="5" t="s">
        <v>7957</v>
      </c>
      <c r="D3263" s="5" t="s">
        <v>7958</v>
      </c>
      <c r="E3263" s="10" t="s">
        <v>188</v>
      </c>
      <c r="I3263" s="11">
        <v>4</v>
      </c>
      <c r="K3263" s="12"/>
      <c r="O3263" s="12"/>
      <c r="P3263" s="13">
        <v>197650</v>
      </c>
      <c r="Q3263" s="13">
        <v>86023</v>
      </c>
      <c r="S3263" s="13">
        <v>84713</v>
      </c>
      <c r="U3263" s="13">
        <v>84713</v>
      </c>
      <c r="AC3263" s="16" t="str">
        <f t="shared" si="150"/>
        <v/>
      </c>
      <c r="AD3263" s="17">
        <f t="shared" si="151"/>
        <v>84713</v>
      </c>
      <c r="AE3263" s="17">
        <f t="shared" si="152"/>
        <v>0</v>
      </c>
      <c r="AF3263" s="10" t="s">
        <v>7959</v>
      </c>
      <c r="AG3263" s="5" t="s">
        <v>81</v>
      </c>
      <c r="AH3263" s="5" t="s">
        <v>7957</v>
      </c>
      <c r="AI3263" s="5" t="s">
        <v>7960</v>
      </c>
    </row>
    <row r="3264" spans="1:35" ht="10" customHeight="1" x14ac:dyDescent="0.2">
      <c r="A3264" s="5" t="s">
        <v>7935</v>
      </c>
      <c r="B3264" s="5" t="s">
        <v>45</v>
      </c>
      <c r="C3264" s="5" t="s">
        <v>6525</v>
      </c>
      <c r="D3264" s="5" t="s">
        <v>7961</v>
      </c>
      <c r="E3264" s="10" t="s">
        <v>188</v>
      </c>
      <c r="I3264" s="11">
        <v>4</v>
      </c>
      <c r="K3264" s="12"/>
      <c r="O3264" s="12"/>
      <c r="P3264" s="13">
        <v>0</v>
      </c>
      <c r="Q3264" s="13">
        <v>0</v>
      </c>
      <c r="S3264" s="13">
        <v>301858</v>
      </c>
      <c r="U3264" s="13">
        <v>301858</v>
      </c>
      <c r="AC3264" s="16" t="str">
        <f t="shared" si="150"/>
        <v/>
      </c>
      <c r="AD3264" s="17">
        <f t="shared" si="151"/>
        <v>301858</v>
      </c>
      <c r="AE3264" s="17">
        <f t="shared" si="152"/>
        <v>0</v>
      </c>
      <c r="AF3264" s="10" t="s">
        <v>7962</v>
      </c>
      <c r="AG3264" s="5" t="s">
        <v>1750</v>
      </c>
      <c r="AH3264" s="5" t="s">
        <v>6525</v>
      </c>
    </row>
    <row r="3265" spans="1:35" ht="10" customHeight="1" x14ac:dyDescent="0.2">
      <c r="A3265" s="5" t="s">
        <v>7935</v>
      </c>
      <c r="B3265" s="5" t="s">
        <v>45</v>
      </c>
      <c r="C3265" s="5" t="s">
        <v>7963</v>
      </c>
      <c r="D3265" s="5" t="s">
        <v>7964</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6" t="str">
        <f t="shared" si="150"/>
        <v>ADD</v>
      </c>
      <c r="AD3265" s="17">
        <f t="shared" si="151"/>
        <v>1008875</v>
      </c>
      <c r="AE3265" s="17">
        <f t="shared" si="152"/>
        <v>4332380</v>
      </c>
      <c r="AF3265" s="10" t="s">
        <v>7965</v>
      </c>
      <c r="AG3265" s="5" t="s">
        <v>1773</v>
      </c>
      <c r="AH3265" s="5" t="s">
        <v>7963</v>
      </c>
      <c r="AI3265" s="5" t="s">
        <v>7966</v>
      </c>
    </row>
    <row r="3266" spans="1:35" ht="10" customHeight="1" x14ac:dyDescent="0.2">
      <c r="A3266" s="5" t="s">
        <v>7935</v>
      </c>
      <c r="B3266" s="5" t="s">
        <v>45</v>
      </c>
      <c r="C3266" s="5" t="s">
        <v>7963</v>
      </c>
      <c r="D3266" s="5" t="s">
        <v>7967</v>
      </c>
      <c r="E3266" s="10" t="s">
        <v>57</v>
      </c>
      <c r="F3266" s="5" t="s">
        <v>7968</v>
      </c>
      <c r="I3266" s="11">
        <v>4</v>
      </c>
      <c r="K3266" s="10" t="s">
        <v>50</v>
      </c>
      <c r="L3266" s="5" t="s">
        <v>51</v>
      </c>
      <c r="M3266" s="5" t="s">
        <v>119</v>
      </c>
      <c r="O3266" s="12"/>
      <c r="P3266" s="13">
        <v>117620</v>
      </c>
      <c r="Q3266" s="13">
        <v>107830</v>
      </c>
      <c r="S3266" s="13">
        <v>0</v>
      </c>
      <c r="U3266" s="13">
        <v>0</v>
      </c>
      <c r="AC3266" s="16" t="str">
        <f t="shared" si="150"/>
        <v/>
      </c>
      <c r="AD3266" s="17">
        <f t="shared" si="151"/>
        <v>0</v>
      </c>
      <c r="AE3266" s="17">
        <f t="shared" si="152"/>
        <v>0</v>
      </c>
      <c r="AF3266" s="10" t="s">
        <v>7969</v>
      </c>
      <c r="AG3266" s="5" t="s">
        <v>90</v>
      </c>
      <c r="AH3266" s="5" t="s">
        <v>7963</v>
      </c>
      <c r="AI3266" s="5" t="s">
        <v>7966</v>
      </c>
    </row>
    <row r="3267" spans="1:35" ht="10" customHeight="1" x14ac:dyDescent="0.2">
      <c r="A3267" s="5" t="s">
        <v>7935</v>
      </c>
      <c r="B3267" s="5" t="s">
        <v>45</v>
      </c>
      <c r="C3267" s="5" t="s">
        <v>7970</v>
      </c>
      <c r="D3267" s="5" t="s">
        <v>7971</v>
      </c>
      <c r="E3267" s="10" t="s">
        <v>188</v>
      </c>
      <c r="I3267" s="11">
        <v>4</v>
      </c>
      <c r="K3267" s="12"/>
      <c r="O3267" s="12"/>
      <c r="P3267" s="13">
        <v>63035</v>
      </c>
      <c r="Q3267" s="13">
        <v>76108</v>
      </c>
      <c r="S3267" s="13">
        <v>86255</v>
      </c>
      <c r="U3267" s="13">
        <v>86255</v>
      </c>
      <c r="AC3267" s="16" t="str">
        <f t="shared" si="150"/>
        <v/>
      </c>
      <c r="AD3267" s="17">
        <f t="shared" si="151"/>
        <v>86255</v>
      </c>
      <c r="AE3267" s="17">
        <f t="shared" si="152"/>
        <v>0</v>
      </c>
      <c r="AF3267" s="10" t="s">
        <v>7972</v>
      </c>
      <c r="AG3267" s="5" t="s">
        <v>2001</v>
      </c>
      <c r="AH3267" s="5" t="s">
        <v>7970</v>
      </c>
      <c r="AI3267" s="5" t="s">
        <v>7971</v>
      </c>
    </row>
    <row r="3268" spans="1:35" ht="10" customHeight="1" x14ac:dyDescent="0.2">
      <c r="A3268" s="5" t="s">
        <v>7935</v>
      </c>
      <c r="B3268" s="5" t="s">
        <v>45</v>
      </c>
      <c r="C3268" s="5" t="s">
        <v>7973</v>
      </c>
      <c r="D3268" s="5" t="s">
        <v>7974</v>
      </c>
      <c r="E3268" s="12"/>
      <c r="I3268" s="11">
        <v>4</v>
      </c>
      <c r="K3268" s="12"/>
      <c r="O3268" s="12"/>
      <c r="P3268" s="13">
        <v>165221</v>
      </c>
      <c r="Q3268" s="13">
        <v>141021</v>
      </c>
      <c r="S3268" s="13">
        <v>122372</v>
      </c>
      <c r="U3268" s="13">
        <v>122372</v>
      </c>
      <c r="Z3268" s="13">
        <v>119166</v>
      </c>
      <c r="AB3268" s="13">
        <v>119166</v>
      </c>
      <c r="AC3268" s="16" t="str">
        <f t="shared" si="150"/>
        <v>ADD</v>
      </c>
      <c r="AD3268" s="17">
        <f t="shared" si="151"/>
        <v>122372</v>
      </c>
      <c r="AE3268" s="17">
        <f t="shared" si="152"/>
        <v>119166</v>
      </c>
      <c r="AF3268" s="10" t="s">
        <v>7975</v>
      </c>
      <c r="AG3268" s="5" t="s">
        <v>101</v>
      </c>
      <c r="AH3268" s="5" t="s">
        <v>7973</v>
      </c>
      <c r="AI3268" s="5" t="s">
        <v>7974</v>
      </c>
    </row>
    <row r="3269" spans="1:35" ht="10" customHeight="1" x14ac:dyDescent="0.2">
      <c r="A3269" s="5" t="s">
        <v>7935</v>
      </c>
      <c r="B3269" s="5" t="s">
        <v>45</v>
      </c>
      <c r="D3269" s="5" t="s">
        <v>7976</v>
      </c>
      <c r="E3269" s="10" t="s">
        <v>188</v>
      </c>
      <c r="I3269" s="11">
        <v>4</v>
      </c>
      <c r="K3269" s="12"/>
      <c r="O3269" s="12"/>
      <c r="P3269" s="13">
        <v>0</v>
      </c>
      <c r="Q3269" s="13">
        <v>0</v>
      </c>
      <c r="S3269" s="13">
        <v>0</v>
      </c>
      <c r="T3269" s="13">
        <v>47000</v>
      </c>
      <c r="U3269" s="13">
        <v>47000</v>
      </c>
      <c r="AC3269" s="16" t="str">
        <f t="shared" si="150"/>
        <v/>
      </c>
      <c r="AD3269" s="17">
        <f t="shared" si="151"/>
        <v>47000</v>
      </c>
      <c r="AE3269" s="17">
        <f t="shared" si="152"/>
        <v>0</v>
      </c>
      <c r="AF3269" s="10" t="s">
        <v>7977</v>
      </c>
      <c r="AG3269" s="5" t="s">
        <v>76</v>
      </c>
    </row>
    <row r="3270" spans="1:35" ht="10" customHeight="1" x14ac:dyDescent="0.2">
      <c r="A3270" s="5" t="s">
        <v>7935</v>
      </c>
      <c r="B3270" s="5" t="s">
        <v>45</v>
      </c>
      <c r="C3270" s="5" t="s">
        <v>7978</v>
      </c>
      <c r="D3270" s="5" t="s">
        <v>7979</v>
      </c>
      <c r="E3270" s="10" t="s">
        <v>188</v>
      </c>
      <c r="I3270" s="11">
        <v>4</v>
      </c>
      <c r="K3270" s="12"/>
      <c r="O3270" s="12"/>
      <c r="P3270" s="13">
        <v>73924</v>
      </c>
      <c r="Q3270" s="13">
        <v>55315</v>
      </c>
      <c r="S3270" s="13">
        <v>74152</v>
      </c>
      <c r="U3270" s="13">
        <v>74152</v>
      </c>
      <c r="AC3270" s="16" t="str">
        <f t="shared" ref="AC3270:AC3333" si="153">IF(OR(E3270="",E3270="[PARENT]"),"ADD",IF(E3270="[ALT_VIEW]","ALT",""))</f>
        <v/>
      </c>
      <c r="AD3270" s="17">
        <f t="shared" ref="AD3270:AD3333" si="154">IF(Y3270&lt;&gt;"",Y3270,IF(U3270&lt;&gt;"",U3270,S3270))</f>
        <v>74152</v>
      </c>
      <c r="AE3270" s="17">
        <f t="shared" ref="AE3270:AE3333" si="155">IF(AB3270&lt;&gt;"",AB3270,Z3270)</f>
        <v>0</v>
      </c>
      <c r="AF3270" s="10" t="s">
        <v>7980</v>
      </c>
      <c r="AG3270" s="5" t="s">
        <v>2264</v>
      </c>
      <c r="AH3270" s="5" t="s">
        <v>7978</v>
      </c>
      <c r="AI3270" s="5" t="s">
        <v>7979</v>
      </c>
    </row>
    <row r="3271" spans="1:35" ht="10" customHeight="1" x14ac:dyDescent="0.2">
      <c r="A3271" s="5" t="s">
        <v>7935</v>
      </c>
      <c r="B3271" s="5" t="s">
        <v>45</v>
      </c>
      <c r="C3271" s="5" t="s">
        <v>7981</v>
      </c>
      <c r="D3271" s="5" t="s">
        <v>7982</v>
      </c>
      <c r="E3271" s="10" t="s">
        <v>188</v>
      </c>
      <c r="I3271" s="11">
        <v>4</v>
      </c>
      <c r="K3271" s="12"/>
      <c r="O3271" s="12"/>
      <c r="P3271" s="13">
        <v>6923</v>
      </c>
      <c r="Q3271" s="13">
        <v>0</v>
      </c>
      <c r="S3271" s="13">
        <v>0</v>
      </c>
      <c r="U3271" s="13">
        <v>0</v>
      </c>
      <c r="AC3271" s="16" t="str">
        <f t="shared" si="153"/>
        <v/>
      </c>
      <c r="AD3271" s="17">
        <f t="shared" si="154"/>
        <v>0</v>
      </c>
      <c r="AE3271" s="17">
        <f t="shared" si="155"/>
        <v>0</v>
      </c>
      <c r="AF3271" s="10" t="s">
        <v>7983</v>
      </c>
      <c r="AG3271" s="5" t="s">
        <v>2396</v>
      </c>
      <c r="AH3271" s="5" t="s">
        <v>7981</v>
      </c>
      <c r="AI3271" s="5" t="s">
        <v>7984</v>
      </c>
    </row>
    <row r="3272" spans="1:35" ht="10" customHeight="1" x14ac:dyDescent="0.2">
      <c r="A3272" s="5" t="s">
        <v>7935</v>
      </c>
      <c r="B3272" s="5" t="s">
        <v>45</v>
      </c>
      <c r="C3272" s="5" t="s">
        <v>7985</v>
      </c>
      <c r="D3272" s="5" t="s">
        <v>7986</v>
      </c>
      <c r="E3272" s="10" t="s">
        <v>48</v>
      </c>
      <c r="I3272" s="11">
        <v>6</v>
      </c>
      <c r="K3272" s="12"/>
      <c r="O3272" s="12"/>
      <c r="P3272" s="13">
        <v>174725</v>
      </c>
      <c r="Q3272" s="13">
        <v>180233</v>
      </c>
      <c r="S3272" s="13">
        <v>182704</v>
      </c>
      <c r="U3272" s="13">
        <v>182704</v>
      </c>
      <c r="Z3272" s="13">
        <v>179931</v>
      </c>
      <c r="AB3272" s="13">
        <v>179931</v>
      </c>
      <c r="AC3272" s="16" t="str">
        <f t="shared" si="153"/>
        <v>ADD</v>
      </c>
      <c r="AD3272" s="17">
        <f t="shared" si="154"/>
        <v>182704</v>
      </c>
      <c r="AE3272" s="17">
        <f t="shared" si="155"/>
        <v>179931</v>
      </c>
      <c r="AF3272" s="10" t="s">
        <v>7987</v>
      </c>
      <c r="AG3272" s="5" t="s">
        <v>2466</v>
      </c>
      <c r="AH3272" s="5" t="s">
        <v>7985</v>
      </c>
      <c r="AI3272" s="5" t="s">
        <v>7988</v>
      </c>
    </row>
    <row r="3273" spans="1:35" ht="10" customHeight="1" x14ac:dyDescent="0.2">
      <c r="A3273" s="5" t="s">
        <v>7935</v>
      </c>
      <c r="B3273" s="5" t="s">
        <v>45</v>
      </c>
      <c r="D3273" s="5" t="s">
        <v>7989</v>
      </c>
      <c r="E3273" s="10" t="s">
        <v>57</v>
      </c>
      <c r="F3273" s="5" t="s">
        <v>7990</v>
      </c>
      <c r="I3273" s="11">
        <v>6</v>
      </c>
      <c r="K3273" s="12"/>
      <c r="O3273" s="12"/>
      <c r="P3273" s="13">
        <v>75899</v>
      </c>
      <c r="Q3273" s="13">
        <v>74836</v>
      </c>
      <c r="S3273" s="13">
        <v>76110</v>
      </c>
      <c r="U3273" s="13">
        <v>76110</v>
      </c>
      <c r="AC3273" s="16" t="str">
        <f t="shared" si="153"/>
        <v/>
      </c>
      <c r="AD3273" s="17">
        <f t="shared" si="154"/>
        <v>76110</v>
      </c>
      <c r="AE3273" s="17">
        <f t="shared" si="155"/>
        <v>0</v>
      </c>
      <c r="AF3273" s="10" t="s">
        <v>7991</v>
      </c>
      <c r="AG3273" s="5" t="s">
        <v>2509</v>
      </c>
      <c r="AH3273" s="5" t="s">
        <v>7985</v>
      </c>
      <c r="AI3273" s="5" t="s">
        <v>7988</v>
      </c>
    </row>
    <row r="3274" spans="1:35" ht="10" customHeight="1" x14ac:dyDescent="0.2">
      <c r="A3274" s="5" t="s">
        <v>7935</v>
      </c>
      <c r="B3274" s="5" t="s">
        <v>45</v>
      </c>
      <c r="D3274" s="5" t="s">
        <v>7992</v>
      </c>
      <c r="E3274" s="10" t="s">
        <v>57</v>
      </c>
      <c r="F3274" s="5" t="s">
        <v>7990</v>
      </c>
      <c r="I3274" s="11">
        <v>6</v>
      </c>
      <c r="K3274" s="12"/>
      <c r="O3274" s="12"/>
      <c r="P3274" s="13">
        <v>70118</v>
      </c>
      <c r="Q3274" s="13">
        <v>78791</v>
      </c>
      <c r="S3274" s="13">
        <v>80015</v>
      </c>
      <c r="U3274" s="13">
        <v>80015</v>
      </c>
      <c r="AC3274" s="16" t="str">
        <f t="shared" si="153"/>
        <v/>
      </c>
      <c r="AD3274" s="17">
        <f t="shared" si="154"/>
        <v>80015</v>
      </c>
      <c r="AE3274" s="17">
        <f t="shared" si="155"/>
        <v>0</v>
      </c>
      <c r="AF3274" s="10" t="s">
        <v>7993</v>
      </c>
      <c r="AG3274" s="5" t="s">
        <v>7564</v>
      </c>
      <c r="AH3274" s="5" t="s">
        <v>7985</v>
      </c>
      <c r="AI3274" s="5" t="s">
        <v>7994</v>
      </c>
    </row>
    <row r="3275" spans="1:35" ht="10" customHeight="1" x14ac:dyDescent="0.2">
      <c r="A3275" s="5" t="s">
        <v>7935</v>
      </c>
      <c r="B3275" s="5" t="s">
        <v>45</v>
      </c>
      <c r="D3275" s="5" t="s">
        <v>7995</v>
      </c>
      <c r="E3275" s="10" t="s">
        <v>57</v>
      </c>
      <c r="F3275" s="5" t="s">
        <v>7990</v>
      </c>
      <c r="I3275" s="11">
        <v>6</v>
      </c>
      <c r="K3275" s="12"/>
      <c r="O3275" s="12"/>
      <c r="P3275" s="13">
        <v>432</v>
      </c>
      <c r="AC3275" s="16" t="str">
        <f t="shared" si="153"/>
        <v/>
      </c>
      <c r="AD3275" s="17">
        <f t="shared" si="154"/>
        <v>0</v>
      </c>
      <c r="AE3275" s="17">
        <f t="shared" si="155"/>
        <v>0</v>
      </c>
      <c r="AF3275" s="10" t="s">
        <v>7996</v>
      </c>
      <c r="AG3275" s="5" t="s">
        <v>2705</v>
      </c>
      <c r="AH3275" s="5" t="s">
        <v>7985</v>
      </c>
      <c r="AI3275" s="5" t="s">
        <v>7997</v>
      </c>
    </row>
    <row r="3276" spans="1:35" ht="10" customHeight="1" x14ac:dyDescent="0.2">
      <c r="A3276" s="5" t="s">
        <v>7935</v>
      </c>
      <c r="B3276" s="5" t="s">
        <v>45</v>
      </c>
      <c r="D3276" s="5" t="s">
        <v>7998</v>
      </c>
      <c r="E3276" s="10" t="s">
        <v>57</v>
      </c>
      <c r="F3276" s="5" t="s">
        <v>7990</v>
      </c>
      <c r="I3276" s="11">
        <v>6</v>
      </c>
      <c r="K3276" s="12"/>
      <c r="O3276" s="12"/>
      <c r="P3276" s="13">
        <v>28276</v>
      </c>
      <c r="Q3276" s="13">
        <v>26606</v>
      </c>
      <c r="S3276" s="13">
        <v>26579</v>
      </c>
      <c r="U3276" s="13">
        <v>26579</v>
      </c>
      <c r="AC3276" s="16" t="str">
        <f t="shared" si="153"/>
        <v/>
      </c>
      <c r="AD3276" s="17">
        <f t="shared" si="154"/>
        <v>26579</v>
      </c>
      <c r="AE3276" s="17">
        <f t="shared" si="155"/>
        <v>0</v>
      </c>
      <c r="AF3276" s="10" t="s">
        <v>7999</v>
      </c>
      <c r="AG3276" s="5" t="s">
        <v>2712</v>
      </c>
      <c r="AH3276" s="5" t="s">
        <v>7985</v>
      </c>
      <c r="AI3276" s="5" t="s">
        <v>8000</v>
      </c>
    </row>
    <row r="3277" spans="1:35" ht="10" customHeight="1" x14ac:dyDescent="0.2">
      <c r="A3277" s="5" t="s">
        <v>7935</v>
      </c>
      <c r="B3277" s="5" t="s">
        <v>45</v>
      </c>
      <c r="C3277" s="5" t="s">
        <v>8001</v>
      </c>
      <c r="D3277" s="5" t="s">
        <v>8002</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6" t="str">
        <f t="shared" si="153"/>
        <v>ADD</v>
      </c>
      <c r="AD3277" s="17">
        <f t="shared" si="154"/>
        <v>3490</v>
      </c>
      <c r="AE3277" s="17">
        <f t="shared" si="155"/>
        <v>3877</v>
      </c>
      <c r="AF3277" s="10" t="s">
        <v>8003</v>
      </c>
      <c r="AG3277" s="5" t="s">
        <v>2735</v>
      </c>
      <c r="AH3277" s="5" t="s">
        <v>8001</v>
      </c>
      <c r="AI3277" s="5" t="s">
        <v>8002</v>
      </c>
    </row>
    <row r="3278" spans="1:35" ht="10" customHeight="1" x14ac:dyDescent="0.2">
      <c r="A3278" s="5" t="s">
        <v>7935</v>
      </c>
      <c r="B3278" s="5" t="s">
        <v>45</v>
      </c>
      <c r="C3278" s="5" t="s">
        <v>8004</v>
      </c>
      <c r="D3278" s="5" t="s">
        <v>8005</v>
      </c>
      <c r="E3278" s="10" t="s">
        <v>48</v>
      </c>
      <c r="I3278" s="11">
        <v>4</v>
      </c>
      <c r="K3278" s="12"/>
      <c r="O3278" s="12"/>
      <c r="P3278" s="13">
        <v>599636</v>
      </c>
      <c r="Q3278" s="13">
        <v>326435</v>
      </c>
      <c r="S3278" s="13">
        <v>243217</v>
      </c>
      <c r="T3278" s="13">
        <v>288225</v>
      </c>
      <c r="U3278" s="13">
        <v>531442</v>
      </c>
      <c r="Z3278" s="13">
        <v>670456</v>
      </c>
      <c r="AA3278" s="13">
        <v>236389</v>
      </c>
      <c r="AB3278" s="13">
        <v>906845</v>
      </c>
      <c r="AC3278" s="16" t="str">
        <f t="shared" si="153"/>
        <v>ADD</v>
      </c>
      <c r="AD3278" s="17">
        <f t="shared" si="154"/>
        <v>531442</v>
      </c>
      <c r="AE3278" s="17">
        <f t="shared" si="155"/>
        <v>906845</v>
      </c>
      <c r="AF3278" s="10" t="s">
        <v>8006</v>
      </c>
      <c r="AG3278" s="5" t="s">
        <v>2761</v>
      </c>
      <c r="AH3278" s="5" t="s">
        <v>8004</v>
      </c>
      <c r="AI3278" s="5" t="s">
        <v>8007</v>
      </c>
    </row>
    <row r="3279" spans="1:35" ht="10" customHeight="1" x14ac:dyDescent="0.2">
      <c r="A3279" s="5" t="s">
        <v>7935</v>
      </c>
      <c r="B3279" s="5" t="s">
        <v>45</v>
      </c>
      <c r="D3279" s="5" t="s">
        <v>8008</v>
      </c>
      <c r="E3279" s="10" t="s">
        <v>57</v>
      </c>
      <c r="F3279" s="5" t="s">
        <v>8009</v>
      </c>
      <c r="I3279" s="11">
        <v>4</v>
      </c>
      <c r="K3279" s="12"/>
      <c r="O3279" s="12"/>
      <c r="P3279" s="13">
        <v>543955</v>
      </c>
      <c r="Q3279" s="13">
        <v>150850</v>
      </c>
      <c r="S3279" s="13">
        <v>108621</v>
      </c>
      <c r="U3279" s="13">
        <v>108621</v>
      </c>
      <c r="AC3279" s="16" t="str">
        <f t="shared" si="153"/>
        <v/>
      </c>
      <c r="AD3279" s="17">
        <f t="shared" si="154"/>
        <v>108621</v>
      </c>
      <c r="AE3279" s="17">
        <f t="shared" si="155"/>
        <v>0</v>
      </c>
      <c r="AF3279" s="10" t="s">
        <v>8010</v>
      </c>
      <c r="AG3279" s="5" t="s">
        <v>2774</v>
      </c>
      <c r="AH3279" s="5" t="s">
        <v>8004</v>
      </c>
      <c r="AI3279" s="5" t="s">
        <v>8007</v>
      </c>
    </row>
    <row r="3280" spans="1:35" ht="10" customHeight="1" x14ac:dyDescent="0.2">
      <c r="A3280" s="5" t="s">
        <v>7935</v>
      </c>
      <c r="B3280" s="5" t="s">
        <v>45</v>
      </c>
      <c r="D3280" s="5" t="s">
        <v>8011</v>
      </c>
      <c r="E3280" s="10" t="s">
        <v>57</v>
      </c>
      <c r="F3280" s="5" t="s">
        <v>8009</v>
      </c>
      <c r="I3280" s="11">
        <v>4</v>
      </c>
      <c r="K3280" s="12"/>
      <c r="O3280" s="12"/>
      <c r="P3280" s="13">
        <v>55681</v>
      </c>
      <c r="Q3280" s="13">
        <v>175585</v>
      </c>
      <c r="S3280" s="13">
        <v>134596</v>
      </c>
      <c r="U3280" s="13">
        <v>134596</v>
      </c>
      <c r="AC3280" s="16" t="str">
        <f t="shared" si="153"/>
        <v/>
      </c>
      <c r="AD3280" s="17">
        <f t="shared" si="154"/>
        <v>134596</v>
      </c>
      <c r="AE3280" s="17">
        <f t="shared" si="155"/>
        <v>0</v>
      </c>
      <c r="AF3280" s="10" t="s">
        <v>8012</v>
      </c>
      <c r="AG3280" s="5" t="s">
        <v>6559</v>
      </c>
      <c r="AH3280" s="5" t="s">
        <v>8004</v>
      </c>
      <c r="AI3280" s="5" t="s">
        <v>8013</v>
      </c>
    </row>
    <row r="3281" spans="1:35" ht="10" customHeight="1" x14ac:dyDescent="0.2">
      <c r="A3281" s="5" t="s">
        <v>7935</v>
      </c>
      <c r="B3281" s="5" t="s">
        <v>45</v>
      </c>
      <c r="C3281" s="5" t="s">
        <v>8014</v>
      </c>
      <c r="D3281" s="5" t="s">
        <v>8015</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6" t="str">
        <f t="shared" si="153"/>
        <v>ADD</v>
      </c>
      <c r="AD3281" s="17">
        <f t="shared" si="154"/>
        <v>32238</v>
      </c>
      <c r="AE3281" s="17">
        <f t="shared" si="155"/>
        <v>79801</v>
      </c>
      <c r="AF3281" s="10" t="s">
        <v>8016</v>
      </c>
      <c r="AG3281" s="5" t="s">
        <v>2927</v>
      </c>
      <c r="AH3281" s="5" t="s">
        <v>8014</v>
      </c>
      <c r="AI3281" s="5" t="s">
        <v>8015</v>
      </c>
    </row>
    <row r="3282" spans="1:35" ht="10" customHeight="1" x14ac:dyDescent="0.2">
      <c r="A3282" s="5" t="s">
        <v>7935</v>
      </c>
      <c r="B3282" s="5" t="s">
        <v>45</v>
      </c>
      <c r="C3282" s="5" t="s">
        <v>8014</v>
      </c>
      <c r="D3282" s="5" t="s">
        <v>8017</v>
      </c>
      <c r="E3282" s="10" t="s">
        <v>57</v>
      </c>
      <c r="F3282" s="5" t="s">
        <v>8018</v>
      </c>
      <c r="I3282" s="11">
        <v>4</v>
      </c>
      <c r="K3282" s="10" t="s">
        <v>50</v>
      </c>
      <c r="L3282" s="5" t="s">
        <v>51</v>
      </c>
      <c r="M3282" s="5" t="s">
        <v>119</v>
      </c>
      <c r="O3282" s="12"/>
      <c r="P3282" s="13">
        <v>5755</v>
      </c>
      <c r="Q3282" s="13">
        <v>4412</v>
      </c>
      <c r="S3282" s="13">
        <v>3059</v>
      </c>
      <c r="U3282" s="13">
        <v>3059</v>
      </c>
      <c r="AC3282" s="16" t="str">
        <f t="shared" si="153"/>
        <v/>
      </c>
      <c r="AD3282" s="17">
        <f t="shared" si="154"/>
        <v>3059</v>
      </c>
      <c r="AE3282" s="17">
        <f t="shared" si="155"/>
        <v>0</v>
      </c>
      <c r="AF3282" s="10" t="s">
        <v>8019</v>
      </c>
      <c r="AG3282" s="5" t="s">
        <v>3086</v>
      </c>
      <c r="AH3282" s="5" t="s">
        <v>8014</v>
      </c>
      <c r="AI3282" s="5" t="s">
        <v>8015</v>
      </c>
    </row>
    <row r="3283" spans="1:35" ht="10" customHeight="1" x14ac:dyDescent="0.2">
      <c r="A3283" s="5" t="s">
        <v>7935</v>
      </c>
      <c r="B3283" s="5" t="s">
        <v>45</v>
      </c>
      <c r="C3283" s="5" t="s">
        <v>8020</v>
      </c>
      <c r="D3283" s="5" t="s">
        <v>8021</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6" t="str">
        <f t="shared" si="153"/>
        <v>ADD</v>
      </c>
      <c r="AD3283" s="17">
        <f t="shared" si="154"/>
        <v>50857</v>
      </c>
      <c r="AE3283" s="17">
        <f t="shared" si="155"/>
        <v>1523814</v>
      </c>
      <c r="AF3283" s="10" t="s">
        <v>8022</v>
      </c>
      <c r="AG3283" s="5" t="s">
        <v>6569</v>
      </c>
      <c r="AH3283" s="5" t="s">
        <v>8020</v>
      </c>
      <c r="AI3283" s="5" t="s">
        <v>8023</v>
      </c>
    </row>
    <row r="3284" spans="1:35" ht="10" customHeight="1" x14ac:dyDescent="0.2">
      <c r="A3284" s="5" t="s">
        <v>7935</v>
      </c>
      <c r="B3284" s="5" t="s">
        <v>45</v>
      </c>
      <c r="C3284" s="5" t="s">
        <v>8024</v>
      </c>
      <c r="D3284" s="5" t="s">
        <v>8025</v>
      </c>
      <c r="E3284" s="12"/>
      <c r="I3284" s="11">
        <v>4</v>
      </c>
      <c r="K3284" s="12"/>
      <c r="O3284" s="12"/>
      <c r="P3284" s="13">
        <v>296829</v>
      </c>
      <c r="Q3284" s="13">
        <v>622551</v>
      </c>
      <c r="S3284" s="13">
        <v>503381</v>
      </c>
      <c r="U3284" s="13">
        <v>503381</v>
      </c>
      <c r="Z3284" s="13">
        <v>521006</v>
      </c>
      <c r="AB3284" s="13">
        <v>521006</v>
      </c>
      <c r="AC3284" s="16" t="str">
        <f t="shared" si="153"/>
        <v>ADD</v>
      </c>
      <c r="AD3284" s="17">
        <f t="shared" si="154"/>
        <v>503381</v>
      </c>
      <c r="AE3284" s="17">
        <f t="shared" si="155"/>
        <v>521006</v>
      </c>
      <c r="AF3284" s="10" t="s">
        <v>8026</v>
      </c>
      <c r="AG3284" s="5" t="s">
        <v>3252</v>
      </c>
      <c r="AH3284" s="5" t="s">
        <v>8024</v>
      </c>
      <c r="AI3284" s="5" t="s">
        <v>8025</v>
      </c>
    </row>
    <row r="3285" spans="1:35" ht="10" customHeight="1" x14ac:dyDescent="0.2">
      <c r="A3285" s="5" t="s">
        <v>7935</v>
      </c>
      <c r="B3285" s="5" t="s">
        <v>45</v>
      </c>
      <c r="C3285" s="5" t="s">
        <v>8027</v>
      </c>
      <c r="D3285" s="5" t="s">
        <v>8028</v>
      </c>
      <c r="E3285" s="10" t="s">
        <v>188</v>
      </c>
      <c r="I3285" s="11">
        <v>4</v>
      </c>
      <c r="K3285" s="12"/>
      <c r="O3285" s="12"/>
      <c r="P3285" s="13">
        <v>167429</v>
      </c>
      <c r="Q3285" s="13">
        <v>193213</v>
      </c>
      <c r="S3285" s="13">
        <v>261041</v>
      </c>
      <c r="U3285" s="13">
        <v>261041</v>
      </c>
      <c r="AC3285" s="16" t="str">
        <f t="shared" si="153"/>
        <v/>
      </c>
      <c r="AD3285" s="17">
        <f t="shared" si="154"/>
        <v>261041</v>
      </c>
      <c r="AE3285" s="17">
        <f t="shared" si="155"/>
        <v>0</v>
      </c>
      <c r="AF3285" s="10" t="s">
        <v>8029</v>
      </c>
      <c r="AG3285" s="5" t="s">
        <v>3446</v>
      </c>
      <c r="AH3285" s="5" t="s">
        <v>8027</v>
      </c>
      <c r="AI3285" s="5" t="s">
        <v>8028</v>
      </c>
    </row>
    <row r="3286" spans="1:35" ht="10" customHeight="1" x14ac:dyDescent="0.2">
      <c r="A3286" s="5" t="s">
        <v>7935</v>
      </c>
      <c r="B3286" s="5" t="s">
        <v>45</v>
      </c>
      <c r="D3286" s="5" t="s">
        <v>8030</v>
      </c>
      <c r="E3286" s="10" t="s">
        <v>57</v>
      </c>
      <c r="F3286" s="5" t="s">
        <v>8031</v>
      </c>
      <c r="I3286" s="11">
        <v>4</v>
      </c>
      <c r="K3286" s="12"/>
      <c r="O3286" s="12"/>
      <c r="P3286" s="13">
        <v>167429</v>
      </c>
      <c r="Q3286" s="13">
        <v>193213</v>
      </c>
      <c r="S3286" s="13">
        <v>261041</v>
      </c>
      <c r="U3286" s="13">
        <v>261041</v>
      </c>
      <c r="AC3286" s="16" t="str">
        <f t="shared" si="153"/>
        <v/>
      </c>
      <c r="AD3286" s="17">
        <f t="shared" si="154"/>
        <v>261041</v>
      </c>
      <c r="AE3286" s="17">
        <f t="shared" si="155"/>
        <v>0</v>
      </c>
      <c r="AF3286" s="10" t="s">
        <v>8032</v>
      </c>
      <c r="AG3286" s="5" t="s">
        <v>3472</v>
      </c>
      <c r="AH3286" s="5" t="s">
        <v>8027</v>
      </c>
    </row>
    <row r="3287" spans="1:35" ht="10" customHeight="1" x14ac:dyDescent="0.2">
      <c r="A3287" s="5" t="s">
        <v>7935</v>
      </c>
      <c r="B3287" s="5" t="s">
        <v>45</v>
      </c>
      <c r="D3287" s="5" t="s">
        <v>8033</v>
      </c>
      <c r="E3287" s="10" t="s">
        <v>188</v>
      </c>
      <c r="F3287" s="5" t="s">
        <v>8031</v>
      </c>
      <c r="I3287" s="11">
        <v>4</v>
      </c>
      <c r="K3287" s="12"/>
      <c r="O3287" s="12"/>
      <c r="AC3287" s="16" t="str">
        <f t="shared" si="153"/>
        <v/>
      </c>
      <c r="AD3287" s="17">
        <f t="shared" si="154"/>
        <v>0</v>
      </c>
      <c r="AE3287" s="17">
        <f t="shared" si="155"/>
        <v>0</v>
      </c>
      <c r="AF3287" s="10" t="s">
        <v>8034</v>
      </c>
      <c r="AG3287" s="5" t="s">
        <v>3624</v>
      </c>
      <c r="AH3287" s="5" t="s">
        <v>8027</v>
      </c>
    </row>
    <row r="3288" spans="1:35" ht="10" customHeight="1" x14ac:dyDescent="0.2">
      <c r="A3288" s="5" t="s">
        <v>7935</v>
      </c>
      <c r="B3288" s="5" t="s">
        <v>45</v>
      </c>
      <c r="C3288" s="5" t="s">
        <v>8027</v>
      </c>
      <c r="D3288" s="5" t="s">
        <v>8035</v>
      </c>
      <c r="E3288" s="10" t="s">
        <v>57</v>
      </c>
      <c r="F3288" s="5" t="s">
        <v>8036</v>
      </c>
      <c r="I3288" s="11">
        <v>4</v>
      </c>
      <c r="K3288" s="12"/>
      <c r="O3288" s="12"/>
      <c r="P3288" s="13">
        <v>33273</v>
      </c>
      <c r="Q3288" s="13">
        <v>34604</v>
      </c>
      <c r="S3288" s="13">
        <v>24284</v>
      </c>
      <c r="U3288" s="13">
        <v>24284</v>
      </c>
      <c r="AC3288" s="16" t="str">
        <f t="shared" si="153"/>
        <v/>
      </c>
      <c r="AD3288" s="17">
        <f t="shared" si="154"/>
        <v>24284</v>
      </c>
      <c r="AE3288" s="17">
        <f t="shared" si="155"/>
        <v>0</v>
      </c>
      <c r="AF3288" s="10" t="s">
        <v>8037</v>
      </c>
      <c r="AG3288" s="5" t="s">
        <v>163</v>
      </c>
      <c r="AH3288" s="5" t="s">
        <v>8027</v>
      </c>
    </row>
    <row r="3289" spans="1:35" ht="10" customHeight="1" x14ac:dyDescent="0.2">
      <c r="A3289" s="5" t="s">
        <v>7935</v>
      </c>
      <c r="B3289" s="5" t="s">
        <v>45</v>
      </c>
      <c r="C3289" s="5" t="s">
        <v>8038</v>
      </c>
      <c r="D3289" s="5" t="s">
        <v>8039</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6" t="str">
        <f t="shared" si="153"/>
        <v>ADD</v>
      </c>
      <c r="AD3289" s="17">
        <f t="shared" si="154"/>
        <v>32127</v>
      </c>
      <c r="AE3289" s="17">
        <f t="shared" si="155"/>
        <v>69579</v>
      </c>
      <c r="AF3289" s="10" t="s">
        <v>8040</v>
      </c>
      <c r="AG3289" s="5" t="s">
        <v>8041</v>
      </c>
      <c r="AH3289" s="5" t="s">
        <v>8038</v>
      </c>
      <c r="AI3289" s="5" t="s">
        <v>8039</v>
      </c>
    </row>
    <row r="3290" spans="1:35" ht="10" customHeight="1" x14ac:dyDescent="0.2">
      <c r="A3290" s="5" t="s">
        <v>7935</v>
      </c>
      <c r="B3290" s="5" t="s">
        <v>45</v>
      </c>
      <c r="C3290" s="5" t="s">
        <v>8042</v>
      </c>
      <c r="D3290" s="5" t="s">
        <v>8043</v>
      </c>
      <c r="E3290" s="10" t="s">
        <v>188</v>
      </c>
      <c r="I3290" s="11">
        <v>6</v>
      </c>
      <c r="K3290" s="12"/>
      <c r="O3290" s="12"/>
      <c r="P3290" s="13">
        <v>179011</v>
      </c>
      <c r="Q3290" s="13">
        <v>81490</v>
      </c>
      <c r="S3290" s="13">
        <v>127222</v>
      </c>
      <c r="U3290" s="13">
        <v>127222</v>
      </c>
      <c r="AC3290" s="16" t="str">
        <f t="shared" si="153"/>
        <v/>
      </c>
      <c r="AD3290" s="17">
        <f t="shared" si="154"/>
        <v>127222</v>
      </c>
      <c r="AE3290" s="17">
        <f t="shared" si="155"/>
        <v>0</v>
      </c>
      <c r="AF3290" s="10" t="s">
        <v>8044</v>
      </c>
      <c r="AG3290" s="5" t="s">
        <v>3945</v>
      </c>
      <c r="AH3290" s="5" t="s">
        <v>8042</v>
      </c>
      <c r="AI3290" s="5" t="s">
        <v>8043</v>
      </c>
    </row>
    <row r="3291" spans="1:35" ht="10" customHeight="1" x14ac:dyDescent="0.2">
      <c r="A3291" s="5" t="s">
        <v>7935</v>
      </c>
      <c r="B3291" s="5" t="s">
        <v>45</v>
      </c>
      <c r="C3291" s="5" t="s">
        <v>8045</v>
      </c>
      <c r="D3291" s="5" t="s">
        <v>8046</v>
      </c>
      <c r="E3291" s="10" t="s">
        <v>188</v>
      </c>
      <c r="I3291" s="11">
        <v>4</v>
      </c>
      <c r="K3291" s="12"/>
      <c r="O3291" s="12"/>
      <c r="P3291" s="13">
        <v>168654</v>
      </c>
      <c r="Q3291" s="13">
        <v>351488</v>
      </c>
      <c r="S3291" s="13">
        <v>37059</v>
      </c>
      <c r="U3291" s="13">
        <v>37059</v>
      </c>
      <c r="AC3291" s="16" t="str">
        <f t="shared" si="153"/>
        <v/>
      </c>
      <c r="AD3291" s="17">
        <f t="shared" si="154"/>
        <v>37059</v>
      </c>
      <c r="AE3291" s="17">
        <f t="shared" si="155"/>
        <v>0</v>
      </c>
      <c r="AF3291" s="10" t="s">
        <v>8047</v>
      </c>
      <c r="AG3291" s="5" t="s">
        <v>3987</v>
      </c>
      <c r="AH3291" s="5" t="s">
        <v>8045</v>
      </c>
      <c r="AI3291" s="5" t="s">
        <v>8046</v>
      </c>
    </row>
    <row r="3292" spans="1:35" ht="10" customHeight="1" x14ac:dyDescent="0.2">
      <c r="A3292" s="5" t="s">
        <v>7935</v>
      </c>
      <c r="B3292" s="5" t="s">
        <v>45</v>
      </c>
      <c r="C3292" s="5" t="s">
        <v>8048</v>
      </c>
      <c r="D3292" s="5" t="s">
        <v>8049</v>
      </c>
      <c r="E3292" s="12"/>
      <c r="I3292" s="11">
        <v>4</v>
      </c>
      <c r="K3292" s="12"/>
      <c r="O3292" s="12"/>
      <c r="P3292" s="13">
        <v>4830</v>
      </c>
      <c r="Q3292" s="13">
        <v>4317</v>
      </c>
      <c r="S3292" s="13">
        <v>4789</v>
      </c>
      <c r="U3292" s="13">
        <v>4789</v>
      </c>
      <c r="Z3292" s="13">
        <v>3969</v>
      </c>
      <c r="AB3292" s="13">
        <v>3969</v>
      </c>
      <c r="AC3292" s="16" t="str">
        <f t="shared" si="153"/>
        <v>ADD</v>
      </c>
      <c r="AD3292" s="17">
        <f t="shared" si="154"/>
        <v>4789</v>
      </c>
      <c r="AE3292" s="17">
        <f t="shared" si="155"/>
        <v>3969</v>
      </c>
      <c r="AF3292" s="10" t="s">
        <v>8050</v>
      </c>
      <c r="AG3292" s="5" t="s">
        <v>4036</v>
      </c>
      <c r="AH3292" s="5" t="s">
        <v>8048</v>
      </c>
      <c r="AI3292" s="5" t="s">
        <v>6529</v>
      </c>
    </row>
    <row r="3293" spans="1:35" ht="10" customHeight="1" x14ac:dyDescent="0.2">
      <c r="A3293" s="5" t="s">
        <v>7935</v>
      </c>
      <c r="B3293" s="5" t="s">
        <v>45</v>
      </c>
      <c r="C3293" s="5" t="s">
        <v>8051</v>
      </c>
      <c r="D3293" s="5" t="s">
        <v>8052</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6" t="str">
        <f t="shared" si="153"/>
        <v>ADD</v>
      </c>
      <c r="AD3293" s="17">
        <f t="shared" si="154"/>
        <v>268321</v>
      </c>
      <c r="AE3293" s="17">
        <f t="shared" si="155"/>
        <v>571274</v>
      </c>
      <c r="AF3293" s="10" t="s">
        <v>8053</v>
      </c>
      <c r="AG3293" s="5" t="s">
        <v>185</v>
      </c>
      <c r="AH3293" s="5" t="s">
        <v>8051</v>
      </c>
      <c r="AI3293" s="5" t="s">
        <v>8052</v>
      </c>
    </row>
    <row r="3294" spans="1:35" ht="10" customHeight="1" x14ac:dyDescent="0.2">
      <c r="A3294" s="5" t="s">
        <v>7935</v>
      </c>
      <c r="B3294" s="5" t="s">
        <v>45</v>
      </c>
      <c r="C3294" s="5" t="s">
        <v>8054</v>
      </c>
      <c r="D3294" s="5" t="s">
        <v>8055</v>
      </c>
      <c r="E3294" s="10" t="s">
        <v>188</v>
      </c>
      <c r="I3294" s="11">
        <v>6</v>
      </c>
      <c r="K3294" s="10" t="s">
        <v>50</v>
      </c>
      <c r="N3294" s="5" t="s">
        <v>144</v>
      </c>
      <c r="O3294" s="12"/>
      <c r="P3294" s="13">
        <v>24817</v>
      </c>
      <c r="Q3294" s="13">
        <v>30476</v>
      </c>
      <c r="S3294" s="13">
        <v>38386</v>
      </c>
      <c r="U3294" s="13">
        <v>38386</v>
      </c>
      <c r="AC3294" s="16" t="str">
        <f t="shared" si="153"/>
        <v/>
      </c>
      <c r="AD3294" s="17">
        <f t="shared" si="154"/>
        <v>38386</v>
      </c>
      <c r="AE3294" s="17">
        <f t="shared" si="155"/>
        <v>0</v>
      </c>
      <c r="AF3294" s="10" t="s">
        <v>8056</v>
      </c>
      <c r="AG3294" s="5" t="s">
        <v>4223</v>
      </c>
      <c r="AH3294" s="5" t="s">
        <v>8054</v>
      </c>
      <c r="AI3294" s="5" t="s">
        <v>8057</v>
      </c>
    </row>
    <row r="3295" spans="1:35" ht="10" customHeight="1" x14ac:dyDescent="0.2">
      <c r="A3295" s="5" t="s">
        <v>7935</v>
      </c>
      <c r="B3295" s="5" t="s">
        <v>45</v>
      </c>
      <c r="C3295" s="5" t="s">
        <v>6743</v>
      </c>
      <c r="D3295" s="5" t="s">
        <v>8058</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6" t="str">
        <f t="shared" si="153"/>
        <v>ADD</v>
      </c>
      <c r="AD3295" s="17">
        <f t="shared" si="154"/>
        <v>128513</v>
      </c>
      <c r="AE3295" s="17">
        <f t="shared" si="155"/>
        <v>112126</v>
      </c>
      <c r="AF3295" s="10" t="s">
        <v>8059</v>
      </c>
      <c r="AG3295" s="5" t="s">
        <v>252</v>
      </c>
      <c r="AH3295" s="5" t="s">
        <v>6743</v>
      </c>
    </row>
    <row r="3296" spans="1:35" ht="10" customHeight="1" x14ac:dyDescent="0.2">
      <c r="A3296" s="5" t="s">
        <v>7935</v>
      </c>
      <c r="B3296" s="5" t="s">
        <v>45</v>
      </c>
      <c r="C3296" s="5" t="s">
        <v>8060</v>
      </c>
      <c r="D3296" s="5" t="s">
        <v>8061</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6" t="str">
        <f t="shared" si="153"/>
        <v>ADD</v>
      </c>
      <c r="AD3296" s="17">
        <f t="shared" si="154"/>
        <v>31479</v>
      </c>
      <c r="AE3296" s="17">
        <f t="shared" si="155"/>
        <v>67279</v>
      </c>
      <c r="AF3296" s="10" t="s">
        <v>8062</v>
      </c>
      <c r="AG3296" s="5" t="s">
        <v>4287</v>
      </c>
      <c r="AH3296" s="5" t="s">
        <v>8060</v>
      </c>
      <c r="AI3296" s="5" t="s">
        <v>8061</v>
      </c>
    </row>
    <row r="3297" spans="1:35" ht="10" customHeight="1" x14ac:dyDescent="0.2">
      <c r="A3297" s="5" t="s">
        <v>7935</v>
      </c>
      <c r="B3297" s="5" t="s">
        <v>45</v>
      </c>
      <c r="C3297" s="5" t="s">
        <v>8063</v>
      </c>
      <c r="D3297" s="5" t="s">
        <v>8064</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6" t="str">
        <f t="shared" si="153"/>
        <v>ADD</v>
      </c>
      <c r="AD3297" s="17">
        <f t="shared" si="154"/>
        <v>179351</v>
      </c>
      <c r="AE3297" s="17">
        <f t="shared" si="155"/>
        <v>251724</v>
      </c>
      <c r="AF3297" s="10" t="s">
        <v>8065</v>
      </c>
      <c r="AG3297" s="5" t="s">
        <v>4316</v>
      </c>
      <c r="AH3297" s="5" t="s">
        <v>8063</v>
      </c>
    </row>
    <row r="3298" spans="1:35" ht="10" customHeight="1" x14ac:dyDescent="0.2">
      <c r="A3298" s="5" t="s">
        <v>7935</v>
      </c>
      <c r="B3298" s="5" t="s">
        <v>45</v>
      </c>
      <c r="D3298" s="5" t="s">
        <v>8066</v>
      </c>
      <c r="E3298" s="10" t="s">
        <v>57</v>
      </c>
      <c r="F3298" s="5" t="s">
        <v>8067</v>
      </c>
      <c r="I3298" s="11">
        <v>4</v>
      </c>
      <c r="K3298" s="12"/>
      <c r="O3298" s="12"/>
      <c r="P3298" s="13">
        <v>5507</v>
      </c>
      <c r="Q3298" s="13">
        <v>5942</v>
      </c>
      <c r="AC3298" s="16" t="str">
        <f t="shared" si="153"/>
        <v/>
      </c>
      <c r="AD3298" s="17">
        <f t="shared" si="154"/>
        <v>0</v>
      </c>
      <c r="AE3298" s="17">
        <f t="shared" si="155"/>
        <v>0</v>
      </c>
      <c r="AF3298" s="10" t="s">
        <v>8068</v>
      </c>
      <c r="AG3298" s="5" t="s">
        <v>5256</v>
      </c>
      <c r="AH3298" s="5" t="s">
        <v>8063</v>
      </c>
      <c r="AI3298" s="5" t="s">
        <v>8069</v>
      </c>
    </row>
    <row r="3299" spans="1:35" ht="10" customHeight="1" x14ac:dyDescent="0.2">
      <c r="A3299" s="5" t="s">
        <v>7935</v>
      </c>
      <c r="B3299" s="5" t="s">
        <v>45</v>
      </c>
      <c r="D3299" s="5" t="s">
        <v>8070</v>
      </c>
      <c r="E3299" s="10" t="s">
        <v>57</v>
      </c>
      <c r="F3299" s="5" t="s">
        <v>8067</v>
      </c>
      <c r="I3299" s="11">
        <v>4</v>
      </c>
      <c r="K3299" s="12"/>
      <c r="O3299" s="12"/>
      <c r="P3299" s="13">
        <v>28453</v>
      </c>
      <c r="Q3299" s="13">
        <v>46900</v>
      </c>
      <c r="AC3299" s="16" t="str">
        <f t="shared" si="153"/>
        <v/>
      </c>
      <c r="AD3299" s="17">
        <f t="shared" si="154"/>
        <v>0</v>
      </c>
      <c r="AE3299" s="17">
        <f t="shared" si="155"/>
        <v>0</v>
      </c>
      <c r="AF3299" s="10" t="s">
        <v>8071</v>
      </c>
      <c r="AG3299" s="5" t="s">
        <v>8072</v>
      </c>
      <c r="AH3299" s="5" t="s">
        <v>8063</v>
      </c>
      <c r="AI3299" s="5" t="s">
        <v>8073</v>
      </c>
    </row>
    <row r="3300" spans="1:35" ht="10" customHeight="1" x14ac:dyDescent="0.2">
      <c r="A3300" s="5" t="s">
        <v>7935</v>
      </c>
      <c r="B3300" s="5" t="s">
        <v>45</v>
      </c>
      <c r="D3300" s="5" t="s">
        <v>8074</v>
      </c>
      <c r="E3300" s="10" t="s">
        <v>57</v>
      </c>
      <c r="F3300" s="5" t="s">
        <v>8067</v>
      </c>
      <c r="I3300" s="11">
        <v>4</v>
      </c>
      <c r="K3300" s="12"/>
      <c r="O3300" s="12"/>
      <c r="P3300" s="13">
        <v>24771</v>
      </c>
      <c r="Q3300" s="13">
        <v>24923</v>
      </c>
      <c r="AC3300" s="16" t="str">
        <f t="shared" si="153"/>
        <v/>
      </c>
      <c r="AD3300" s="17">
        <f t="shared" si="154"/>
        <v>0</v>
      </c>
      <c r="AE3300" s="17">
        <f t="shared" si="155"/>
        <v>0</v>
      </c>
      <c r="AF3300" s="10" t="s">
        <v>8075</v>
      </c>
      <c r="AG3300" s="5" t="s">
        <v>8076</v>
      </c>
      <c r="AH3300" s="5" t="s">
        <v>8063</v>
      </c>
      <c r="AI3300" s="5" t="s">
        <v>8077</v>
      </c>
    </row>
    <row r="3301" spans="1:35" ht="10" customHeight="1" x14ac:dyDescent="0.2">
      <c r="A3301" s="5" t="s">
        <v>7935</v>
      </c>
      <c r="B3301" s="5" t="s">
        <v>45</v>
      </c>
      <c r="D3301" s="5" t="s">
        <v>8078</v>
      </c>
      <c r="E3301" s="10" t="s">
        <v>57</v>
      </c>
      <c r="F3301" s="5" t="s">
        <v>8067</v>
      </c>
      <c r="I3301" s="11">
        <v>4</v>
      </c>
      <c r="K3301" s="12"/>
      <c r="O3301" s="12"/>
      <c r="Q3301" s="13">
        <v>22300</v>
      </c>
      <c r="AC3301" s="16" t="str">
        <f t="shared" si="153"/>
        <v/>
      </c>
      <c r="AD3301" s="17">
        <f t="shared" si="154"/>
        <v>0</v>
      </c>
      <c r="AE3301" s="17">
        <f t="shared" si="155"/>
        <v>0</v>
      </c>
      <c r="AF3301" s="10" t="s">
        <v>8079</v>
      </c>
      <c r="AG3301" s="5" t="s">
        <v>5285</v>
      </c>
      <c r="AH3301" s="5" t="s">
        <v>8063</v>
      </c>
      <c r="AI3301" s="5" t="s">
        <v>8080</v>
      </c>
    </row>
    <row r="3302" spans="1:35" ht="10" customHeight="1" x14ac:dyDescent="0.2">
      <c r="A3302" s="5" t="s">
        <v>7935</v>
      </c>
      <c r="B3302" s="5" t="s">
        <v>45</v>
      </c>
      <c r="C3302" s="5" t="s">
        <v>8081</v>
      </c>
      <c r="D3302" s="5" t="s">
        <v>8082</v>
      </c>
      <c r="E3302" s="10" t="s">
        <v>48</v>
      </c>
      <c r="I3302" s="11">
        <v>6</v>
      </c>
      <c r="K3302" s="12"/>
      <c r="O3302" s="12"/>
      <c r="P3302" s="13">
        <v>133187</v>
      </c>
      <c r="Q3302" s="13">
        <v>145655</v>
      </c>
      <c r="S3302" s="13">
        <v>161218</v>
      </c>
      <c r="U3302" s="13">
        <v>161218</v>
      </c>
      <c r="Z3302" s="13">
        <v>160445</v>
      </c>
      <c r="AB3302" s="13">
        <v>160445</v>
      </c>
      <c r="AC3302" s="16" t="str">
        <f t="shared" si="153"/>
        <v>ADD</v>
      </c>
      <c r="AD3302" s="17">
        <f t="shared" si="154"/>
        <v>161218</v>
      </c>
      <c r="AE3302" s="17">
        <f t="shared" si="155"/>
        <v>160445</v>
      </c>
      <c r="AF3302" s="10" t="s">
        <v>8083</v>
      </c>
      <c r="AG3302" s="5" t="s">
        <v>5285</v>
      </c>
      <c r="AH3302" s="5" t="s">
        <v>8081</v>
      </c>
      <c r="AI3302" s="5" t="s">
        <v>8084</v>
      </c>
    </row>
    <row r="3303" spans="1:35" ht="10" customHeight="1" x14ac:dyDescent="0.2">
      <c r="A3303" s="5" t="s">
        <v>7935</v>
      </c>
      <c r="B3303" s="5" t="s">
        <v>45</v>
      </c>
      <c r="D3303" s="5" t="s">
        <v>8085</v>
      </c>
      <c r="E3303" s="10" t="s">
        <v>57</v>
      </c>
      <c r="F3303" s="5" t="s">
        <v>8086</v>
      </c>
      <c r="I3303" s="11">
        <v>6</v>
      </c>
      <c r="K3303" s="10" t="s">
        <v>50</v>
      </c>
      <c r="L3303" s="5" t="s">
        <v>51</v>
      </c>
      <c r="M3303" s="5" t="s">
        <v>119</v>
      </c>
      <c r="O3303" s="12"/>
      <c r="P3303" s="13">
        <v>31315</v>
      </c>
      <c r="Q3303" s="13">
        <v>31904</v>
      </c>
      <c r="S3303" s="13">
        <v>36208</v>
      </c>
      <c r="U3303" s="13">
        <v>36208</v>
      </c>
      <c r="AC3303" s="16" t="str">
        <f t="shared" si="153"/>
        <v/>
      </c>
      <c r="AD3303" s="17">
        <f t="shared" si="154"/>
        <v>36208</v>
      </c>
      <c r="AE3303" s="17">
        <f t="shared" si="155"/>
        <v>0</v>
      </c>
      <c r="AF3303" s="10" t="s">
        <v>8087</v>
      </c>
      <c r="AG3303" s="5" t="s">
        <v>8088</v>
      </c>
      <c r="AH3303" s="5" t="s">
        <v>8081</v>
      </c>
      <c r="AI3303" s="5" t="s">
        <v>8084</v>
      </c>
    </row>
    <row r="3304" spans="1:35" ht="10" customHeight="1" x14ac:dyDescent="0.2">
      <c r="A3304" s="5" t="s">
        <v>7935</v>
      </c>
      <c r="B3304" s="5" t="s">
        <v>45</v>
      </c>
      <c r="D3304" s="5" t="s">
        <v>8089</v>
      </c>
      <c r="E3304" s="10" t="s">
        <v>57</v>
      </c>
      <c r="F3304" s="5" t="s">
        <v>8090</v>
      </c>
      <c r="I3304" s="11">
        <v>6</v>
      </c>
      <c r="K3304" s="12"/>
      <c r="O3304" s="12"/>
      <c r="AC3304" s="16" t="str">
        <f t="shared" si="153"/>
        <v/>
      </c>
      <c r="AD3304" s="17">
        <f t="shared" si="154"/>
        <v>0</v>
      </c>
      <c r="AE3304" s="17">
        <f t="shared" si="155"/>
        <v>0</v>
      </c>
      <c r="AF3304" s="10" t="s">
        <v>8091</v>
      </c>
      <c r="AG3304" s="5" t="s">
        <v>8092</v>
      </c>
      <c r="AH3304" s="5" t="s">
        <v>8081</v>
      </c>
      <c r="AI3304" s="5" t="s">
        <v>8093</v>
      </c>
    </row>
    <row r="3305" spans="1:35" ht="10" customHeight="1" x14ac:dyDescent="0.2">
      <c r="A3305" s="5" t="s">
        <v>7935</v>
      </c>
      <c r="B3305" s="5" t="s">
        <v>45</v>
      </c>
      <c r="D3305" s="5" t="s">
        <v>8094</v>
      </c>
      <c r="E3305" s="10" t="s">
        <v>57</v>
      </c>
      <c r="F3305" s="5" t="s">
        <v>8086</v>
      </c>
      <c r="I3305" s="11">
        <v>6</v>
      </c>
      <c r="K3305" s="10" t="s">
        <v>50</v>
      </c>
      <c r="L3305" s="5" t="s">
        <v>51</v>
      </c>
      <c r="M3305" s="5" t="s">
        <v>52</v>
      </c>
      <c r="O3305" s="12"/>
      <c r="P3305" s="13">
        <v>101872</v>
      </c>
      <c r="Q3305" s="13">
        <v>113751</v>
      </c>
      <c r="S3305" s="13">
        <v>125010</v>
      </c>
      <c r="U3305" s="13">
        <v>125010</v>
      </c>
      <c r="AC3305" s="16" t="str">
        <f t="shared" si="153"/>
        <v/>
      </c>
      <c r="AD3305" s="17">
        <f t="shared" si="154"/>
        <v>125010</v>
      </c>
      <c r="AE3305" s="17">
        <f t="shared" si="155"/>
        <v>0</v>
      </c>
      <c r="AF3305" s="10" t="s">
        <v>8095</v>
      </c>
      <c r="AG3305" s="5" t="s">
        <v>6361</v>
      </c>
      <c r="AH3305" s="5" t="s">
        <v>8081</v>
      </c>
      <c r="AI3305" s="5" t="s">
        <v>8084</v>
      </c>
    </row>
    <row r="3306" spans="1:35" ht="10" customHeight="1" x14ac:dyDescent="0.2">
      <c r="A3306" s="5" t="s">
        <v>7935</v>
      </c>
      <c r="B3306" s="5" t="s">
        <v>45</v>
      </c>
      <c r="C3306" s="5" t="s">
        <v>6770</v>
      </c>
      <c r="D3306" s="5" t="s">
        <v>7524</v>
      </c>
      <c r="E3306" s="10" t="s">
        <v>188</v>
      </c>
      <c r="I3306" s="11">
        <v>6</v>
      </c>
      <c r="K3306" s="12"/>
      <c r="O3306" s="12"/>
      <c r="P3306" s="13">
        <v>4146</v>
      </c>
      <c r="Q3306" s="13">
        <v>4039</v>
      </c>
      <c r="S3306" s="13">
        <v>4328</v>
      </c>
      <c r="U3306" s="13">
        <v>4328</v>
      </c>
      <c r="AC3306" s="16" t="str">
        <f t="shared" si="153"/>
        <v/>
      </c>
      <c r="AD3306" s="17">
        <f t="shared" si="154"/>
        <v>4328</v>
      </c>
      <c r="AE3306" s="17">
        <f t="shared" si="155"/>
        <v>0</v>
      </c>
      <c r="AF3306" s="10" t="s">
        <v>8096</v>
      </c>
      <c r="AG3306" s="5" t="s">
        <v>8097</v>
      </c>
      <c r="AH3306" s="5" t="s">
        <v>6770</v>
      </c>
      <c r="AI3306" s="5" t="s">
        <v>6774</v>
      </c>
    </row>
    <row r="3307" spans="1:35" ht="10" customHeight="1" x14ac:dyDescent="0.2">
      <c r="A3307" s="5" t="s">
        <v>7935</v>
      </c>
      <c r="B3307" s="5" t="s">
        <v>45</v>
      </c>
      <c r="C3307" s="5" t="s">
        <v>8098</v>
      </c>
      <c r="D3307" s="5" t="s">
        <v>8099</v>
      </c>
      <c r="E3307" s="10" t="s">
        <v>188</v>
      </c>
      <c r="I3307" s="11">
        <v>7</v>
      </c>
      <c r="K3307" s="12"/>
      <c r="O3307" s="12"/>
      <c r="P3307" s="13">
        <v>5811</v>
      </c>
      <c r="Q3307" s="13">
        <v>5669</v>
      </c>
      <c r="S3307" s="13">
        <v>5346</v>
      </c>
      <c r="U3307" s="13">
        <v>5346</v>
      </c>
      <c r="AC3307" s="16" t="str">
        <f t="shared" si="153"/>
        <v/>
      </c>
      <c r="AD3307" s="17">
        <f t="shared" si="154"/>
        <v>5346</v>
      </c>
      <c r="AE3307" s="17">
        <f t="shared" si="155"/>
        <v>0</v>
      </c>
      <c r="AF3307" s="10" t="s">
        <v>8100</v>
      </c>
      <c r="AG3307" s="5" t="s">
        <v>8101</v>
      </c>
      <c r="AH3307" s="5" t="s">
        <v>8098</v>
      </c>
      <c r="AI3307" s="5" t="s">
        <v>8102</v>
      </c>
    </row>
    <row r="3308" spans="1:35" ht="10" customHeight="1" x14ac:dyDescent="0.2">
      <c r="A3308" s="5" t="s">
        <v>7935</v>
      </c>
      <c r="B3308" s="5" t="s">
        <v>45</v>
      </c>
      <c r="C3308" s="5" t="s">
        <v>8103</v>
      </c>
      <c r="D3308" s="5" t="s">
        <v>8104</v>
      </c>
      <c r="E3308" s="10" t="s">
        <v>48</v>
      </c>
      <c r="I3308" s="11">
        <v>4</v>
      </c>
      <c r="K3308" s="12"/>
      <c r="O3308" s="12"/>
      <c r="P3308" s="13">
        <v>16565</v>
      </c>
      <c r="Q3308" s="13">
        <v>12513</v>
      </c>
      <c r="S3308" s="13">
        <v>9987</v>
      </c>
      <c r="U3308" s="13">
        <v>9987</v>
      </c>
      <c r="Z3308" s="13">
        <v>13946</v>
      </c>
      <c r="AB3308" s="13">
        <v>13946</v>
      </c>
      <c r="AC3308" s="16" t="str">
        <f t="shared" si="153"/>
        <v>ADD</v>
      </c>
      <c r="AD3308" s="17">
        <f t="shared" si="154"/>
        <v>9987</v>
      </c>
      <c r="AE3308" s="17">
        <f t="shared" si="155"/>
        <v>13946</v>
      </c>
      <c r="AF3308" s="10" t="s">
        <v>8105</v>
      </c>
      <c r="AG3308" s="5" t="s">
        <v>8106</v>
      </c>
      <c r="AH3308" s="5" t="s">
        <v>8103</v>
      </c>
    </row>
    <row r="3309" spans="1:35" ht="10" customHeight="1" x14ac:dyDescent="0.2">
      <c r="A3309" s="5" t="s">
        <v>7935</v>
      </c>
      <c r="B3309" s="5" t="s">
        <v>45</v>
      </c>
      <c r="D3309" s="5" t="s">
        <v>8107</v>
      </c>
      <c r="E3309" s="10" t="s">
        <v>57</v>
      </c>
      <c r="F3309" s="5" t="s">
        <v>8108</v>
      </c>
      <c r="I3309" s="11">
        <v>4</v>
      </c>
      <c r="K3309" s="12"/>
      <c r="O3309" s="12"/>
      <c r="P3309" s="13">
        <v>10607</v>
      </c>
      <c r="Q3309" s="13">
        <v>6828</v>
      </c>
      <c r="S3309" s="13">
        <v>5357</v>
      </c>
      <c r="U3309" s="13">
        <v>5357</v>
      </c>
      <c r="AC3309" s="16" t="str">
        <f t="shared" si="153"/>
        <v/>
      </c>
      <c r="AD3309" s="17">
        <f t="shared" si="154"/>
        <v>5357</v>
      </c>
      <c r="AE3309" s="17">
        <f t="shared" si="155"/>
        <v>0</v>
      </c>
      <c r="AF3309" s="10" t="s">
        <v>8109</v>
      </c>
      <c r="AG3309" s="5" t="s">
        <v>6371</v>
      </c>
      <c r="AH3309" s="5" t="s">
        <v>8103</v>
      </c>
      <c r="AI3309" s="5" t="s">
        <v>8110</v>
      </c>
    </row>
    <row r="3310" spans="1:35" ht="10" customHeight="1" x14ac:dyDescent="0.2">
      <c r="A3310" s="5" t="s">
        <v>7935</v>
      </c>
      <c r="B3310" s="5" t="s">
        <v>45</v>
      </c>
      <c r="D3310" s="5" t="s">
        <v>8111</v>
      </c>
      <c r="E3310" s="10" t="s">
        <v>57</v>
      </c>
      <c r="F3310" s="5" t="s">
        <v>8108</v>
      </c>
      <c r="I3310" s="11">
        <v>4</v>
      </c>
      <c r="K3310" s="12"/>
      <c r="O3310" s="12"/>
      <c r="P3310" s="13">
        <v>5958</v>
      </c>
      <c r="Q3310" s="13">
        <v>5685</v>
      </c>
      <c r="S3310" s="13">
        <v>4630</v>
      </c>
      <c r="U3310" s="13">
        <v>4630</v>
      </c>
      <c r="AC3310" s="16" t="str">
        <f t="shared" si="153"/>
        <v/>
      </c>
      <c r="AD3310" s="17">
        <f t="shared" si="154"/>
        <v>4630</v>
      </c>
      <c r="AE3310" s="17">
        <f t="shared" si="155"/>
        <v>0</v>
      </c>
      <c r="AF3310" s="10" t="s">
        <v>8112</v>
      </c>
      <c r="AG3310" s="5" t="s">
        <v>8113</v>
      </c>
      <c r="AH3310" s="5" t="s">
        <v>8103</v>
      </c>
    </row>
    <row r="3311" spans="1:35" ht="10" customHeight="1" x14ac:dyDescent="0.2">
      <c r="A3311" s="5" t="s">
        <v>7935</v>
      </c>
      <c r="B3311" s="5" t="s">
        <v>45</v>
      </c>
      <c r="C3311" s="5" t="s">
        <v>8114</v>
      </c>
      <c r="D3311" s="5" t="s">
        <v>8115</v>
      </c>
      <c r="E3311" s="12"/>
      <c r="I3311" s="11">
        <v>4</v>
      </c>
      <c r="K3311" s="12"/>
      <c r="O3311" s="12"/>
      <c r="P3311" s="13">
        <v>4088</v>
      </c>
      <c r="Q3311" s="13">
        <v>4266</v>
      </c>
      <c r="S3311" s="13">
        <v>8122</v>
      </c>
      <c r="U3311" s="13">
        <v>8122</v>
      </c>
      <c r="Z3311" s="13">
        <v>7939</v>
      </c>
      <c r="AB3311" s="13">
        <v>7939</v>
      </c>
      <c r="AC3311" s="16" t="str">
        <f t="shared" si="153"/>
        <v>ADD</v>
      </c>
      <c r="AD3311" s="17">
        <f t="shared" si="154"/>
        <v>8122</v>
      </c>
      <c r="AE3311" s="17">
        <f t="shared" si="155"/>
        <v>7939</v>
      </c>
      <c r="AF3311" s="10" t="s">
        <v>8116</v>
      </c>
      <c r="AG3311" s="5" t="s">
        <v>6374</v>
      </c>
      <c r="AH3311" s="5" t="s">
        <v>8114</v>
      </c>
      <c r="AI3311" s="5" t="s">
        <v>8117</v>
      </c>
    </row>
    <row r="3312" spans="1:35" ht="10" customHeight="1" x14ac:dyDescent="0.2">
      <c r="A3312" s="5" t="s">
        <v>7935</v>
      </c>
      <c r="B3312" s="5" t="s">
        <v>45</v>
      </c>
      <c r="C3312" s="5" t="s">
        <v>8118</v>
      </c>
      <c r="D3312" s="5" t="s">
        <v>8119</v>
      </c>
      <c r="E3312" s="10" t="s">
        <v>48</v>
      </c>
      <c r="I3312" s="11">
        <v>4</v>
      </c>
      <c r="K3312" s="12"/>
      <c r="O3312" s="12"/>
      <c r="P3312" s="13">
        <v>55172</v>
      </c>
      <c r="Q3312" s="13">
        <v>54794</v>
      </c>
      <c r="S3312" s="13">
        <v>44455</v>
      </c>
      <c r="U3312" s="13">
        <v>44455</v>
      </c>
      <c r="Z3312" s="13">
        <v>49537</v>
      </c>
      <c r="AB3312" s="13">
        <v>49537</v>
      </c>
      <c r="AC3312" s="16" t="str">
        <f t="shared" si="153"/>
        <v>ADD</v>
      </c>
      <c r="AD3312" s="17">
        <f t="shared" si="154"/>
        <v>44455</v>
      </c>
      <c r="AE3312" s="17">
        <f t="shared" si="155"/>
        <v>49537</v>
      </c>
      <c r="AF3312" s="10" t="s">
        <v>8120</v>
      </c>
      <c r="AG3312" s="5" t="s">
        <v>8121</v>
      </c>
      <c r="AH3312" s="5" t="s">
        <v>8118</v>
      </c>
      <c r="AI3312" s="5" t="s">
        <v>8119</v>
      </c>
    </row>
    <row r="3313" spans="1:36" ht="10" customHeight="1" x14ac:dyDescent="0.2">
      <c r="A3313" s="5" t="s">
        <v>7935</v>
      </c>
      <c r="B3313" s="5" t="s">
        <v>45</v>
      </c>
      <c r="D3313" s="5" t="s">
        <v>8122</v>
      </c>
      <c r="E3313" s="10" t="s">
        <v>57</v>
      </c>
      <c r="F3313" s="5" t="s">
        <v>8123</v>
      </c>
      <c r="I3313" s="11">
        <v>4</v>
      </c>
      <c r="K3313" s="12"/>
      <c r="O3313" s="12"/>
      <c r="P3313" s="13">
        <v>10607</v>
      </c>
      <c r="Q3313" s="13">
        <v>14128</v>
      </c>
      <c r="S3313" s="13">
        <v>21987</v>
      </c>
      <c r="U3313" s="13">
        <v>21987</v>
      </c>
      <c r="AC3313" s="16" t="str">
        <f t="shared" si="153"/>
        <v/>
      </c>
      <c r="AD3313" s="17">
        <f t="shared" si="154"/>
        <v>21987</v>
      </c>
      <c r="AE3313" s="17">
        <f t="shared" si="155"/>
        <v>0</v>
      </c>
      <c r="AF3313" s="10" t="s">
        <v>8124</v>
      </c>
      <c r="AG3313" s="5" t="s">
        <v>8121</v>
      </c>
      <c r="AH3313" s="5" t="s">
        <v>8118</v>
      </c>
      <c r="AI3313" s="5" t="s">
        <v>8119</v>
      </c>
    </row>
    <row r="3314" spans="1:36" ht="10" customHeight="1" x14ac:dyDescent="0.2">
      <c r="A3314" s="5" t="s">
        <v>7935</v>
      </c>
      <c r="B3314" s="5" t="s">
        <v>45</v>
      </c>
      <c r="D3314" s="5" t="s">
        <v>8125</v>
      </c>
      <c r="E3314" s="10" t="s">
        <v>57</v>
      </c>
      <c r="F3314" s="5" t="s">
        <v>8123</v>
      </c>
      <c r="I3314" s="11">
        <v>4</v>
      </c>
      <c r="K3314" s="12"/>
      <c r="O3314" s="12"/>
      <c r="P3314" s="13">
        <v>6005</v>
      </c>
      <c r="Q3314" s="13">
        <v>7668</v>
      </c>
      <c r="S3314" s="13">
        <v>6843</v>
      </c>
      <c r="U3314" s="13">
        <v>6843</v>
      </c>
      <c r="AC3314" s="16" t="str">
        <f t="shared" si="153"/>
        <v/>
      </c>
      <c r="AD3314" s="17">
        <f t="shared" si="154"/>
        <v>6843</v>
      </c>
      <c r="AE3314" s="17">
        <f t="shared" si="155"/>
        <v>0</v>
      </c>
      <c r="AF3314" s="10" t="s">
        <v>8126</v>
      </c>
      <c r="AG3314" s="5" t="s">
        <v>8121</v>
      </c>
      <c r="AH3314" s="5" t="s">
        <v>8118</v>
      </c>
      <c r="AI3314" s="5" t="s">
        <v>8119</v>
      </c>
    </row>
    <row r="3315" spans="1:36" ht="10" customHeight="1" x14ac:dyDescent="0.2">
      <c r="A3315" s="5" t="s">
        <v>7935</v>
      </c>
      <c r="B3315" s="5" t="s">
        <v>45</v>
      </c>
      <c r="D3315" s="5" t="s">
        <v>8127</v>
      </c>
      <c r="E3315" s="10" t="s">
        <v>57</v>
      </c>
      <c r="F3315" s="5" t="s">
        <v>8123</v>
      </c>
      <c r="I3315" s="11">
        <v>4</v>
      </c>
      <c r="K3315" s="12"/>
      <c r="O3315" s="12"/>
      <c r="P3315" s="13">
        <v>29389</v>
      </c>
      <c r="Q3315" s="13">
        <v>24760</v>
      </c>
      <c r="S3315" s="13">
        <v>8182</v>
      </c>
      <c r="U3315" s="13">
        <v>8182</v>
      </c>
      <c r="AC3315" s="16" t="str">
        <f t="shared" si="153"/>
        <v/>
      </c>
      <c r="AD3315" s="17">
        <f t="shared" si="154"/>
        <v>8182</v>
      </c>
      <c r="AE3315" s="17">
        <f t="shared" si="155"/>
        <v>0</v>
      </c>
      <c r="AF3315" s="10" t="s">
        <v>8128</v>
      </c>
      <c r="AG3315" s="5" t="s">
        <v>8121</v>
      </c>
      <c r="AH3315" s="5" t="s">
        <v>8118</v>
      </c>
      <c r="AI3315" s="5" t="s">
        <v>8119</v>
      </c>
    </row>
    <row r="3316" spans="1:36" ht="10" customHeight="1" x14ac:dyDescent="0.2">
      <c r="A3316" s="5" t="s">
        <v>7935</v>
      </c>
      <c r="B3316" s="5" t="s">
        <v>45</v>
      </c>
      <c r="D3316" s="5" t="s">
        <v>8129</v>
      </c>
      <c r="E3316" s="10" t="s">
        <v>57</v>
      </c>
      <c r="F3316" s="5" t="s">
        <v>8123</v>
      </c>
      <c r="I3316" s="11">
        <v>4</v>
      </c>
      <c r="K3316" s="12"/>
      <c r="O3316" s="12"/>
      <c r="P3316" s="13">
        <v>9171</v>
      </c>
      <c r="Q3316" s="13">
        <v>8238</v>
      </c>
      <c r="S3316" s="13">
        <v>7443</v>
      </c>
      <c r="U3316" s="13">
        <v>7443</v>
      </c>
      <c r="AC3316" s="16" t="str">
        <f t="shared" si="153"/>
        <v/>
      </c>
      <c r="AD3316" s="17">
        <f t="shared" si="154"/>
        <v>7443</v>
      </c>
      <c r="AE3316" s="17">
        <f t="shared" si="155"/>
        <v>0</v>
      </c>
      <c r="AF3316" s="10" t="s">
        <v>8130</v>
      </c>
      <c r="AG3316" s="5" t="s">
        <v>8121</v>
      </c>
      <c r="AH3316" s="5" t="s">
        <v>8118</v>
      </c>
      <c r="AI3316" s="5" t="s">
        <v>8119</v>
      </c>
    </row>
    <row r="3317" spans="1:36" ht="10" customHeight="1" x14ac:dyDescent="0.2">
      <c r="A3317" s="5" t="s">
        <v>7935</v>
      </c>
      <c r="B3317" s="5" t="s">
        <v>45</v>
      </c>
      <c r="C3317" s="5" t="s">
        <v>6988</v>
      </c>
      <c r="D3317" s="5" t="s">
        <v>8131</v>
      </c>
      <c r="E3317" s="10" t="s">
        <v>48</v>
      </c>
      <c r="I3317" s="11">
        <v>4</v>
      </c>
      <c r="K3317" s="12"/>
      <c r="O3317" s="12"/>
      <c r="P3317" s="13">
        <v>95282</v>
      </c>
      <c r="Q3317" s="13">
        <v>82246</v>
      </c>
      <c r="S3317" s="13">
        <v>83969</v>
      </c>
      <c r="U3317" s="13">
        <v>83969</v>
      </c>
      <c r="Z3317" s="13">
        <v>84004</v>
      </c>
      <c r="AB3317" s="13">
        <v>84004</v>
      </c>
      <c r="AC3317" s="16" t="str">
        <f t="shared" si="153"/>
        <v>ADD</v>
      </c>
      <c r="AD3317" s="17">
        <f t="shared" si="154"/>
        <v>83969</v>
      </c>
      <c r="AE3317" s="17">
        <f t="shared" si="155"/>
        <v>84004</v>
      </c>
      <c r="AF3317" s="10" t="s">
        <v>8132</v>
      </c>
      <c r="AG3317" s="5" t="s">
        <v>6399</v>
      </c>
      <c r="AH3317" s="5" t="s">
        <v>6988</v>
      </c>
      <c r="AI3317" s="5" t="s">
        <v>6986</v>
      </c>
    </row>
    <row r="3318" spans="1:36" ht="10" customHeight="1" x14ac:dyDescent="0.2">
      <c r="A3318" s="5" t="s">
        <v>7935</v>
      </c>
      <c r="B3318" s="5" t="s">
        <v>45</v>
      </c>
      <c r="D3318" s="5" t="s">
        <v>8133</v>
      </c>
      <c r="E3318" s="10" t="s">
        <v>57</v>
      </c>
      <c r="F3318" s="5" t="s">
        <v>8134</v>
      </c>
      <c r="I3318" s="11">
        <v>4</v>
      </c>
      <c r="K3318" s="10" t="s">
        <v>50</v>
      </c>
      <c r="L3318" s="5" t="s">
        <v>51</v>
      </c>
      <c r="M3318" s="5" t="s">
        <v>119</v>
      </c>
      <c r="O3318" s="12"/>
      <c r="P3318" s="13">
        <v>3825</v>
      </c>
      <c r="Q3318" s="13">
        <v>3197</v>
      </c>
      <c r="S3318" s="13">
        <v>4197</v>
      </c>
      <c r="U3318" s="13">
        <v>4197</v>
      </c>
      <c r="AC3318" s="16" t="str">
        <f t="shared" si="153"/>
        <v/>
      </c>
      <c r="AD3318" s="17">
        <f t="shared" si="154"/>
        <v>4197</v>
      </c>
      <c r="AE3318" s="17">
        <f t="shared" si="155"/>
        <v>0</v>
      </c>
      <c r="AF3318" s="10" t="s">
        <v>8135</v>
      </c>
      <c r="AG3318" s="5" t="s">
        <v>6399</v>
      </c>
      <c r="AH3318" s="5" t="s">
        <v>6988</v>
      </c>
      <c r="AI3318" s="5" t="s">
        <v>6986</v>
      </c>
    </row>
    <row r="3319" spans="1:36" ht="10" customHeight="1" x14ac:dyDescent="0.2">
      <c r="A3319" s="5" t="s">
        <v>7935</v>
      </c>
      <c r="B3319" s="5" t="s">
        <v>45</v>
      </c>
      <c r="D3319" s="5" t="s">
        <v>8136</v>
      </c>
      <c r="E3319" s="10" t="s">
        <v>57</v>
      </c>
      <c r="F3319" s="5" t="s">
        <v>8134</v>
      </c>
      <c r="I3319" s="11">
        <v>4</v>
      </c>
      <c r="K3319" s="12"/>
      <c r="O3319" s="12"/>
      <c r="P3319" s="13">
        <v>82735</v>
      </c>
      <c r="Q3319" s="13">
        <v>71102</v>
      </c>
      <c r="S3319" s="13">
        <v>70001</v>
      </c>
      <c r="U3319" s="13">
        <v>70001</v>
      </c>
      <c r="AC3319" s="16" t="str">
        <f t="shared" si="153"/>
        <v/>
      </c>
      <c r="AD3319" s="17">
        <f t="shared" si="154"/>
        <v>70001</v>
      </c>
      <c r="AE3319" s="17">
        <f t="shared" si="155"/>
        <v>0</v>
      </c>
      <c r="AF3319" s="10" t="s">
        <v>8137</v>
      </c>
      <c r="AG3319" s="5" t="s">
        <v>6399</v>
      </c>
      <c r="AH3319" s="5" t="s">
        <v>6988</v>
      </c>
      <c r="AI3319" s="5" t="s">
        <v>6986</v>
      </c>
    </row>
    <row r="3320" spans="1:36" ht="10" customHeight="1" x14ac:dyDescent="0.2">
      <c r="A3320" s="5" t="s">
        <v>7935</v>
      </c>
      <c r="B3320" s="5" t="s">
        <v>45</v>
      </c>
      <c r="D3320" s="5" t="s">
        <v>8138</v>
      </c>
      <c r="E3320" s="10" t="s">
        <v>57</v>
      </c>
      <c r="F3320" s="5" t="s">
        <v>8134</v>
      </c>
      <c r="I3320" s="11">
        <v>4</v>
      </c>
      <c r="K3320" s="10" t="s">
        <v>50</v>
      </c>
      <c r="L3320" s="5" t="s">
        <v>51</v>
      </c>
      <c r="M3320" s="5" t="s">
        <v>119</v>
      </c>
      <c r="O3320" s="12"/>
      <c r="P3320" s="13">
        <v>8722</v>
      </c>
      <c r="Q3320" s="13">
        <v>7947</v>
      </c>
      <c r="S3320" s="13">
        <v>9771</v>
      </c>
      <c r="U3320" s="13">
        <v>9771</v>
      </c>
      <c r="AC3320" s="16" t="str">
        <f t="shared" si="153"/>
        <v/>
      </c>
      <c r="AD3320" s="17">
        <f t="shared" si="154"/>
        <v>9771</v>
      </c>
      <c r="AE3320" s="17">
        <f t="shared" si="155"/>
        <v>0</v>
      </c>
      <c r="AF3320" s="10" t="s">
        <v>8139</v>
      </c>
      <c r="AG3320" s="5" t="s">
        <v>6399</v>
      </c>
      <c r="AH3320" s="5" t="s">
        <v>6988</v>
      </c>
      <c r="AI3320" s="5" t="s">
        <v>6986</v>
      </c>
    </row>
    <row r="3321" spans="1:36" ht="10" customHeight="1" x14ac:dyDescent="0.2">
      <c r="A3321" s="5" t="s">
        <v>7935</v>
      </c>
      <c r="B3321" s="5" t="s">
        <v>45</v>
      </c>
      <c r="C3321" s="5" t="s">
        <v>8140</v>
      </c>
      <c r="D3321" s="5" t="s">
        <v>8141</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6" t="str">
        <f t="shared" si="153"/>
        <v>ADD</v>
      </c>
      <c r="AD3321" s="17">
        <f t="shared" si="154"/>
        <v>2200</v>
      </c>
      <c r="AE3321" s="17">
        <f t="shared" si="155"/>
        <v>2190</v>
      </c>
      <c r="AF3321" s="10" t="s">
        <v>8142</v>
      </c>
      <c r="AG3321" s="5" t="s">
        <v>6661</v>
      </c>
      <c r="AH3321" s="5" t="s">
        <v>8140</v>
      </c>
      <c r="AI3321" s="5" t="s">
        <v>8141</v>
      </c>
    </row>
    <row r="3322" spans="1:36" ht="10" customHeight="1" x14ac:dyDescent="0.2">
      <c r="A3322" s="5" t="s">
        <v>7935</v>
      </c>
      <c r="B3322" s="5" t="s">
        <v>45</v>
      </c>
      <c r="C3322" s="5" t="s">
        <v>8143</v>
      </c>
      <c r="D3322" s="5" t="s">
        <v>8144</v>
      </c>
      <c r="E3322" s="10" t="s">
        <v>188</v>
      </c>
      <c r="I3322" s="11">
        <v>4</v>
      </c>
      <c r="K3322" s="10" t="s">
        <v>50</v>
      </c>
      <c r="L3322" s="5" t="s">
        <v>51</v>
      </c>
      <c r="M3322" s="5" t="s">
        <v>4684</v>
      </c>
      <c r="N3322" s="5" t="s">
        <v>4685</v>
      </c>
      <c r="O3322" s="12"/>
      <c r="P3322" s="13">
        <v>14357</v>
      </c>
      <c r="Q3322" s="13">
        <v>11635</v>
      </c>
      <c r="S3322" s="13">
        <v>14413</v>
      </c>
      <c r="U3322" s="13">
        <v>14413</v>
      </c>
      <c r="AC3322" s="16" t="str">
        <f t="shared" si="153"/>
        <v/>
      </c>
      <c r="AD3322" s="17">
        <f t="shared" si="154"/>
        <v>14413</v>
      </c>
      <c r="AE3322" s="17">
        <f t="shared" si="155"/>
        <v>0</v>
      </c>
      <c r="AF3322" s="10" t="s">
        <v>8145</v>
      </c>
      <c r="AG3322" s="5" t="s">
        <v>8146</v>
      </c>
      <c r="AH3322" s="5" t="s">
        <v>8143</v>
      </c>
      <c r="AI3322" s="5" t="s">
        <v>8147</v>
      </c>
    </row>
    <row r="3323" spans="1:36" ht="10" customHeight="1" x14ac:dyDescent="0.2">
      <c r="A3323" s="5" t="s">
        <v>7935</v>
      </c>
      <c r="B3323" s="5" t="s">
        <v>45</v>
      </c>
      <c r="C3323" s="5" t="s">
        <v>8148</v>
      </c>
      <c r="D3323" s="5" t="s">
        <v>5451</v>
      </c>
      <c r="E3323" s="10" t="s">
        <v>48</v>
      </c>
      <c r="I3323" s="11">
        <v>6</v>
      </c>
      <c r="K3323" s="12"/>
      <c r="O3323" s="12"/>
      <c r="P3323" s="13">
        <v>177819</v>
      </c>
      <c r="Q3323" s="13">
        <v>240697</v>
      </c>
      <c r="S3323" s="13">
        <v>202425</v>
      </c>
      <c r="U3323" s="13">
        <v>202425</v>
      </c>
      <c r="Z3323" s="13">
        <v>167242</v>
      </c>
      <c r="AB3323" s="13">
        <v>167242</v>
      </c>
      <c r="AC3323" s="16" t="str">
        <f t="shared" si="153"/>
        <v>ADD</v>
      </c>
      <c r="AD3323" s="17">
        <f t="shared" si="154"/>
        <v>202425</v>
      </c>
      <c r="AE3323" s="17">
        <f t="shared" si="155"/>
        <v>167242</v>
      </c>
      <c r="AF3323" s="10" t="s">
        <v>8149</v>
      </c>
      <c r="AG3323" s="5" t="s">
        <v>8150</v>
      </c>
      <c r="AH3323" s="5" t="s">
        <v>8148</v>
      </c>
    </row>
    <row r="3324" spans="1:36" ht="10" customHeight="1" x14ac:dyDescent="0.2">
      <c r="A3324" s="5" t="s">
        <v>7935</v>
      </c>
      <c r="B3324" s="5" t="s">
        <v>45</v>
      </c>
      <c r="D3324" s="5" t="s">
        <v>8151</v>
      </c>
      <c r="E3324" s="10" t="s">
        <v>57</v>
      </c>
      <c r="F3324" s="5" t="s">
        <v>8152</v>
      </c>
      <c r="I3324" s="11">
        <v>6</v>
      </c>
      <c r="K3324" s="12"/>
      <c r="O3324" s="12"/>
      <c r="S3324" s="13">
        <v>46346</v>
      </c>
      <c r="U3324" s="13">
        <v>46346</v>
      </c>
      <c r="AC3324" s="16" t="str">
        <f t="shared" si="153"/>
        <v/>
      </c>
      <c r="AD3324" s="17">
        <f t="shared" si="154"/>
        <v>46346</v>
      </c>
      <c r="AE3324" s="17">
        <f t="shared" si="155"/>
        <v>0</v>
      </c>
      <c r="AF3324" s="10" t="s">
        <v>8153</v>
      </c>
      <c r="AG3324" s="5" t="s">
        <v>8154</v>
      </c>
      <c r="AH3324" s="5" t="s">
        <v>8148</v>
      </c>
    </row>
    <row r="3325" spans="1:36" ht="10" customHeight="1" x14ac:dyDescent="0.2">
      <c r="A3325" s="5" t="s">
        <v>7935</v>
      </c>
      <c r="B3325" s="5" t="s">
        <v>45</v>
      </c>
      <c r="D3325" s="5" t="s">
        <v>8155</v>
      </c>
      <c r="E3325" s="10" t="s">
        <v>57</v>
      </c>
      <c r="F3325" s="5" t="s">
        <v>8152</v>
      </c>
      <c r="I3325" s="11">
        <v>6</v>
      </c>
      <c r="K3325" s="12"/>
      <c r="O3325" s="12"/>
      <c r="S3325" s="13">
        <v>156079</v>
      </c>
      <c r="U3325" s="13">
        <v>156079</v>
      </c>
      <c r="AC3325" s="16" t="str">
        <f t="shared" si="153"/>
        <v/>
      </c>
      <c r="AD3325" s="17">
        <f t="shared" si="154"/>
        <v>156079</v>
      </c>
      <c r="AE3325" s="17">
        <f t="shared" si="155"/>
        <v>0</v>
      </c>
      <c r="AF3325" s="10" t="s">
        <v>8156</v>
      </c>
      <c r="AG3325" s="5" t="s">
        <v>8154</v>
      </c>
      <c r="AH3325" s="5" t="s">
        <v>8148</v>
      </c>
    </row>
    <row r="3326" spans="1:36" ht="10" customHeight="1" x14ac:dyDescent="0.2">
      <c r="A3326" s="5" t="s">
        <v>6809</v>
      </c>
      <c r="B3326" s="5" t="s">
        <v>8157</v>
      </c>
      <c r="D3326" s="5" t="s">
        <v>8158</v>
      </c>
      <c r="E3326" s="10" t="s">
        <v>48</v>
      </c>
      <c r="I3326" s="11" t="s">
        <v>8159</v>
      </c>
      <c r="K3326" s="12"/>
      <c r="O3326" s="12"/>
      <c r="P3326" s="13">
        <v>1088600</v>
      </c>
      <c r="Q3326" s="13">
        <v>1088600</v>
      </c>
      <c r="S3326" s="13">
        <v>1439300</v>
      </c>
      <c r="U3326" s="13">
        <v>1439300</v>
      </c>
      <c r="AC3326" s="16" t="str">
        <f t="shared" si="153"/>
        <v>ADD</v>
      </c>
      <c r="AD3326" s="17">
        <f t="shared" si="154"/>
        <v>1439300</v>
      </c>
      <c r="AE3326" s="17">
        <f t="shared" si="155"/>
        <v>0</v>
      </c>
      <c r="AF3326" s="10" t="s">
        <v>8160</v>
      </c>
      <c r="AG3326" s="5" t="s">
        <v>72</v>
      </c>
      <c r="AH3326" s="5" t="s">
        <v>8161</v>
      </c>
    </row>
    <row r="3327" spans="1:36" ht="10" customHeight="1" x14ac:dyDescent="0.2">
      <c r="A3327" s="5" t="s">
        <v>6809</v>
      </c>
      <c r="B3327" s="5" t="s">
        <v>8157</v>
      </c>
      <c r="C3327" s="5" t="s">
        <v>8162</v>
      </c>
      <c r="D3327" s="5" t="s">
        <v>8163</v>
      </c>
      <c r="E3327" s="10" t="s">
        <v>48</v>
      </c>
      <c r="I3327" s="11">
        <v>5</v>
      </c>
      <c r="K3327" s="12"/>
      <c r="O3327" s="12"/>
      <c r="P3327" s="13">
        <v>120000</v>
      </c>
      <c r="Q3327" s="13">
        <v>120000</v>
      </c>
      <c r="S3327" s="13">
        <v>152000</v>
      </c>
      <c r="U3327" s="13">
        <v>152000</v>
      </c>
      <c r="AC3327" s="16" t="str">
        <f t="shared" si="153"/>
        <v>ADD</v>
      </c>
      <c r="AD3327" s="17">
        <f t="shared" si="154"/>
        <v>152000</v>
      </c>
      <c r="AE3327" s="17">
        <f t="shared" si="155"/>
        <v>0</v>
      </c>
      <c r="AF3327" s="10" t="s">
        <v>8164</v>
      </c>
      <c r="AG3327" s="5" t="s">
        <v>861</v>
      </c>
      <c r="AH3327" s="5" t="s">
        <v>8162</v>
      </c>
    </row>
    <row r="3328" spans="1:36" ht="10" customHeight="1" x14ac:dyDescent="0.2">
      <c r="A3328" s="5" t="s">
        <v>6809</v>
      </c>
      <c r="B3328" s="5" t="s">
        <v>8157</v>
      </c>
      <c r="D3328" s="5" t="s">
        <v>8165</v>
      </c>
      <c r="E3328" s="10" t="s">
        <v>57</v>
      </c>
      <c r="F3328" s="5" t="s">
        <v>8166</v>
      </c>
      <c r="I3328" s="11">
        <v>5</v>
      </c>
      <c r="K3328" s="12"/>
      <c r="O3328" s="12"/>
      <c r="P3328" s="13">
        <v>43000</v>
      </c>
      <c r="Q3328" s="13">
        <v>43000</v>
      </c>
      <c r="S3328" s="13">
        <v>45000</v>
      </c>
      <c r="U3328" s="13">
        <v>45000</v>
      </c>
      <c r="AC3328" s="16" t="str">
        <f t="shared" si="153"/>
        <v/>
      </c>
      <c r="AD3328" s="17">
        <f t="shared" si="154"/>
        <v>45000</v>
      </c>
      <c r="AE3328" s="17">
        <f t="shared" si="155"/>
        <v>0</v>
      </c>
      <c r="AF3328" s="10" t="s">
        <v>8167</v>
      </c>
      <c r="AG3328" s="5" t="s">
        <v>861</v>
      </c>
      <c r="AH3328" s="5" t="s">
        <v>8161</v>
      </c>
      <c r="AJ3328" s="5" t="s">
        <v>8165</v>
      </c>
    </row>
    <row r="3329" spans="1:36" ht="10" customHeight="1" x14ac:dyDescent="0.2">
      <c r="A3329" s="5" t="s">
        <v>6809</v>
      </c>
      <c r="B3329" s="5" t="s">
        <v>8157</v>
      </c>
      <c r="D3329" s="5" t="s">
        <v>8168</v>
      </c>
      <c r="E3329" s="10" t="s">
        <v>57</v>
      </c>
      <c r="F3329" s="5" t="s">
        <v>8166</v>
      </c>
      <c r="I3329" s="11">
        <v>5</v>
      </c>
      <c r="K3329" s="12"/>
      <c r="O3329" s="12"/>
      <c r="P3329" s="13">
        <v>77000</v>
      </c>
      <c r="Q3329" s="13">
        <v>77000</v>
      </c>
      <c r="S3329" s="13">
        <v>107000</v>
      </c>
      <c r="U3329" s="13">
        <v>107000</v>
      </c>
      <c r="AC3329" s="16" t="str">
        <f t="shared" si="153"/>
        <v/>
      </c>
      <c r="AD3329" s="17">
        <f t="shared" si="154"/>
        <v>107000</v>
      </c>
      <c r="AE3329" s="17">
        <f t="shared" si="155"/>
        <v>0</v>
      </c>
      <c r="AF3329" s="10" t="s">
        <v>8169</v>
      </c>
      <c r="AG3329" s="5" t="s">
        <v>1009</v>
      </c>
      <c r="AH3329" s="5" t="s">
        <v>8161</v>
      </c>
      <c r="AJ3329" s="5" t="s">
        <v>8163</v>
      </c>
    </row>
    <row r="3330" spans="1:36" ht="10" customHeight="1" x14ac:dyDescent="0.2">
      <c r="A3330" s="5" t="s">
        <v>6809</v>
      </c>
      <c r="B3330" s="5" t="s">
        <v>8157</v>
      </c>
      <c r="C3330" s="5" t="s">
        <v>8170</v>
      </c>
      <c r="D3330" s="5" t="s">
        <v>8171</v>
      </c>
      <c r="E3330" s="10" t="s">
        <v>57</v>
      </c>
      <c r="F3330" s="5" t="s">
        <v>8168</v>
      </c>
      <c r="I3330" s="11">
        <v>5</v>
      </c>
      <c r="K3330" s="12"/>
      <c r="O3330" s="12"/>
      <c r="P3330" s="13">
        <v>46200</v>
      </c>
      <c r="Q3330" s="13">
        <v>46200</v>
      </c>
      <c r="S3330" s="13">
        <v>76000</v>
      </c>
      <c r="U3330" s="13">
        <v>76000</v>
      </c>
      <c r="AC3330" s="16" t="str">
        <f t="shared" si="153"/>
        <v/>
      </c>
      <c r="AD3330" s="17">
        <f t="shared" si="154"/>
        <v>76000</v>
      </c>
      <c r="AE3330" s="17">
        <f t="shared" si="155"/>
        <v>0</v>
      </c>
      <c r="AF3330" s="10" t="s">
        <v>8172</v>
      </c>
      <c r="AG3330" s="5" t="s">
        <v>1004</v>
      </c>
      <c r="AH3330" s="5" t="s">
        <v>8161</v>
      </c>
      <c r="AJ3330" s="5" t="s">
        <v>8173</v>
      </c>
    </row>
    <row r="3331" spans="1:36" ht="10" customHeight="1" x14ac:dyDescent="0.2">
      <c r="A3331" s="5" t="s">
        <v>6809</v>
      </c>
      <c r="B3331" s="5" t="s">
        <v>8157</v>
      </c>
      <c r="D3331" s="5" t="s">
        <v>8174</v>
      </c>
      <c r="E3331" s="10" t="s">
        <v>57</v>
      </c>
      <c r="F3331" s="5" t="s">
        <v>8168</v>
      </c>
      <c r="I3331" s="11">
        <v>5</v>
      </c>
      <c r="K3331" s="10" t="s">
        <v>6809</v>
      </c>
      <c r="L3331" s="5" t="s">
        <v>6810</v>
      </c>
      <c r="M3331" s="5" t="s">
        <v>8175</v>
      </c>
      <c r="N3331" s="5" t="s">
        <v>8176</v>
      </c>
      <c r="O3331" s="12"/>
      <c r="P3331" s="13">
        <v>17800</v>
      </c>
      <c r="Q3331" s="13">
        <v>17800</v>
      </c>
      <c r="S3331" s="13">
        <v>15000</v>
      </c>
      <c r="U3331" s="13">
        <v>15000</v>
      </c>
      <c r="AC3331" s="16" t="str">
        <f t="shared" si="153"/>
        <v/>
      </c>
      <c r="AD3331" s="17">
        <f t="shared" si="154"/>
        <v>15000</v>
      </c>
      <c r="AE3331" s="17">
        <f t="shared" si="155"/>
        <v>0</v>
      </c>
      <c r="AF3331" s="10" t="s">
        <v>8177</v>
      </c>
      <c r="AG3331" s="5" t="s">
        <v>1004</v>
      </c>
      <c r="AH3331" s="5" t="s">
        <v>8161</v>
      </c>
      <c r="AJ3331" s="5" t="s">
        <v>8178</v>
      </c>
    </row>
    <row r="3332" spans="1:36" ht="10" customHeight="1" x14ac:dyDescent="0.2">
      <c r="A3332" s="5" t="s">
        <v>6809</v>
      </c>
      <c r="B3332" s="5" t="s">
        <v>8157</v>
      </c>
      <c r="D3332" s="5" t="s">
        <v>8179</v>
      </c>
      <c r="E3332" s="10" t="s">
        <v>57</v>
      </c>
      <c r="F3332" s="5" t="s">
        <v>8168</v>
      </c>
      <c r="I3332" s="11">
        <v>5</v>
      </c>
      <c r="K3332" s="12"/>
      <c r="O3332" s="12"/>
      <c r="P3332" s="13">
        <v>13000</v>
      </c>
      <c r="Q3332" s="13">
        <v>13000</v>
      </c>
      <c r="S3332" s="13">
        <v>11000</v>
      </c>
      <c r="U3332" s="13">
        <v>11000</v>
      </c>
      <c r="AC3332" s="16" t="str">
        <f t="shared" si="153"/>
        <v/>
      </c>
      <c r="AD3332" s="17">
        <f t="shared" si="154"/>
        <v>11000</v>
      </c>
      <c r="AE3332" s="17">
        <f t="shared" si="155"/>
        <v>0</v>
      </c>
      <c r="AF3332" s="10" t="s">
        <v>8180</v>
      </c>
      <c r="AG3332" s="5" t="s">
        <v>1004</v>
      </c>
      <c r="AH3332" s="5" t="s">
        <v>8161</v>
      </c>
      <c r="AJ3332" s="5" t="s">
        <v>8179</v>
      </c>
    </row>
    <row r="3333" spans="1:36" ht="10" customHeight="1" x14ac:dyDescent="0.2">
      <c r="A3333" s="5" t="s">
        <v>6809</v>
      </c>
      <c r="B3333" s="5" t="s">
        <v>8157</v>
      </c>
      <c r="D3333" s="5" t="s">
        <v>8181</v>
      </c>
      <c r="E3333" s="10" t="s">
        <v>57</v>
      </c>
      <c r="F3333" s="5" t="s">
        <v>8168</v>
      </c>
      <c r="I3333" s="11">
        <v>5</v>
      </c>
      <c r="K3333" s="10" t="s">
        <v>6809</v>
      </c>
      <c r="L3333" s="5" t="s">
        <v>6810</v>
      </c>
      <c r="M3333" s="5" t="s">
        <v>6811</v>
      </c>
      <c r="N3333" s="5" t="s">
        <v>6812</v>
      </c>
      <c r="O3333" s="12"/>
      <c r="P3333" s="13">
        <v>0</v>
      </c>
      <c r="Q3333" s="13">
        <v>0</v>
      </c>
      <c r="S3333" s="13">
        <v>5000</v>
      </c>
      <c r="U3333" s="13">
        <v>5000</v>
      </c>
      <c r="AC3333" s="16" t="str">
        <f t="shared" si="153"/>
        <v/>
      </c>
      <c r="AD3333" s="17">
        <f t="shared" si="154"/>
        <v>5000</v>
      </c>
      <c r="AE3333" s="17">
        <f t="shared" si="155"/>
        <v>0</v>
      </c>
      <c r="AF3333" s="10" t="s">
        <v>8182</v>
      </c>
      <c r="AG3333" s="5" t="s">
        <v>1004</v>
      </c>
      <c r="AH3333" s="5" t="s">
        <v>8161</v>
      </c>
      <c r="AJ3333" s="5" t="s">
        <v>8183</v>
      </c>
    </row>
    <row r="3334" spans="1:36" ht="10" customHeight="1" x14ac:dyDescent="0.2">
      <c r="A3334" s="5" t="s">
        <v>6809</v>
      </c>
      <c r="B3334" s="5" t="s">
        <v>8157</v>
      </c>
      <c r="C3334" s="5" t="s">
        <v>8184</v>
      </c>
      <c r="D3334" s="5" t="s">
        <v>8185</v>
      </c>
      <c r="E3334" s="12"/>
      <c r="I3334" s="11">
        <v>1</v>
      </c>
      <c r="J3334" s="5" t="s">
        <v>49</v>
      </c>
      <c r="K3334" s="10" t="s">
        <v>6809</v>
      </c>
      <c r="L3334" s="5" t="s">
        <v>6810</v>
      </c>
      <c r="M3334" s="5" t="s">
        <v>6811</v>
      </c>
      <c r="N3334" s="5" t="s">
        <v>6812</v>
      </c>
      <c r="O3334" s="12"/>
      <c r="P3334" s="13">
        <v>17100</v>
      </c>
      <c r="Q3334" s="13">
        <v>17100</v>
      </c>
      <c r="S3334" s="13">
        <v>0</v>
      </c>
      <c r="U3334" s="13">
        <v>0</v>
      </c>
      <c r="AC3334" s="16" t="str">
        <f t="shared" ref="AC3334:AC3397" si="156">IF(OR(E3334="",E3334="[PARENT]"),"ADD",IF(E3334="[ALT_VIEW]","ALT",""))</f>
        <v>ADD</v>
      </c>
      <c r="AD3334" s="17">
        <f t="shared" ref="AD3334:AD3397" si="157">IF(Y3334&lt;&gt;"",Y3334,IF(U3334&lt;&gt;"",U3334,S3334))</f>
        <v>0</v>
      </c>
      <c r="AE3334" s="17">
        <f t="shared" ref="AE3334:AE3397" si="158">IF(AB3334&lt;&gt;"",AB3334,Z3334)</f>
        <v>0</v>
      </c>
      <c r="AF3334" s="10" t="s">
        <v>8186</v>
      </c>
      <c r="AG3334" s="5" t="s">
        <v>4602</v>
      </c>
      <c r="AH3334" s="5" t="s">
        <v>8184</v>
      </c>
    </row>
    <row r="3335" spans="1:36" ht="10" customHeight="1" x14ac:dyDescent="0.2">
      <c r="A3335" s="5" t="s">
        <v>6809</v>
      </c>
      <c r="B3335" s="5" t="s">
        <v>8157</v>
      </c>
      <c r="C3335" s="5" t="s">
        <v>8187</v>
      </c>
      <c r="D3335" s="5" t="s">
        <v>8188</v>
      </c>
      <c r="E3335" s="12"/>
      <c r="I3335" s="11">
        <v>1</v>
      </c>
      <c r="J3335" s="5" t="s">
        <v>8189</v>
      </c>
      <c r="K3335" s="10" t="s">
        <v>6809</v>
      </c>
      <c r="L3335" s="5" t="s">
        <v>6810</v>
      </c>
      <c r="M3335" s="5" t="s">
        <v>8188</v>
      </c>
      <c r="N3335" s="5" t="s">
        <v>8190</v>
      </c>
      <c r="O3335" s="12"/>
      <c r="P3335" s="13">
        <v>579000</v>
      </c>
      <c r="Q3335" s="13">
        <v>579000</v>
      </c>
      <c r="S3335" s="13">
        <v>812400</v>
      </c>
      <c r="U3335" s="13">
        <v>812400</v>
      </c>
      <c r="AC3335" s="16" t="str">
        <f t="shared" si="156"/>
        <v>ADD</v>
      </c>
      <c r="AD3335" s="17">
        <f t="shared" si="157"/>
        <v>812400</v>
      </c>
      <c r="AE3335" s="17">
        <f t="shared" si="158"/>
        <v>0</v>
      </c>
      <c r="AF3335" s="10" t="s">
        <v>8191</v>
      </c>
      <c r="AG3335" s="5" t="s">
        <v>1025</v>
      </c>
      <c r="AH3335" s="5" t="s">
        <v>8187</v>
      </c>
    </row>
    <row r="3336" spans="1:36" ht="10" customHeight="1" x14ac:dyDescent="0.2">
      <c r="A3336" s="5" t="s">
        <v>6809</v>
      </c>
      <c r="B3336" s="5" t="s">
        <v>8157</v>
      </c>
      <c r="C3336" s="5" t="s">
        <v>8192</v>
      </c>
      <c r="D3336" s="5" t="s">
        <v>8193</v>
      </c>
      <c r="E3336" s="12"/>
      <c r="I3336" s="11">
        <v>1</v>
      </c>
      <c r="J3336" s="5" t="s">
        <v>49</v>
      </c>
      <c r="K3336" s="10" t="s">
        <v>6809</v>
      </c>
      <c r="L3336" s="5" t="s">
        <v>6810</v>
      </c>
      <c r="M3336" s="5" t="s">
        <v>8194</v>
      </c>
      <c r="N3336" s="5" t="s">
        <v>8195</v>
      </c>
      <c r="O3336" s="12"/>
      <c r="P3336" s="13">
        <v>220000</v>
      </c>
      <c r="Q3336" s="13">
        <v>220000</v>
      </c>
      <c r="S3336" s="13">
        <v>216000</v>
      </c>
      <c r="U3336" s="13">
        <v>216000</v>
      </c>
      <c r="AC3336" s="16" t="str">
        <f t="shared" si="156"/>
        <v>ADD</v>
      </c>
      <c r="AD3336" s="17">
        <f t="shared" si="157"/>
        <v>216000</v>
      </c>
      <c r="AE3336" s="17">
        <f t="shared" si="158"/>
        <v>0</v>
      </c>
      <c r="AF3336" s="10" t="s">
        <v>8196</v>
      </c>
      <c r="AG3336" s="5" t="s">
        <v>1096</v>
      </c>
      <c r="AH3336" s="5" t="s">
        <v>8192</v>
      </c>
    </row>
    <row r="3337" spans="1:36" ht="10" customHeight="1" x14ac:dyDescent="0.2">
      <c r="A3337" s="5" t="s">
        <v>6809</v>
      </c>
      <c r="B3337" s="5" t="s">
        <v>8157</v>
      </c>
      <c r="C3337" s="5" t="s">
        <v>8197</v>
      </c>
      <c r="D3337" s="5" t="s">
        <v>8198</v>
      </c>
      <c r="E3337" s="12"/>
      <c r="I3337" s="11">
        <v>1</v>
      </c>
      <c r="J3337" s="5" t="s">
        <v>49</v>
      </c>
      <c r="K3337" s="12"/>
      <c r="O3337" s="12"/>
      <c r="P3337" s="13">
        <v>6500</v>
      </c>
      <c r="Q3337" s="13">
        <v>6500</v>
      </c>
      <c r="S3337" s="13">
        <v>30900</v>
      </c>
      <c r="U3337" s="13">
        <v>30900</v>
      </c>
      <c r="AC3337" s="16" t="str">
        <f t="shared" si="156"/>
        <v>ADD</v>
      </c>
      <c r="AD3337" s="17">
        <f t="shared" si="157"/>
        <v>30900</v>
      </c>
      <c r="AE3337" s="17">
        <f t="shared" si="158"/>
        <v>0</v>
      </c>
      <c r="AF3337" s="10" t="s">
        <v>8199</v>
      </c>
      <c r="AG3337" s="5" t="s">
        <v>1120</v>
      </c>
      <c r="AH3337" s="5" t="s">
        <v>8197</v>
      </c>
    </row>
    <row r="3338" spans="1:36" ht="10" customHeight="1" x14ac:dyDescent="0.2">
      <c r="A3338" s="5" t="s">
        <v>6809</v>
      </c>
      <c r="B3338" s="5" t="s">
        <v>8157</v>
      </c>
      <c r="C3338" s="5" t="s">
        <v>8200</v>
      </c>
      <c r="D3338" s="5" t="s">
        <v>8201</v>
      </c>
      <c r="E3338" s="12"/>
      <c r="I3338" s="11">
        <v>1</v>
      </c>
      <c r="J3338" s="5" t="s">
        <v>8189</v>
      </c>
      <c r="K3338" s="10" t="s">
        <v>6809</v>
      </c>
      <c r="L3338" s="5" t="s">
        <v>6810</v>
      </c>
      <c r="M3338" s="5" t="s">
        <v>8202</v>
      </c>
      <c r="N3338" s="5" t="s">
        <v>8203</v>
      </c>
      <c r="O3338" s="12"/>
      <c r="P3338" s="13">
        <v>0</v>
      </c>
      <c r="Q3338" s="13">
        <v>0</v>
      </c>
      <c r="S3338" s="13">
        <v>130000</v>
      </c>
      <c r="U3338" s="13">
        <v>130000</v>
      </c>
      <c r="AC3338" s="16" t="str">
        <f t="shared" si="156"/>
        <v>ADD</v>
      </c>
      <c r="AD3338" s="17">
        <f t="shared" si="157"/>
        <v>130000</v>
      </c>
      <c r="AE3338" s="17">
        <f t="shared" si="158"/>
        <v>0</v>
      </c>
      <c r="AF3338" s="10" t="s">
        <v>8204</v>
      </c>
      <c r="AG3338" s="5" t="s">
        <v>1148</v>
      </c>
      <c r="AH3338" s="5" t="s">
        <v>8200</v>
      </c>
    </row>
    <row r="3339" spans="1:36" ht="10" customHeight="1" x14ac:dyDescent="0.2">
      <c r="A3339" s="5" t="s">
        <v>6809</v>
      </c>
      <c r="B3339" s="5" t="s">
        <v>8157</v>
      </c>
      <c r="C3339" s="5" t="s">
        <v>8205</v>
      </c>
      <c r="D3339" s="5" t="s">
        <v>8206</v>
      </c>
      <c r="E3339" s="12"/>
      <c r="I3339" s="11">
        <v>1</v>
      </c>
      <c r="J3339" s="5" t="s">
        <v>49</v>
      </c>
      <c r="K3339" s="12"/>
      <c r="O3339" s="12"/>
      <c r="P3339" s="13">
        <v>125000</v>
      </c>
      <c r="Q3339" s="13">
        <v>125000</v>
      </c>
      <c r="S3339" s="13">
        <v>0</v>
      </c>
      <c r="U3339" s="13">
        <v>0</v>
      </c>
      <c r="AC3339" s="16" t="str">
        <f t="shared" si="156"/>
        <v>ADD</v>
      </c>
      <c r="AD3339" s="17">
        <f t="shared" si="157"/>
        <v>0</v>
      </c>
      <c r="AE3339" s="17">
        <f t="shared" si="158"/>
        <v>0</v>
      </c>
      <c r="AF3339" s="10" t="s">
        <v>8186</v>
      </c>
      <c r="AG3339" s="5" t="s">
        <v>4602</v>
      </c>
      <c r="AH3339" s="5" t="s">
        <v>8205</v>
      </c>
    </row>
    <row r="3340" spans="1:36" ht="10" customHeight="1" x14ac:dyDescent="0.2">
      <c r="A3340" s="5" t="s">
        <v>6809</v>
      </c>
      <c r="B3340" s="5" t="s">
        <v>8157</v>
      </c>
      <c r="C3340" s="5" t="s">
        <v>8207</v>
      </c>
      <c r="D3340" s="5" t="s">
        <v>8208</v>
      </c>
      <c r="E3340" s="12"/>
      <c r="I3340" s="11">
        <v>1</v>
      </c>
      <c r="J3340" s="5" t="s">
        <v>49</v>
      </c>
      <c r="K3340" s="10" t="s">
        <v>6809</v>
      </c>
      <c r="L3340" s="5" t="s">
        <v>6810</v>
      </c>
      <c r="M3340" s="5" t="s">
        <v>8209</v>
      </c>
      <c r="N3340" s="5" t="s">
        <v>8210</v>
      </c>
      <c r="O3340" s="12"/>
      <c r="P3340" s="13">
        <v>20000</v>
      </c>
      <c r="Q3340" s="13">
        <v>20000</v>
      </c>
      <c r="S3340" s="13">
        <v>0</v>
      </c>
      <c r="U3340" s="13">
        <v>0</v>
      </c>
      <c r="AC3340" s="16" t="str">
        <f t="shared" si="156"/>
        <v>ADD</v>
      </c>
      <c r="AD3340" s="17">
        <f t="shared" si="157"/>
        <v>0</v>
      </c>
      <c r="AE3340" s="17">
        <f t="shared" si="158"/>
        <v>0</v>
      </c>
      <c r="AF3340" s="10" t="s">
        <v>8186</v>
      </c>
      <c r="AG3340" s="5" t="s">
        <v>4602</v>
      </c>
      <c r="AH3340" s="5" t="s">
        <v>8207</v>
      </c>
    </row>
    <row r="3341" spans="1:36" ht="10" customHeight="1" x14ac:dyDescent="0.2">
      <c r="A3341" s="5" t="s">
        <v>6809</v>
      </c>
      <c r="B3341" s="5" t="s">
        <v>8157</v>
      </c>
      <c r="C3341" s="5" t="s">
        <v>8211</v>
      </c>
      <c r="D3341" s="5" t="s">
        <v>8212</v>
      </c>
      <c r="E3341" s="12"/>
      <c r="I3341" s="11">
        <v>1</v>
      </c>
      <c r="J3341" s="5" t="s">
        <v>8189</v>
      </c>
      <c r="K3341" s="10" t="s">
        <v>6809</v>
      </c>
      <c r="L3341" s="5" t="s">
        <v>6810</v>
      </c>
      <c r="M3341" s="5" t="s">
        <v>8213</v>
      </c>
      <c r="N3341" s="5" t="s">
        <v>8214</v>
      </c>
      <c r="O3341" s="12"/>
      <c r="P3341" s="13">
        <v>1000</v>
      </c>
      <c r="Q3341" s="13">
        <v>1000</v>
      </c>
      <c r="S3341" s="13">
        <v>98000</v>
      </c>
      <c r="U3341" s="13">
        <v>98000</v>
      </c>
      <c r="AC3341" s="16" t="str">
        <f t="shared" si="156"/>
        <v>ADD</v>
      </c>
      <c r="AD3341" s="17">
        <f t="shared" si="157"/>
        <v>98000</v>
      </c>
      <c r="AE3341" s="17">
        <f t="shared" si="158"/>
        <v>0</v>
      </c>
      <c r="AF3341" s="10" t="s">
        <v>8215</v>
      </c>
      <c r="AG3341" s="5" t="s">
        <v>1170</v>
      </c>
      <c r="AH3341" s="5" t="s">
        <v>8211</v>
      </c>
    </row>
    <row r="3342" spans="1:36" ht="10" customHeight="1" x14ac:dyDescent="0.2">
      <c r="A3342" s="5" t="s">
        <v>6809</v>
      </c>
      <c r="B3342" s="5" t="s">
        <v>8157</v>
      </c>
      <c r="C3342" s="5" t="s">
        <v>8216</v>
      </c>
      <c r="D3342" s="5" t="s">
        <v>8217</v>
      </c>
      <c r="E3342" s="12"/>
      <c r="I3342" s="11">
        <v>6</v>
      </c>
      <c r="K3342" s="12"/>
      <c r="O3342" s="12"/>
      <c r="P3342" s="13">
        <v>5000</v>
      </c>
      <c r="Q3342" s="13">
        <v>5000</v>
      </c>
      <c r="S3342" s="13">
        <v>5000</v>
      </c>
      <c r="U3342" s="13">
        <v>5000</v>
      </c>
      <c r="AC3342" s="16" t="str">
        <f t="shared" si="156"/>
        <v>ADD</v>
      </c>
      <c r="AD3342" s="17">
        <f t="shared" si="157"/>
        <v>5000</v>
      </c>
      <c r="AE3342" s="17">
        <f t="shared" si="158"/>
        <v>0</v>
      </c>
      <c r="AF3342" s="10" t="s">
        <v>8218</v>
      </c>
      <c r="AG3342" s="5" t="s">
        <v>1400</v>
      </c>
      <c r="AH3342" s="5" t="s">
        <v>8216</v>
      </c>
    </row>
    <row r="3343" spans="1:36" ht="10" customHeight="1" x14ac:dyDescent="0.2">
      <c r="A3343" s="5" t="s">
        <v>6809</v>
      </c>
      <c r="B3343" s="5" t="s">
        <v>8157</v>
      </c>
      <c r="C3343" s="5" t="s">
        <v>8219</v>
      </c>
      <c r="D3343" s="5" t="s">
        <v>8220</v>
      </c>
      <c r="E3343" s="10" t="s">
        <v>48</v>
      </c>
      <c r="I3343" s="11">
        <v>6</v>
      </c>
      <c r="K3343" s="12"/>
      <c r="O3343" s="12"/>
      <c r="P3343" s="13">
        <v>5600</v>
      </c>
      <c r="Q3343" s="13">
        <v>5600</v>
      </c>
      <c r="S3343" s="13">
        <v>7040</v>
      </c>
      <c r="U3343" s="13">
        <v>7040</v>
      </c>
      <c r="AC3343" s="16" t="str">
        <f t="shared" si="156"/>
        <v>ADD</v>
      </c>
      <c r="AD3343" s="17">
        <f t="shared" si="157"/>
        <v>7040</v>
      </c>
      <c r="AE3343" s="17">
        <f t="shared" si="158"/>
        <v>0</v>
      </c>
      <c r="AF3343" s="10" t="s">
        <v>8221</v>
      </c>
      <c r="AG3343" s="5" t="s">
        <v>1421</v>
      </c>
      <c r="AH3343" s="5" t="s">
        <v>8219</v>
      </c>
    </row>
    <row r="3344" spans="1:36" ht="10" customHeight="1" x14ac:dyDescent="0.2">
      <c r="A3344" s="5" t="s">
        <v>6809</v>
      </c>
      <c r="B3344" s="5" t="s">
        <v>8157</v>
      </c>
      <c r="D3344" s="5" t="s">
        <v>8222</v>
      </c>
      <c r="E3344" s="10" t="s">
        <v>57</v>
      </c>
      <c r="F3344" s="5" t="s">
        <v>8223</v>
      </c>
      <c r="I3344" s="11">
        <v>6</v>
      </c>
      <c r="K3344" s="12"/>
      <c r="O3344" s="12"/>
      <c r="P3344" s="13">
        <v>800</v>
      </c>
      <c r="Q3344" s="13">
        <v>800</v>
      </c>
      <c r="S3344" s="13">
        <v>2200</v>
      </c>
      <c r="U3344" s="13">
        <v>2200</v>
      </c>
      <c r="AC3344" s="16" t="str">
        <f t="shared" si="156"/>
        <v/>
      </c>
      <c r="AD3344" s="17">
        <f t="shared" si="157"/>
        <v>2200</v>
      </c>
      <c r="AE3344" s="17">
        <f t="shared" si="158"/>
        <v>0</v>
      </c>
      <c r="AF3344" s="10" t="s">
        <v>8224</v>
      </c>
      <c r="AG3344" s="5" t="s">
        <v>1421</v>
      </c>
      <c r="AH3344" s="5" t="s">
        <v>8225</v>
      </c>
      <c r="AJ3344" s="5" t="s">
        <v>8226</v>
      </c>
    </row>
    <row r="3345" spans="1:36" ht="10" customHeight="1" x14ac:dyDescent="0.2">
      <c r="A3345" s="5" t="s">
        <v>6809</v>
      </c>
      <c r="B3345" s="5" t="s">
        <v>8157</v>
      </c>
      <c r="C3345" s="5" t="s">
        <v>8227</v>
      </c>
      <c r="D3345" s="5" t="s">
        <v>8228</v>
      </c>
      <c r="E3345" s="12"/>
      <c r="I3345" s="11">
        <v>6</v>
      </c>
      <c r="K3345" s="12"/>
      <c r="O3345" s="12"/>
      <c r="P3345" s="13">
        <v>21000</v>
      </c>
      <c r="Q3345" s="13">
        <v>21000</v>
      </c>
      <c r="S3345" s="13">
        <v>22000</v>
      </c>
      <c r="U3345" s="13">
        <v>22000</v>
      </c>
      <c r="AC3345" s="16" t="str">
        <f t="shared" si="156"/>
        <v>ADD</v>
      </c>
      <c r="AD3345" s="17">
        <f t="shared" si="157"/>
        <v>22000</v>
      </c>
      <c r="AE3345" s="17">
        <f t="shared" si="158"/>
        <v>0</v>
      </c>
      <c r="AF3345" s="10" t="s">
        <v>8229</v>
      </c>
      <c r="AG3345" s="5" t="s">
        <v>1432</v>
      </c>
      <c r="AH3345" s="5" t="s">
        <v>8227</v>
      </c>
    </row>
    <row r="3346" spans="1:36" ht="10" customHeight="1" x14ac:dyDescent="0.2">
      <c r="A3346" s="5" t="s">
        <v>6809</v>
      </c>
      <c r="B3346" s="5" t="s">
        <v>8157</v>
      </c>
      <c r="D3346" s="5" t="s">
        <v>2168</v>
      </c>
      <c r="E3346" s="12"/>
      <c r="I3346" s="11">
        <v>4</v>
      </c>
      <c r="K3346" s="12"/>
      <c r="O3346" s="12"/>
      <c r="P3346" s="13">
        <v>16000</v>
      </c>
      <c r="Q3346" s="13">
        <v>16000</v>
      </c>
      <c r="S3346" s="13">
        <v>10000</v>
      </c>
      <c r="U3346" s="13">
        <v>10000</v>
      </c>
      <c r="AC3346" s="16" t="str">
        <f t="shared" si="156"/>
        <v>ADD</v>
      </c>
      <c r="AD3346" s="17">
        <f t="shared" si="157"/>
        <v>10000</v>
      </c>
      <c r="AE3346" s="17">
        <f t="shared" si="158"/>
        <v>0</v>
      </c>
      <c r="AF3346" s="10" t="s">
        <v>8230</v>
      </c>
      <c r="AG3346" s="5" t="s">
        <v>81</v>
      </c>
      <c r="AH3346" s="5" t="s">
        <v>8225</v>
      </c>
    </row>
    <row r="3347" spans="1:36" ht="10" customHeight="1" x14ac:dyDescent="0.2">
      <c r="A3347" s="5" t="s">
        <v>6809</v>
      </c>
      <c r="B3347" s="5" t="s">
        <v>8157</v>
      </c>
      <c r="D3347" s="5" t="s">
        <v>8231</v>
      </c>
      <c r="E3347" s="12"/>
      <c r="I3347" s="11">
        <v>4</v>
      </c>
      <c r="K3347" s="12"/>
      <c r="O3347" s="12"/>
      <c r="P3347" s="13">
        <v>21500</v>
      </c>
      <c r="Q3347" s="13">
        <v>21500</v>
      </c>
      <c r="S3347" s="13">
        <v>25800</v>
      </c>
      <c r="U3347" s="13">
        <v>25800</v>
      </c>
      <c r="AC3347" s="16" t="str">
        <f t="shared" si="156"/>
        <v>ADD</v>
      </c>
      <c r="AD3347" s="17">
        <f t="shared" si="157"/>
        <v>25800</v>
      </c>
      <c r="AE3347" s="17">
        <f t="shared" si="158"/>
        <v>0</v>
      </c>
      <c r="AF3347" s="10" t="s">
        <v>8232</v>
      </c>
      <c r="AG3347" s="5" t="s">
        <v>85</v>
      </c>
      <c r="AH3347" s="5" t="s">
        <v>8225</v>
      </c>
    </row>
    <row r="3348" spans="1:36" ht="10" customHeight="1" x14ac:dyDescent="0.2">
      <c r="A3348" s="5" t="s">
        <v>6809</v>
      </c>
      <c r="B3348" s="5" t="s">
        <v>8157</v>
      </c>
      <c r="D3348" s="5" t="s">
        <v>8233</v>
      </c>
      <c r="E3348" s="12"/>
      <c r="I3348" s="11">
        <v>4</v>
      </c>
      <c r="K3348" s="10" t="s">
        <v>6809</v>
      </c>
      <c r="L3348" s="5" t="s">
        <v>6810</v>
      </c>
      <c r="M3348" s="5" t="s">
        <v>6811</v>
      </c>
      <c r="N3348" s="5" t="s">
        <v>6812</v>
      </c>
      <c r="O3348" s="12"/>
      <c r="P3348" s="13">
        <v>0</v>
      </c>
      <c r="Q3348" s="13">
        <v>0</v>
      </c>
      <c r="S3348" s="13">
        <v>30000</v>
      </c>
      <c r="U3348" s="13">
        <v>30000</v>
      </c>
      <c r="AC3348" s="16" t="str">
        <f t="shared" si="156"/>
        <v>ADD</v>
      </c>
      <c r="AD3348" s="17">
        <f t="shared" si="157"/>
        <v>30000</v>
      </c>
      <c r="AE3348" s="17">
        <f t="shared" si="158"/>
        <v>0</v>
      </c>
      <c r="AF3348" s="10" t="s">
        <v>8234</v>
      </c>
      <c r="AG3348" s="5" t="s">
        <v>1455</v>
      </c>
      <c r="AH3348" s="5" t="s">
        <v>8225</v>
      </c>
    </row>
    <row r="3349" spans="1:36" ht="10" customHeight="1" x14ac:dyDescent="0.2">
      <c r="A3349" s="5" t="s">
        <v>6809</v>
      </c>
      <c r="B3349" s="5" t="s">
        <v>8157</v>
      </c>
      <c r="C3349" s="5" t="s">
        <v>8235</v>
      </c>
      <c r="D3349" s="5" t="s">
        <v>8236</v>
      </c>
      <c r="E3349" s="12"/>
      <c r="I3349" s="11">
        <v>7</v>
      </c>
      <c r="K3349" s="12"/>
      <c r="O3349" s="12"/>
      <c r="P3349" s="13">
        <v>130000</v>
      </c>
      <c r="Q3349" s="13">
        <v>130000</v>
      </c>
      <c r="S3349" s="13">
        <v>7500</v>
      </c>
      <c r="U3349" s="13">
        <v>7500</v>
      </c>
      <c r="AC3349" s="16" t="str">
        <f t="shared" si="156"/>
        <v>ADD</v>
      </c>
      <c r="AD3349" s="17">
        <f t="shared" si="157"/>
        <v>7500</v>
      </c>
      <c r="AE3349" s="17">
        <f t="shared" si="158"/>
        <v>0</v>
      </c>
      <c r="AF3349" s="10" t="s">
        <v>8237</v>
      </c>
      <c r="AG3349" s="5" t="s">
        <v>1641</v>
      </c>
      <c r="AH3349" s="5" t="s">
        <v>8235</v>
      </c>
    </row>
    <row r="3350" spans="1:36" ht="10" customHeight="1" x14ac:dyDescent="0.2">
      <c r="A3350" s="5" t="s">
        <v>6809</v>
      </c>
      <c r="B3350" s="5" t="s">
        <v>8157</v>
      </c>
      <c r="C3350" s="5" t="s">
        <v>8238</v>
      </c>
      <c r="D3350" s="5" t="s">
        <v>8239</v>
      </c>
      <c r="E3350" s="12"/>
      <c r="I3350" s="11">
        <v>4</v>
      </c>
      <c r="K3350" s="10" t="s">
        <v>6809</v>
      </c>
      <c r="L3350" s="5" t="s">
        <v>6810</v>
      </c>
      <c r="M3350" s="5" t="s">
        <v>6811</v>
      </c>
      <c r="N3350" s="5" t="s">
        <v>6812</v>
      </c>
      <c r="O3350" s="12"/>
      <c r="P3350" s="13">
        <v>500</v>
      </c>
      <c r="Q3350" s="13">
        <v>500</v>
      </c>
      <c r="S3350" s="13">
        <v>1000</v>
      </c>
      <c r="U3350" s="13">
        <v>1000</v>
      </c>
      <c r="AC3350" s="16" t="str">
        <f t="shared" si="156"/>
        <v>ADD</v>
      </c>
      <c r="AD3350" s="17">
        <f t="shared" si="157"/>
        <v>1000</v>
      </c>
      <c r="AE3350" s="17">
        <f t="shared" si="158"/>
        <v>0</v>
      </c>
      <c r="AF3350" s="10" t="s">
        <v>8240</v>
      </c>
      <c r="AG3350" s="5" t="s">
        <v>1314</v>
      </c>
      <c r="AH3350" s="5" t="s">
        <v>8238</v>
      </c>
    </row>
    <row r="3351" spans="1:36" ht="10" customHeight="1" x14ac:dyDescent="0.2">
      <c r="A3351" s="5" t="s">
        <v>6809</v>
      </c>
      <c r="B3351" s="5" t="s">
        <v>8241</v>
      </c>
      <c r="D3351" s="5" t="s">
        <v>8242</v>
      </c>
      <c r="E3351" s="10" t="s">
        <v>349</v>
      </c>
      <c r="F3351" s="5" t="s">
        <v>8243</v>
      </c>
      <c r="I3351" s="11">
        <v>2</v>
      </c>
      <c r="K3351" s="12"/>
      <c r="O3351" s="12"/>
      <c r="Q3351" s="13">
        <v>70000</v>
      </c>
      <c r="S3351" s="13">
        <v>400000</v>
      </c>
      <c r="U3351" s="13">
        <v>400000</v>
      </c>
      <c r="AC3351" s="16" t="str">
        <f t="shared" si="156"/>
        <v>ALT</v>
      </c>
      <c r="AD3351" s="17">
        <f t="shared" si="157"/>
        <v>400000</v>
      </c>
      <c r="AE3351" s="17">
        <f t="shared" si="158"/>
        <v>0</v>
      </c>
      <c r="AF3351" s="10" t="s">
        <v>8244</v>
      </c>
      <c r="AG3351" s="5" t="s">
        <v>6324</v>
      </c>
      <c r="AH3351" s="5" t="s">
        <v>8245</v>
      </c>
      <c r="AJ3351" s="5" t="s">
        <v>8246</v>
      </c>
    </row>
    <row r="3352" spans="1:36" ht="10" customHeight="1" x14ac:dyDescent="0.2">
      <c r="A3352" s="5" t="s">
        <v>6809</v>
      </c>
      <c r="B3352" s="5" t="s">
        <v>8241</v>
      </c>
      <c r="D3352" s="5" t="s">
        <v>8247</v>
      </c>
      <c r="E3352" s="10" t="s">
        <v>188</v>
      </c>
      <c r="I3352" s="11" t="s">
        <v>8248</v>
      </c>
      <c r="K3352" s="12"/>
      <c r="O3352" s="12"/>
      <c r="P3352" s="13">
        <v>3125281</v>
      </c>
      <c r="Q3352" s="13">
        <v>3172908</v>
      </c>
      <c r="S3352" s="13">
        <v>3425335</v>
      </c>
      <c r="U3352" s="13">
        <v>3425335</v>
      </c>
      <c r="AC3352" s="16" t="str">
        <f t="shared" si="156"/>
        <v/>
      </c>
      <c r="AD3352" s="17">
        <f t="shared" si="157"/>
        <v>3425335</v>
      </c>
      <c r="AE3352" s="17">
        <f t="shared" si="158"/>
        <v>0</v>
      </c>
      <c r="AF3352" s="10" t="s">
        <v>8249</v>
      </c>
      <c r="AG3352" s="5" t="s">
        <v>767</v>
      </c>
      <c r="AH3352" s="5" t="s">
        <v>8250</v>
      </c>
    </row>
    <row r="3353" spans="1:36" ht="10" customHeight="1" x14ac:dyDescent="0.2">
      <c r="A3353" s="5" t="s">
        <v>6809</v>
      </c>
      <c r="B3353" s="5" t="s">
        <v>8241</v>
      </c>
      <c r="D3353" s="5" t="s">
        <v>8251</v>
      </c>
      <c r="E3353" s="10" t="s">
        <v>188</v>
      </c>
      <c r="I3353" s="11" t="s">
        <v>8248</v>
      </c>
      <c r="K3353" s="12"/>
      <c r="O3353" s="12"/>
      <c r="P3353" s="13">
        <v>865621</v>
      </c>
      <c r="Q3353" s="13">
        <v>883590</v>
      </c>
      <c r="S3353" s="13">
        <v>969498</v>
      </c>
      <c r="U3353" s="13">
        <v>969498</v>
      </c>
      <c r="AC3353" s="16" t="str">
        <f t="shared" si="156"/>
        <v/>
      </c>
      <c r="AD3353" s="17">
        <f t="shared" si="157"/>
        <v>969498</v>
      </c>
      <c r="AE3353" s="17">
        <f t="shared" si="158"/>
        <v>0</v>
      </c>
      <c r="AF3353" s="10" t="s">
        <v>8252</v>
      </c>
      <c r="AG3353" s="5" t="s">
        <v>664</v>
      </c>
      <c r="AH3353" s="5" t="s">
        <v>8245</v>
      </c>
    </row>
    <row r="3354" spans="1:36" ht="10" customHeight="1" x14ac:dyDescent="0.2">
      <c r="A3354" s="5" t="s">
        <v>6809</v>
      </c>
      <c r="B3354" s="5" t="s">
        <v>8241</v>
      </c>
      <c r="D3354" s="5" t="s">
        <v>8253</v>
      </c>
      <c r="E3354" s="10" t="s">
        <v>188</v>
      </c>
      <c r="I3354" s="11" t="s">
        <v>8248</v>
      </c>
      <c r="K3354" s="12"/>
      <c r="O3354" s="12"/>
      <c r="S3354" s="13">
        <v>16279</v>
      </c>
      <c r="U3354" s="13">
        <v>16279</v>
      </c>
      <c r="AC3354" s="16" t="str">
        <f t="shared" si="156"/>
        <v/>
      </c>
      <c r="AD3354" s="17">
        <f t="shared" si="157"/>
        <v>16279</v>
      </c>
      <c r="AE3354" s="17">
        <f t="shared" si="158"/>
        <v>0</v>
      </c>
      <c r="AF3354" s="10" t="s">
        <v>8254</v>
      </c>
      <c r="AG3354" s="5" t="s">
        <v>6432</v>
      </c>
      <c r="AH3354" s="5" t="s">
        <v>8245</v>
      </c>
    </row>
    <row r="3355" spans="1:36" ht="10" customHeight="1" x14ac:dyDescent="0.2">
      <c r="A3355" s="5" t="s">
        <v>6809</v>
      </c>
      <c r="B3355" s="5" t="s">
        <v>8241</v>
      </c>
      <c r="D3355" s="5" t="s">
        <v>8255</v>
      </c>
      <c r="E3355" s="10" t="s">
        <v>188</v>
      </c>
      <c r="I3355" s="11" t="s">
        <v>8248</v>
      </c>
      <c r="K3355" s="10" t="s">
        <v>6809</v>
      </c>
      <c r="L3355" s="5" t="s">
        <v>6810</v>
      </c>
      <c r="M3355" s="5" t="s">
        <v>8194</v>
      </c>
      <c r="N3355" s="5" t="s">
        <v>8195</v>
      </c>
      <c r="O3355" s="12"/>
      <c r="S3355" s="13">
        <v>13447</v>
      </c>
      <c r="U3355" s="13">
        <v>13447</v>
      </c>
      <c r="AC3355" s="16" t="str">
        <f t="shared" si="156"/>
        <v/>
      </c>
      <c r="AD3355" s="17">
        <f t="shared" si="157"/>
        <v>13447</v>
      </c>
      <c r="AE3355" s="17">
        <f t="shared" si="158"/>
        <v>0</v>
      </c>
      <c r="AF3355" s="10" t="s">
        <v>8256</v>
      </c>
      <c r="AG3355" s="5" t="s">
        <v>353</v>
      </c>
      <c r="AH3355" s="5" t="s">
        <v>8245</v>
      </c>
    </row>
    <row r="3356" spans="1:36" ht="10" customHeight="1" x14ac:dyDescent="0.2">
      <c r="A3356" s="5" t="s">
        <v>6809</v>
      </c>
      <c r="B3356" s="5" t="s">
        <v>8241</v>
      </c>
      <c r="D3356" s="5" t="s">
        <v>8257</v>
      </c>
      <c r="E3356" s="10" t="s">
        <v>188</v>
      </c>
      <c r="I3356" s="11" t="s">
        <v>8248</v>
      </c>
      <c r="K3356" s="10" t="s">
        <v>6809</v>
      </c>
      <c r="L3356" s="5" t="s">
        <v>6810</v>
      </c>
      <c r="M3356" s="5" t="s">
        <v>8188</v>
      </c>
      <c r="N3356" s="5" t="s">
        <v>8190</v>
      </c>
      <c r="O3356" s="12"/>
      <c r="S3356" s="13">
        <v>1027</v>
      </c>
      <c r="U3356" s="13">
        <v>1027</v>
      </c>
      <c r="AC3356" s="16" t="str">
        <f t="shared" si="156"/>
        <v/>
      </c>
      <c r="AD3356" s="17">
        <f t="shared" si="157"/>
        <v>1027</v>
      </c>
      <c r="AE3356" s="17">
        <f t="shared" si="158"/>
        <v>0</v>
      </c>
      <c r="AF3356" s="10" t="s">
        <v>8258</v>
      </c>
      <c r="AG3356" s="5" t="s">
        <v>379</v>
      </c>
      <c r="AH3356" s="5" t="s">
        <v>8245</v>
      </c>
    </row>
    <row r="3357" spans="1:36" ht="10" customHeight="1" x14ac:dyDescent="0.2">
      <c r="A3357" s="5" t="s">
        <v>6809</v>
      </c>
      <c r="B3357" s="5" t="s">
        <v>8241</v>
      </c>
      <c r="D3357" s="5" t="s">
        <v>8259</v>
      </c>
      <c r="E3357" s="10" t="s">
        <v>188</v>
      </c>
      <c r="I3357" s="11" t="s">
        <v>8248</v>
      </c>
      <c r="K3357" s="12"/>
      <c r="O3357" s="12"/>
      <c r="S3357" s="13">
        <v>4365</v>
      </c>
      <c r="U3357" s="13">
        <v>4365</v>
      </c>
      <c r="AC3357" s="16" t="str">
        <f t="shared" si="156"/>
        <v/>
      </c>
      <c r="AD3357" s="17">
        <f t="shared" si="157"/>
        <v>4365</v>
      </c>
      <c r="AE3357" s="17">
        <f t="shared" si="158"/>
        <v>0</v>
      </c>
      <c r="AF3357" s="10" t="s">
        <v>8260</v>
      </c>
      <c r="AG3357" s="5" t="s">
        <v>470</v>
      </c>
      <c r="AH3357" s="5" t="s">
        <v>8245</v>
      </c>
    </row>
    <row r="3358" spans="1:36" ht="10" customHeight="1" x14ac:dyDescent="0.2">
      <c r="A3358" s="5" t="s">
        <v>6809</v>
      </c>
      <c r="B3358" s="5" t="s">
        <v>8241</v>
      </c>
      <c r="D3358" s="5" t="s">
        <v>8261</v>
      </c>
      <c r="E3358" s="10" t="s">
        <v>188</v>
      </c>
      <c r="K3358" s="12"/>
      <c r="O3358" s="12"/>
      <c r="S3358" s="13">
        <v>-33502</v>
      </c>
      <c r="U3358" s="13">
        <v>-33502</v>
      </c>
      <c r="AC3358" s="16" t="str">
        <f t="shared" si="156"/>
        <v/>
      </c>
      <c r="AD3358" s="17">
        <f t="shared" si="157"/>
        <v>-33502</v>
      </c>
      <c r="AE3358" s="17">
        <f t="shared" si="158"/>
        <v>0</v>
      </c>
      <c r="AF3358" s="10" t="s">
        <v>8262</v>
      </c>
      <c r="AG3358" s="5" t="s">
        <v>353</v>
      </c>
      <c r="AH3358" s="5" t="s">
        <v>8245</v>
      </c>
    </row>
    <row r="3359" spans="1:36" ht="10" customHeight="1" x14ac:dyDescent="0.2">
      <c r="A3359" s="5" t="s">
        <v>6809</v>
      </c>
      <c r="B3359" s="5" t="s">
        <v>8241</v>
      </c>
      <c r="D3359" s="5" t="s">
        <v>8263</v>
      </c>
      <c r="E3359" s="10" t="s">
        <v>188</v>
      </c>
      <c r="I3359" s="11" t="s">
        <v>8248</v>
      </c>
      <c r="K3359" s="12"/>
      <c r="O3359" s="12"/>
      <c r="S3359" s="13">
        <v>116405</v>
      </c>
      <c r="U3359" s="13">
        <v>116405</v>
      </c>
      <c r="AC3359" s="16" t="str">
        <f t="shared" si="156"/>
        <v/>
      </c>
      <c r="AD3359" s="17">
        <f t="shared" si="157"/>
        <v>116405</v>
      </c>
      <c r="AE3359" s="17">
        <f t="shared" si="158"/>
        <v>0</v>
      </c>
      <c r="AF3359" s="10" t="s">
        <v>8264</v>
      </c>
      <c r="AG3359" s="5" t="s">
        <v>379</v>
      </c>
      <c r="AH3359" s="5" t="s">
        <v>8245</v>
      </c>
    </row>
    <row r="3360" spans="1:36" ht="10" customHeight="1" x14ac:dyDescent="0.2">
      <c r="A3360" s="5" t="s">
        <v>6809</v>
      </c>
      <c r="B3360" s="5" t="s">
        <v>8241</v>
      </c>
      <c r="D3360" s="5" t="s">
        <v>8265</v>
      </c>
      <c r="E3360" s="10" t="s">
        <v>188</v>
      </c>
      <c r="I3360" s="11">
        <v>1</v>
      </c>
      <c r="K3360" s="12"/>
      <c r="O3360" s="12"/>
      <c r="S3360" s="13">
        <v>7738</v>
      </c>
      <c r="U3360" s="13">
        <v>7738</v>
      </c>
      <c r="AC3360" s="16" t="str">
        <f t="shared" si="156"/>
        <v/>
      </c>
      <c r="AD3360" s="17">
        <f t="shared" si="157"/>
        <v>7738</v>
      </c>
      <c r="AE3360" s="17">
        <f t="shared" si="158"/>
        <v>0</v>
      </c>
      <c r="AF3360" s="10" t="s">
        <v>8266</v>
      </c>
      <c r="AG3360" s="5" t="s">
        <v>425</v>
      </c>
      <c r="AH3360" s="5" t="s">
        <v>8245</v>
      </c>
    </row>
    <row r="3361" spans="1:34" ht="10" customHeight="1" x14ac:dyDescent="0.2">
      <c r="A3361" s="5" t="s">
        <v>6809</v>
      </c>
      <c r="B3361" s="5" t="s">
        <v>8241</v>
      </c>
      <c r="D3361" s="5" t="s">
        <v>8267</v>
      </c>
      <c r="E3361" s="10" t="s">
        <v>188</v>
      </c>
      <c r="K3361" s="12"/>
      <c r="O3361" s="12"/>
      <c r="S3361" s="11" t="s">
        <v>8268</v>
      </c>
      <c r="U3361" s="11" t="s">
        <v>8268</v>
      </c>
      <c r="AC3361" s="16" t="str">
        <f t="shared" si="156"/>
        <v/>
      </c>
      <c r="AD3361" s="17" t="str">
        <f t="shared" si="157"/>
        <v>(revolving fund - reimbursable)</v>
      </c>
      <c r="AE3361" s="17">
        <f t="shared" si="158"/>
        <v>0</v>
      </c>
      <c r="AF3361" s="10" t="s">
        <v>8269</v>
      </c>
      <c r="AG3361" s="5" t="s">
        <v>101</v>
      </c>
      <c r="AH3361" s="5" t="s">
        <v>8245</v>
      </c>
    </row>
    <row r="3362" spans="1:34" ht="10" customHeight="1" x14ac:dyDescent="0.2">
      <c r="A3362" s="5" t="s">
        <v>44</v>
      </c>
      <c r="B3362" s="5" t="s">
        <v>45</v>
      </c>
      <c r="C3362" s="5" t="s">
        <v>8270</v>
      </c>
      <c r="D3362" s="5" t="s">
        <v>8271</v>
      </c>
      <c r="E3362" s="10" t="s">
        <v>8272</v>
      </c>
      <c r="K3362" s="12"/>
      <c r="O3362" s="12"/>
      <c r="W3362" s="13">
        <v>1452000</v>
      </c>
      <c r="X3362" s="13">
        <v>0</v>
      </c>
      <c r="Y3362" s="13">
        <v>1452000</v>
      </c>
      <c r="AC3362" s="16" t="str">
        <f t="shared" si="156"/>
        <v/>
      </c>
      <c r="AD3362" s="17">
        <f t="shared" si="157"/>
        <v>1452000</v>
      </c>
      <c r="AE3362" s="17">
        <f t="shared" si="158"/>
        <v>0</v>
      </c>
      <c r="AF3362" s="12"/>
    </row>
    <row r="3363" spans="1:34" ht="10" customHeight="1" x14ac:dyDescent="0.2">
      <c r="A3363" s="5" t="s">
        <v>44</v>
      </c>
      <c r="B3363" s="5" t="s">
        <v>45</v>
      </c>
      <c r="C3363" s="5" t="s">
        <v>8273</v>
      </c>
      <c r="D3363" s="5" t="s">
        <v>8274</v>
      </c>
      <c r="E3363" s="10" t="s">
        <v>8272</v>
      </c>
      <c r="K3363" s="12"/>
      <c r="O3363" s="12"/>
      <c r="W3363" s="13">
        <v>1596881</v>
      </c>
      <c r="X3363" s="13">
        <v>0</v>
      </c>
      <c r="Y3363" s="13">
        <v>1596881</v>
      </c>
      <c r="AC3363" s="16" t="str">
        <f t="shared" si="156"/>
        <v/>
      </c>
      <c r="AD3363" s="17">
        <f t="shared" si="157"/>
        <v>1596881</v>
      </c>
      <c r="AE3363" s="17">
        <f t="shared" si="158"/>
        <v>0</v>
      </c>
      <c r="AF3363" s="12"/>
    </row>
    <row r="3364" spans="1:34" ht="10" customHeight="1" x14ac:dyDescent="0.2">
      <c r="A3364" s="5" t="s">
        <v>8275</v>
      </c>
      <c r="B3364" s="5" t="s">
        <v>45</v>
      </c>
      <c r="C3364" s="5" t="s">
        <v>8276</v>
      </c>
      <c r="D3364" s="5" t="s">
        <v>8277</v>
      </c>
      <c r="E3364" s="10" t="s">
        <v>8272</v>
      </c>
      <c r="K3364" s="12"/>
      <c r="O3364" s="12"/>
      <c r="W3364" s="13">
        <v>434060</v>
      </c>
      <c r="X3364" s="13">
        <v>0</v>
      </c>
      <c r="Y3364" s="13">
        <v>434060</v>
      </c>
      <c r="AC3364" s="16" t="str">
        <f t="shared" si="156"/>
        <v/>
      </c>
      <c r="AD3364" s="17">
        <f t="shared" si="157"/>
        <v>434060</v>
      </c>
      <c r="AE3364" s="17">
        <f t="shared" si="158"/>
        <v>0</v>
      </c>
      <c r="AF3364" s="12"/>
    </row>
    <row r="3365" spans="1:34" ht="10" customHeight="1" x14ac:dyDescent="0.2">
      <c r="A3365" s="5" t="s">
        <v>4712</v>
      </c>
      <c r="B3365" s="5" t="s">
        <v>4713</v>
      </c>
      <c r="C3365" s="5" t="s">
        <v>8278</v>
      </c>
      <c r="D3365" s="5" t="s">
        <v>8279</v>
      </c>
      <c r="E3365" s="10" t="s">
        <v>8272</v>
      </c>
      <c r="K3365" s="12"/>
      <c r="O3365" s="12"/>
      <c r="W3365" s="13">
        <v>110000</v>
      </c>
      <c r="X3365" s="13">
        <v>1606933</v>
      </c>
      <c r="Y3365" s="13">
        <v>1716933</v>
      </c>
      <c r="AC3365" s="16" t="str">
        <f t="shared" si="156"/>
        <v/>
      </c>
      <c r="AD3365" s="17">
        <f t="shared" si="157"/>
        <v>1716933</v>
      </c>
      <c r="AE3365" s="17">
        <f t="shared" si="158"/>
        <v>0</v>
      </c>
      <c r="AF3365" s="12"/>
    </row>
    <row r="3366" spans="1:34" ht="10" customHeight="1" x14ac:dyDescent="0.2">
      <c r="A3366" s="5" t="s">
        <v>4712</v>
      </c>
      <c r="B3366" s="5" t="s">
        <v>4713</v>
      </c>
      <c r="C3366" s="5" t="s">
        <v>5372</v>
      </c>
      <c r="D3366" s="5" t="s">
        <v>8280</v>
      </c>
      <c r="E3366" s="10" t="s">
        <v>8272</v>
      </c>
      <c r="K3366" s="12"/>
      <c r="O3366" s="12"/>
      <c r="W3366" s="13">
        <v>45943</v>
      </c>
      <c r="X3366" s="13">
        <v>2276340</v>
      </c>
      <c r="Y3366" s="13">
        <v>2322283</v>
      </c>
      <c r="AC3366" s="16" t="str">
        <f t="shared" si="156"/>
        <v/>
      </c>
      <c r="AD3366" s="17">
        <f t="shared" si="157"/>
        <v>2322283</v>
      </c>
      <c r="AE3366" s="17">
        <f t="shared" si="158"/>
        <v>0</v>
      </c>
      <c r="AF3366" s="12"/>
    </row>
    <row r="3367" spans="1:34" ht="10" customHeight="1" x14ac:dyDescent="0.2">
      <c r="A3367" s="5" t="s">
        <v>4712</v>
      </c>
      <c r="B3367" s="5" t="s">
        <v>4713</v>
      </c>
      <c r="C3367" s="5" t="s">
        <v>8281</v>
      </c>
      <c r="D3367" s="5" t="s">
        <v>8282</v>
      </c>
      <c r="E3367" s="10" t="s">
        <v>8272</v>
      </c>
      <c r="K3367" s="12"/>
      <c r="O3367" s="12"/>
      <c r="W3367" s="13">
        <v>5000</v>
      </c>
      <c r="X3367" s="13">
        <v>414657</v>
      </c>
      <c r="Y3367" s="13">
        <v>419657</v>
      </c>
      <c r="AC3367" s="16" t="str">
        <f t="shared" si="156"/>
        <v/>
      </c>
      <c r="AD3367" s="17">
        <f t="shared" si="157"/>
        <v>419657</v>
      </c>
      <c r="AE3367" s="17">
        <f t="shared" si="158"/>
        <v>0</v>
      </c>
      <c r="AF3367" s="12"/>
    </row>
    <row r="3368" spans="1:34" ht="10" customHeight="1" x14ac:dyDescent="0.2">
      <c r="A3368" s="5" t="s">
        <v>4712</v>
      </c>
      <c r="B3368" s="5" t="s">
        <v>4713</v>
      </c>
      <c r="C3368" s="5" t="s">
        <v>8283</v>
      </c>
      <c r="D3368" s="5" t="s">
        <v>8284</v>
      </c>
      <c r="E3368" s="10" t="s">
        <v>8272</v>
      </c>
      <c r="K3368" s="12"/>
      <c r="O3368" s="12"/>
      <c r="W3368" s="13">
        <v>3871</v>
      </c>
      <c r="X3368" s="13">
        <v>620746</v>
      </c>
      <c r="Y3368" s="13">
        <v>624617</v>
      </c>
      <c r="AC3368" s="16" t="str">
        <f t="shared" si="156"/>
        <v/>
      </c>
      <c r="AD3368" s="17">
        <f t="shared" si="157"/>
        <v>624617</v>
      </c>
      <c r="AE3368" s="17">
        <f t="shared" si="158"/>
        <v>0</v>
      </c>
      <c r="AF3368" s="12"/>
    </row>
    <row r="3369" spans="1:34" ht="10" customHeight="1" x14ac:dyDescent="0.2">
      <c r="A3369" s="5" t="s">
        <v>4712</v>
      </c>
      <c r="B3369" s="5" t="s">
        <v>4713</v>
      </c>
      <c r="C3369" s="5" t="s">
        <v>8285</v>
      </c>
      <c r="D3369" s="5" t="s">
        <v>8286</v>
      </c>
      <c r="E3369" s="10" t="s">
        <v>8272</v>
      </c>
      <c r="K3369" s="12"/>
      <c r="O3369" s="12"/>
      <c r="W3369" s="13">
        <v>43340</v>
      </c>
      <c r="X3369" s="13">
        <v>1837670</v>
      </c>
      <c r="Y3369" s="13">
        <v>1881010</v>
      </c>
      <c r="AC3369" s="16" t="str">
        <f t="shared" si="156"/>
        <v/>
      </c>
      <c r="AD3369" s="17">
        <f t="shared" si="157"/>
        <v>1881010</v>
      </c>
      <c r="AE3369" s="17">
        <f t="shared" si="158"/>
        <v>0</v>
      </c>
      <c r="AF3369" s="12"/>
    </row>
    <row r="3370" spans="1:34" ht="10" customHeight="1" x14ac:dyDescent="0.2">
      <c r="A3370" s="5" t="s">
        <v>4712</v>
      </c>
      <c r="B3370" s="5" t="s">
        <v>4713</v>
      </c>
      <c r="C3370" s="5" t="s">
        <v>8287</v>
      </c>
      <c r="D3370" s="5" t="s">
        <v>8288</v>
      </c>
      <c r="E3370" s="10" t="s">
        <v>8272</v>
      </c>
      <c r="K3370" s="12"/>
      <c r="O3370" s="12"/>
      <c r="W3370" s="13">
        <v>5000</v>
      </c>
      <c r="X3370" s="13">
        <v>2175422</v>
      </c>
      <c r="Y3370" s="13">
        <v>2180422</v>
      </c>
      <c r="AC3370" s="16" t="str">
        <f t="shared" si="156"/>
        <v/>
      </c>
      <c r="AD3370" s="17">
        <f t="shared" si="157"/>
        <v>2180422</v>
      </c>
      <c r="AE3370" s="17">
        <f t="shared" si="158"/>
        <v>0</v>
      </c>
      <c r="AF3370" s="12"/>
    </row>
    <row r="3371" spans="1:34" ht="10" customHeight="1" x14ac:dyDescent="0.2">
      <c r="A3371" s="5" t="s">
        <v>4712</v>
      </c>
      <c r="B3371" s="5" t="s">
        <v>4713</v>
      </c>
      <c r="C3371" s="5" t="s">
        <v>8289</v>
      </c>
      <c r="D3371" s="5" t="s">
        <v>8290</v>
      </c>
      <c r="E3371" s="10" t="s">
        <v>8272</v>
      </c>
      <c r="K3371" s="12"/>
      <c r="O3371" s="12"/>
      <c r="W3371" s="13">
        <v>875000</v>
      </c>
      <c r="X3371" s="13">
        <v>4062638</v>
      </c>
      <c r="Y3371" s="13">
        <v>4937638</v>
      </c>
      <c r="AC3371" s="16" t="str">
        <f t="shared" si="156"/>
        <v/>
      </c>
      <c r="AD3371" s="17">
        <f t="shared" si="157"/>
        <v>4937638</v>
      </c>
      <c r="AE3371" s="17">
        <f t="shared" si="158"/>
        <v>0</v>
      </c>
      <c r="AF3371" s="12"/>
    </row>
    <row r="3372" spans="1:34" ht="10" customHeight="1" x14ac:dyDescent="0.2">
      <c r="A3372" s="5" t="s">
        <v>4712</v>
      </c>
      <c r="B3372" s="5" t="s">
        <v>4713</v>
      </c>
      <c r="C3372" s="5" t="s">
        <v>8291</v>
      </c>
      <c r="D3372" s="5" t="s">
        <v>8292</v>
      </c>
      <c r="E3372" s="10" t="s">
        <v>8272</v>
      </c>
      <c r="K3372" s="12"/>
      <c r="O3372" s="12"/>
      <c r="W3372" s="13">
        <v>41421</v>
      </c>
      <c r="X3372" s="13">
        <v>6086266</v>
      </c>
      <c r="Y3372" s="13">
        <v>6127687</v>
      </c>
      <c r="AC3372" s="16" t="str">
        <f t="shared" si="156"/>
        <v/>
      </c>
      <c r="AD3372" s="17">
        <f t="shared" si="157"/>
        <v>6127687</v>
      </c>
      <c r="AE3372" s="17">
        <f t="shared" si="158"/>
        <v>0</v>
      </c>
      <c r="AF3372" s="12"/>
    </row>
    <row r="3373" spans="1:34" ht="10" customHeight="1" x14ac:dyDescent="0.2">
      <c r="A3373" s="5" t="s">
        <v>4712</v>
      </c>
      <c r="B3373" s="5" t="s">
        <v>4713</v>
      </c>
      <c r="C3373" s="5" t="s">
        <v>8293</v>
      </c>
      <c r="D3373" s="5" t="s">
        <v>8294</v>
      </c>
      <c r="E3373" s="10" t="s">
        <v>8272</v>
      </c>
      <c r="K3373" s="12"/>
      <c r="O3373" s="12"/>
      <c r="W3373" s="13">
        <v>25000</v>
      </c>
      <c r="X3373" s="13">
        <v>914</v>
      </c>
      <c r="Y3373" s="13">
        <v>25914</v>
      </c>
      <c r="AC3373" s="16" t="str">
        <f t="shared" si="156"/>
        <v/>
      </c>
      <c r="AD3373" s="17">
        <f t="shared" si="157"/>
        <v>25914</v>
      </c>
      <c r="AE3373" s="17">
        <f t="shared" si="158"/>
        <v>0</v>
      </c>
      <c r="AF3373" s="12"/>
    </row>
    <row r="3374" spans="1:34" ht="10" customHeight="1" x14ac:dyDescent="0.2">
      <c r="A3374" s="5" t="s">
        <v>44</v>
      </c>
      <c r="B3374" s="5" t="s">
        <v>45</v>
      </c>
      <c r="D3374" s="5" t="s">
        <v>8295</v>
      </c>
      <c r="E3374" s="12"/>
      <c r="I3374" s="11">
        <v>1</v>
      </c>
      <c r="J3374" s="5" t="s">
        <v>4594</v>
      </c>
      <c r="K3374" s="10" t="s">
        <v>50</v>
      </c>
      <c r="L3374" s="5" t="s">
        <v>51</v>
      </c>
      <c r="M3374" s="5" t="s">
        <v>119</v>
      </c>
      <c r="O3374" s="12"/>
      <c r="AA3374" s="13">
        <v>93380</v>
      </c>
      <c r="AB3374" s="13">
        <v>93380</v>
      </c>
      <c r="AC3374" s="16" t="str">
        <f t="shared" si="156"/>
        <v>ADD</v>
      </c>
      <c r="AD3374" s="17">
        <f t="shared" si="157"/>
        <v>0</v>
      </c>
      <c r="AE3374" s="17">
        <f t="shared" si="158"/>
        <v>93380</v>
      </c>
      <c r="AF3374" s="10" t="s">
        <v>8296</v>
      </c>
    </row>
    <row r="3375" spans="1:34" ht="10" customHeight="1" x14ac:dyDescent="0.2">
      <c r="A3375" s="5" t="s">
        <v>44</v>
      </c>
      <c r="B3375" s="5" t="s">
        <v>45</v>
      </c>
      <c r="D3375" s="5" t="s">
        <v>8297</v>
      </c>
      <c r="E3375" s="12"/>
      <c r="I3375" s="11">
        <v>1</v>
      </c>
      <c r="J3375" s="5" t="s">
        <v>64</v>
      </c>
      <c r="K3375" s="10" t="s">
        <v>50</v>
      </c>
      <c r="L3375" s="5" t="s">
        <v>51</v>
      </c>
      <c r="M3375" s="5" t="s">
        <v>119</v>
      </c>
      <c r="O3375" s="12"/>
      <c r="Z3375" s="13">
        <v>1000000</v>
      </c>
      <c r="AB3375" s="13">
        <v>1000000</v>
      </c>
      <c r="AC3375" s="16" t="str">
        <f t="shared" si="156"/>
        <v>ADD</v>
      </c>
      <c r="AD3375" s="17">
        <f t="shared" si="157"/>
        <v>0</v>
      </c>
      <c r="AE3375" s="17">
        <f t="shared" si="158"/>
        <v>1000000</v>
      </c>
      <c r="AF3375" s="10" t="s">
        <v>8298</v>
      </c>
    </row>
    <row r="3376" spans="1:34" ht="10" customHeight="1" x14ac:dyDescent="0.2">
      <c r="A3376" s="5" t="s">
        <v>44</v>
      </c>
      <c r="B3376" s="5" t="s">
        <v>45</v>
      </c>
      <c r="D3376" s="5" t="s">
        <v>8299</v>
      </c>
      <c r="E3376" s="12"/>
      <c r="I3376" s="11">
        <v>1</v>
      </c>
      <c r="J3376" s="5" t="s">
        <v>49</v>
      </c>
      <c r="K3376" s="10" t="s">
        <v>50</v>
      </c>
      <c r="L3376" s="5" t="s">
        <v>51</v>
      </c>
      <c r="M3376" s="5" t="s">
        <v>119</v>
      </c>
      <c r="N3376" s="5" t="s">
        <v>144</v>
      </c>
      <c r="O3376" s="12"/>
      <c r="Z3376" s="13">
        <v>1429000</v>
      </c>
      <c r="AB3376" s="13">
        <v>1429000</v>
      </c>
      <c r="AC3376" s="16" t="str">
        <f t="shared" si="156"/>
        <v>ADD</v>
      </c>
      <c r="AD3376" s="17">
        <f t="shared" si="157"/>
        <v>0</v>
      </c>
      <c r="AE3376" s="17">
        <f t="shared" si="158"/>
        <v>1429000</v>
      </c>
      <c r="AF3376" s="10" t="s">
        <v>8300</v>
      </c>
    </row>
    <row r="3377" spans="1:32" ht="10" customHeight="1" x14ac:dyDescent="0.2">
      <c r="A3377" s="5" t="s">
        <v>44</v>
      </c>
      <c r="B3377" s="5" t="s">
        <v>45</v>
      </c>
      <c r="D3377" s="5" t="s">
        <v>8301</v>
      </c>
      <c r="E3377" s="12"/>
      <c r="I3377" s="11">
        <v>1</v>
      </c>
      <c r="J3377" s="5" t="s">
        <v>49</v>
      </c>
      <c r="K3377" s="10" t="s">
        <v>50</v>
      </c>
      <c r="L3377" s="5" t="s">
        <v>51</v>
      </c>
      <c r="M3377" s="5" t="s">
        <v>4966</v>
      </c>
      <c r="N3377" s="5" t="s">
        <v>4967</v>
      </c>
      <c r="O3377" s="12"/>
      <c r="Z3377" s="13">
        <v>4444000</v>
      </c>
      <c r="AB3377" s="13">
        <v>4444000</v>
      </c>
      <c r="AC3377" s="16" t="str">
        <f t="shared" si="156"/>
        <v>ADD</v>
      </c>
      <c r="AD3377" s="17">
        <f t="shared" si="157"/>
        <v>0</v>
      </c>
      <c r="AE3377" s="17">
        <f t="shared" si="158"/>
        <v>4444000</v>
      </c>
      <c r="AF3377" s="10" t="s">
        <v>8302</v>
      </c>
    </row>
    <row r="3378" spans="1:32" ht="10" customHeight="1" x14ac:dyDescent="0.2">
      <c r="A3378" s="5" t="s">
        <v>44</v>
      </c>
      <c r="B3378" s="5" t="s">
        <v>45</v>
      </c>
      <c r="D3378" s="5" t="s">
        <v>8303</v>
      </c>
      <c r="E3378" s="12"/>
      <c r="I3378" s="11">
        <v>1</v>
      </c>
      <c r="J3378" s="5" t="s">
        <v>49</v>
      </c>
      <c r="K3378" s="10" t="s">
        <v>50</v>
      </c>
      <c r="L3378" s="5" t="s">
        <v>51</v>
      </c>
      <c r="M3378" s="5" t="s">
        <v>214</v>
      </c>
      <c r="O3378" s="12"/>
      <c r="AA3378" s="13">
        <v>200000</v>
      </c>
      <c r="AB3378" s="13">
        <v>200000</v>
      </c>
      <c r="AC3378" s="16" t="str">
        <f t="shared" si="156"/>
        <v>ADD</v>
      </c>
      <c r="AD3378" s="17">
        <f t="shared" si="157"/>
        <v>0</v>
      </c>
      <c r="AE3378" s="17">
        <f t="shared" si="158"/>
        <v>200000</v>
      </c>
      <c r="AF3378" s="10" t="s">
        <v>8304</v>
      </c>
    </row>
    <row r="3379" spans="1:32" ht="10" customHeight="1" x14ac:dyDescent="0.2">
      <c r="A3379" s="5" t="s">
        <v>44</v>
      </c>
      <c r="B3379" s="5" t="s">
        <v>45</v>
      </c>
      <c r="D3379" s="5" t="s">
        <v>8305</v>
      </c>
      <c r="E3379" s="12"/>
      <c r="I3379" s="11">
        <v>1</v>
      </c>
      <c r="J3379" s="5" t="s">
        <v>64</v>
      </c>
      <c r="K3379" s="10" t="s">
        <v>190</v>
      </c>
      <c r="L3379" s="5" t="s">
        <v>51</v>
      </c>
      <c r="M3379" s="5" t="s">
        <v>202</v>
      </c>
      <c r="O3379" s="12"/>
      <c r="AC3379" s="16" t="str">
        <f t="shared" si="156"/>
        <v>ADD</v>
      </c>
      <c r="AD3379" s="17">
        <f t="shared" si="157"/>
        <v>0</v>
      </c>
      <c r="AE3379" s="17">
        <f t="shared" si="158"/>
        <v>0</v>
      </c>
      <c r="AF3379" s="10" t="s">
        <v>8306</v>
      </c>
    </row>
    <row r="3380" spans="1:32" ht="10" customHeight="1" x14ac:dyDescent="0.2">
      <c r="A3380" s="5" t="s">
        <v>44</v>
      </c>
      <c r="B3380" s="5" t="s">
        <v>45</v>
      </c>
      <c r="D3380" s="5" t="s">
        <v>8307</v>
      </c>
      <c r="E3380" s="12"/>
      <c r="I3380" s="11">
        <v>1</v>
      </c>
      <c r="J3380" s="5" t="s">
        <v>49</v>
      </c>
      <c r="K3380" s="10" t="s">
        <v>190</v>
      </c>
      <c r="L3380" s="5" t="s">
        <v>51</v>
      </c>
      <c r="M3380" s="5" t="s">
        <v>202</v>
      </c>
      <c r="O3380" s="12"/>
      <c r="Z3380" s="13">
        <v>450000</v>
      </c>
      <c r="AB3380" s="13">
        <v>450000</v>
      </c>
      <c r="AC3380" s="16" t="str">
        <f t="shared" si="156"/>
        <v>ADD</v>
      </c>
      <c r="AD3380" s="17">
        <f t="shared" si="157"/>
        <v>0</v>
      </c>
      <c r="AE3380" s="17">
        <f t="shared" si="158"/>
        <v>450000</v>
      </c>
      <c r="AF3380" s="10" t="s">
        <v>8308</v>
      </c>
    </row>
    <row r="3381" spans="1:32" ht="10" customHeight="1" x14ac:dyDescent="0.2">
      <c r="A3381" s="5" t="s">
        <v>44</v>
      </c>
      <c r="B3381" s="5" t="s">
        <v>45</v>
      </c>
      <c r="D3381" s="5" t="s">
        <v>8309</v>
      </c>
      <c r="E3381" s="12"/>
      <c r="I3381" s="11">
        <v>1</v>
      </c>
      <c r="J3381" s="5" t="s">
        <v>49</v>
      </c>
      <c r="K3381" s="10" t="s">
        <v>190</v>
      </c>
      <c r="L3381" s="5" t="s">
        <v>232</v>
      </c>
      <c r="M3381" s="5" t="s">
        <v>5029</v>
      </c>
      <c r="N3381" s="5" t="s">
        <v>5030</v>
      </c>
      <c r="O3381" s="12"/>
      <c r="AA3381" s="13">
        <v>650000</v>
      </c>
      <c r="AB3381" s="13">
        <v>650000</v>
      </c>
      <c r="AC3381" s="16" t="str">
        <f t="shared" si="156"/>
        <v>ADD</v>
      </c>
      <c r="AD3381" s="17">
        <f t="shared" si="157"/>
        <v>0</v>
      </c>
      <c r="AE3381" s="17">
        <f t="shared" si="158"/>
        <v>650000</v>
      </c>
      <c r="AF3381" s="10" t="s">
        <v>8310</v>
      </c>
    </row>
    <row r="3382" spans="1:32" ht="10" customHeight="1" x14ac:dyDescent="0.2">
      <c r="A3382" s="5" t="s">
        <v>44</v>
      </c>
      <c r="B3382" s="5" t="s">
        <v>45</v>
      </c>
      <c r="D3382" s="5" t="s">
        <v>8311</v>
      </c>
      <c r="E3382" s="12"/>
      <c r="I3382" s="11">
        <v>1</v>
      </c>
      <c r="J3382" s="5" t="s">
        <v>6407</v>
      </c>
      <c r="K3382" s="10" t="s">
        <v>50</v>
      </c>
      <c r="L3382" s="5" t="s">
        <v>304</v>
      </c>
      <c r="M3382" s="5" t="s">
        <v>8312</v>
      </c>
      <c r="O3382" s="12"/>
      <c r="AA3382" s="13">
        <v>272500</v>
      </c>
      <c r="AB3382" s="13">
        <v>272500</v>
      </c>
      <c r="AC3382" s="16" t="str">
        <f t="shared" si="156"/>
        <v>ADD</v>
      </c>
      <c r="AD3382" s="17">
        <f t="shared" si="157"/>
        <v>0</v>
      </c>
      <c r="AE3382" s="17">
        <f t="shared" si="158"/>
        <v>272500</v>
      </c>
      <c r="AF3382" s="10" t="s">
        <v>8313</v>
      </c>
    </row>
    <row r="3383" spans="1:32" x14ac:dyDescent="0.2">
      <c r="AC3383" t="str">
        <f t="shared" si="156"/>
        <v>ADD</v>
      </c>
      <c r="AD3383">
        <f t="shared" si="157"/>
        <v>0</v>
      </c>
      <c r="AE3383">
        <f t="shared" si="158"/>
        <v>0</v>
      </c>
    </row>
    <row r="3384" spans="1:32" x14ac:dyDescent="0.2">
      <c r="AC3384" t="str">
        <f t="shared" si="156"/>
        <v>ADD</v>
      </c>
      <c r="AD3384">
        <f t="shared" si="157"/>
        <v>0</v>
      </c>
      <c r="AE3384">
        <f t="shared" si="158"/>
        <v>0</v>
      </c>
    </row>
    <row r="3385" spans="1:32" x14ac:dyDescent="0.2">
      <c r="AC3385" t="str">
        <f t="shared" si="156"/>
        <v>ADD</v>
      </c>
      <c r="AD3385">
        <f t="shared" si="157"/>
        <v>0</v>
      </c>
      <c r="AE3385">
        <f t="shared" si="158"/>
        <v>0</v>
      </c>
    </row>
    <row r="3386" spans="1:32" x14ac:dyDescent="0.2">
      <c r="AC3386" t="str">
        <f t="shared" si="156"/>
        <v>ADD</v>
      </c>
      <c r="AD3386">
        <f t="shared" si="157"/>
        <v>0</v>
      </c>
      <c r="AE3386">
        <f t="shared" si="158"/>
        <v>0</v>
      </c>
    </row>
    <row r="3387" spans="1:32" x14ac:dyDescent="0.2">
      <c r="AC3387" t="str">
        <f t="shared" si="156"/>
        <v>ADD</v>
      </c>
      <c r="AD3387">
        <f t="shared" si="157"/>
        <v>0</v>
      </c>
      <c r="AE3387">
        <f t="shared" si="158"/>
        <v>0</v>
      </c>
    </row>
    <row r="3388" spans="1:32" x14ac:dyDescent="0.2">
      <c r="AC3388" t="str">
        <f t="shared" si="156"/>
        <v>ADD</v>
      </c>
      <c r="AD3388">
        <f t="shared" si="157"/>
        <v>0</v>
      </c>
      <c r="AE3388">
        <f t="shared" si="158"/>
        <v>0</v>
      </c>
    </row>
    <row r="3389" spans="1:32" x14ac:dyDescent="0.2">
      <c r="AC3389" t="str">
        <f t="shared" si="156"/>
        <v>ADD</v>
      </c>
      <c r="AD3389">
        <f t="shared" si="157"/>
        <v>0</v>
      </c>
      <c r="AE3389">
        <f t="shared" si="158"/>
        <v>0</v>
      </c>
    </row>
    <row r="3390" spans="1:32" x14ac:dyDescent="0.2">
      <c r="AC3390" t="str">
        <f t="shared" si="156"/>
        <v>ADD</v>
      </c>
      <c r="AD3390">
        <f t="shared" si="157"/>
        <v>0</v>
      </c>
      <c r="AE3390">
        <f t="shared" si="158"/>
        <v>0</v>
      </c>
    </row>
    <row r="3391" spans="1:32" x14ac:dyDescent="0.2">
      <c r="AC3391" t="str">
        <f t="shared" si="156"/>
        <v>ADD</v>
      </c>
      <c r="AD3391">
        <f t="shared" si="157"/>
        <v>0</v>
      </c>
      <c r="AE3391">
        <f t="shared" si="158"/>
        <v>0</v>
      </c>
    </row>
    <row r="3392" spans="1:32" x14ac:dyDescent="0.2">
      <c r="AC3392" t="str">
        <f t="shared" si="156"/>
        <v>ADD</v>
      </c>
      <c r="AD3392">
        <f t="shared" si="157"/>
        <v>0</v>
      </c>
      <c r="AE3392">
        <f t="shared" si="158"/>
        <v>0</v>
      </c>
    </row>
    <row r="3393" spans="29:31" x14ac:dyDescent="0.2">
      <c r="AC3393" t="str">
        <f t="shared" si="156"/>
        <v>ADD</v>
      </c>
      <c r="AD3393">
        <f t="shared" si="157"/>
        <v>0</v>
      </c>
      <c r="AE3393">
        <f t="shared" si="158"/>
        <v>0</v>
      </c>
    </row>
    <row r="3394" spans="29:31" x14ac:dyDescent="0.2">
      <c r="AC3394" t="str">
        <f t="shared" si="156"/>
        <v>ADD</v>
      </c>
      <c r="AD3394">
        <f t="shared" si="157"/>
        <v>0</v>
      </c>
      <c r="AE3394">
        <f t="shared" si="158"/>
        <v>0</v>
      </c>
    </row>
    <row r="3395" spans="29:31" x14ac:dyDescent="0.2">
      <c r="AC3395" t="str">
        <f t="shared" si="156"/>
        <v>ADD</v>
      </c>
      <c r="AD3395">
        <f t="shared" si="157"/>
        <v>0</v>
      </c>
      <c r="AE3395">
        <f t="shared" si="158"/>
        <v>0</v>
      </c>
    </row>
    <row r="3396" spans="29:31" x14ac:dyDescent="0.2">
      <c r="AC3396" t="str">
        <f t="shared" si="156"/>
        <v>ADD</v>
      </c>
      <c r="AD3396">
        <f t="shared" si="157"/>
        <v>0</v>
      </c>
      <c r="AE3396">
        <f t="shared" si="158"/>
        <v>0</v>
      </c>
    </row>
    <row r="3397" spans="29:31" x14ac:dyDescent="0.2">
      <c r="AC3397" t="str">
        <f t="shared" si="156"/>
        <v>ADD</v>
      </c>
      <c r="AD3397">
        <f t="shared" si="157"/>
        <v>0</v>
      </c>
      <c r="AE3397">
        <f t="shared" si="158"/>
        <v>0</v>
      </c>
    </row>
    <row r="3398" spans="29:31" x14ac:dyDescent="0.2">
      <c r="AC3398" t="str">
        <f t="shared" ref="AC3398:AC3461" si="159">IF(OR(E3398="",E3398="[PARENT]"),"ADD",IF(E3398="[ALT_VIEW]","ALT",""))</f>
        <v>ADD</v>
      </c>
      <c r="AD3398">
        <f t="shared" ref="AD3398:AD3461" si="160">IF(Y3398&lt;&gt;"",Y3398,IF(U3398&lt;&gt;"",U3398,S3398))</f>
        <v>0</v>
      </c>
      <c r="AE3398">
        <f t="shared" ref="AE3398:AE3461" si="161">IF(AB3398&lt;&gt;"",AB3398,Z3398)</f>
        <v>0</v>
      </c>
    </row>
    <row r="3399" spans="29:31" x14ac:dyDescent="0.2">
      <c r="AC3399" t="str">
        <f t="shared" si="159"/>
        <v>ADD</v>
      </c>
      <c r="AD3399">
        <f t="shared" si="160"/>
        <v>0</v>
      </c>
      <c r="AE3399">
        <f t="shared" si="161"/>
        <v>0</v>
      </c>
    </row>
    <row r="3400" spans="29:31" x14ac:dyDescent="0.2">
      <c r="AC3400" t="str">
        <f t="shared" si="159"/>
        <v>ADD</v>
      </c>
      <c r="AD3400">
        <f t="shared" si="160"/>
        <v>0</v>
      </c>
      <c r="AE3400">
        <f t="shared" si="161"/>
        <v>0</v>
      </c>
    </row>
    <row r="3401" spans="29:31" x14ac:dyDescent="0.2">
      <c r="AC3401" t="str">
        <f t="shared" si="159"/>
        <v>ADD</v>
      </c>
      <c r="AD3401">
        <f t="shared" si="160"/>
        <v>0</v>
      </c>
      <c r="AE3401">
        <f t="shared" si="161"/>
        <v>0</v>
      </c>
    </row>
    <row r="3402" spans="29:31" x14ac:dyDescent="0.2">
      <c r="AC3402" t="str">
        <f t="shared" si="159"/>
        <v>ADD</v>
      </c>
      <c r="AD3402">
        <f t="shared" si="160"/>
        <v>0</v>
      </c>
      <c r="AE3402">
        <f t="shared" si="161"/>
        <v>0</v>
      </c>
    </row>
    <row r="3403" spans="29:31" x14ac:dyDescent="0.2">
      <c r="AC3403" t="str">
        <f t="shared" si="159"/>
        <v>ADD</v>
      </c>
      <c r="AD3403">
        <f t="shared" si="160"/>
        <v>0</v>
      </c>
      <c r="AE3403">
        <f t="shared" si="161"/>
        <v>0</v>
      </c>
    </row>
    <row r="3404" spans="29:31" x14ac:dyDescent="0.2">
      <c r="AC3404" t="str">
        <f t="shared" si="159"/>
        <v>ADD</v>
      </c>
      <c r="AD3404">
        <f t="shared" si="160"/>
        <v>0</v>
      </c>
      <c r="AE3404">
        <f t="shared" si="161"/>
        <v>0</v>
      </c>
    </row>
    <row r="3405" spans="29:31" x14ac:dyDescent="0.2">
      <c r="AC3405" t="str">
        <f t="shared" si="159"/>
        <v>ADD</v>
      </c>
      <c r="AD3405">
        <f t="shared" si="160"/>
        <v>0</v>
      </c>
      <c r="AE3405">
        <f t="shared" si="161"/>
        <v>0</v>
      </c>
    </row>
    <row r="3406" spans="29:31" x14ac:dyDescent="0.2">
      <c r="AC3406" t="str">
        <f t="shared" si="159"/>
        <v>ADD</v>
      </c>
      <c r="AD3406">
        <f t="shared" si="160"/>
        <v>0</v>
      </c>
      <c r="AE3406">
        <f t="shared" si="161"/>
        <v>0</v>
      </c>
    </row>
    <row r="3407" spans="29:31" x14ac:dyDescent="0.2">
      <c r="AC3407" t="str">
        <f t="shared" si="159"/>
        <v>ADD</v>
      </c>
      <c r="AD3407">
        <f t="shared" si="160"/>
        <v>0</v>
      </c>
      <c r="AE3407">
        <f t="shared" si="161"/>
        <v>0</v>
      </c>
    </row>
    <row r="3408" spans="29:31" x14ac:dyDescent="0.2">
      <c r="AC3408" t="str">
        <f t="shared" si="159"/>
        <v>ADD</v>
      </c>
      <c r="AD3408">
        <f t="shared" si="160"/>
        <v>0</v>
      </c>
      <c r="AE3408">
        <f t="shared" si="161"/>
        <v>0</v>
      </c>
    </row>
    <row r="3409" spans="29:31" x14ac:dyDescent="0.2">
      <c r="AC3409" t="str">
        <f t="shared" si="159"/>
        <v>ADD</v>
      </c>
      <c r="AD3409">
        <f t="shared" si="160"/>
        <v>0</v>
      </c>
      <c r="AE3409">
        <f t="shared" si="161"/>
        <v>0</v>
      </c>
    </row>
    <row r="3410" spans="29:31" x14ac:dyDescent="0.2">
      <c r="AC3410" t="str">
        <f t="shared" si="159"/>
        <v>ADD</v>
      </c>
      <c r="AD3410">
        <f t="shared" si="160"/>
        <v>0</v>
      </c>
      <c r="AE3410">
        <f t="shared" si="161"/>
        <v>0</v>
      </c>
    </row>
    <row r="3411" spans="29:31" x14ac:dyDescent="0.2">
      <c r="AC3411" t="str">
        <f t="shared" si="159"/>
        <v>ADD</v>
      </c>
      <c r="AD3411">
        <f t="shared" si="160"/>
        <v>0</v>
      </c>
      <c r="AE3411">
        <f t="shared" si="161"/>
        <v>0</v>
      </c>
    </row>
    <row r="3412" spans="29:31" x14ac:dyDescent="0.2">
      <c r="AC3412" t="str">
        <f t="shared" si="159"/>
        <v>ADD</v>
      </c>
      <c r="AD3412">
        <f t="shared" si="160"/>
        <v>0</v>
      </c>
      <c r="AE3412">
        <f t="shared" si="161"/>
        <v>0</v>
      </c>
    </row>
    <row r="3413" spans="29:31" x14ac:dyDescent="0.2">
      <c r="AC3413" t="str">
        <f t="shared" si="159"/>
        <v>ADD</v>
      </c>
      <c r="AD3413">
        <f t="shared" si="160"/>
        <v>0</v>
      </c>
      <c r="AE3413">
        <f t="shared" si="161"/>
        <v>0</v>
      </c>
    </row>
    <row r="3414" spans="29:31" x14ac:dyDescent="0.2">
      <c r="AC3414" t="str">
        <f t="shared" si="159"/>
        <v>ADD</v>
      </c>
      <c r="AD3414">
        <f t="shared" si="160"/>
        <v>0</v>
      </c>
      <c r="AE3414">
        <f t="shared" si="161"/>
        <v>0</v>
      </c>
    </row>
    <row r="3415" spans="29:31" x14ac:dyDescent="0.2">
      <c r="AC3415" t="str">
        <f t="shared" si="159"/>
        <v>ADD</v>
      </c>
      <c r="AD3415">
        <f t="shared" si="160"/>
        <v>0</v>
      </c>
      <c r="AE3415">
        <f t="shared" si="161"/>
        <v>0</v>
      </c>
    </row>
    <row r="3416" spans="29:31" x14ac:dyDescent="0.2">
      <c r="AC3416" t="str">
        <f t="shared" si="159"/>
        <v>ADD</v>
      </c>
      <c r="AD3416">
        <f t="shared" si="160"/>
        <v>0</v>
      </c>
      <c r="AE3416">
        <f t="shared" si="161"/>
        <v>0</v>
      </c>
    </row>
    <row r="3417" spans="29:31" x14ac:dyDescent="0.2">
      <c r="AC3417" t="str">
        <f t="shared" si="159"/>
        <v>ADD</v>
      </c>
      <c r="AD3417">
        <f t="shared" si="160"/>
        <v>0</v>
      </c>
      <c r="AE3417">
        <f t="shared" si="161"/>
        <v>0</v>
      </c>
    </row>
    <row r="3418" spans="29:31" x14ac:dyDescent="0.2">
      <c r="AC3418" t="str">
        <f t="shared" si="159"/>
        <v>ADD</v>
      </c>
      <c r="AD3418">
        <f t="shared" si="160"/>
        <v>0</v>
      </c>
      <c r="AE3418">
        <f t="shared" si="161"/>
        <v>0</v>
      </c>
    </row>
    <row r="3419" spans="29:31" x14ac:dyDescent="0.2">
      <c r="AC3419" t="str">
        <f t="shared" si="159"/>
        <v>ADD</v>
      </c>
      <c r="AD3419">
        <f t="shared" si="160"/>
        <v>0</v>
      </c>
      <c r="AE3419">
        <f t="shared" si="161"/>
        <v>0</v>
      </c>
    </row>
    <row r="3420" spans="29:31" x14ac:dyDescent="0.2">
      <c r="AC3420" t="str">
        <f t="shared" si="159"/>
        <v>ADD</v>
      </c>
      <c r="AD3420">
        <f t="shared" si="160"/>
        <v>0</v>
      </c>
      <c r="AE3420">
        <f t="shared" si="161"/>
        <v>0</v>
      </c>
    </row>
    <row r="3421" spans="29:31" x14ac:dyDescent="0.2">
      <c r="AC3421" t="str">
        <f t="shared" si="159"/>
        <v>ADD</v>
      </c>
      <c r="AD3421">
        <f t="shared" si="160"/>
        <v>0</v>
      </c>
      <c r="AE3421">
        <f t="shared" si="161"/>
        <v>0</v>
      </c>
    </row>
    <row r="3422" spans="29:31" x14ac:dyDescent="0.2">
      <c r="AC3422" t="str">
        <f t="shared" si="159"/>
        <v>ADD</v>
      </c>
      <c r="AD3422">
        <f t="shared" si="160"/>
        <v>0</v>
      </c>
      <c r="AE3422">
        <f t="shared" si="161"/>
        <v>0</v>
      </c>
    </row>
    <row r="3423" spans="29:31" x14ac:dyDescent="0.2">
      <c r="AC3423" t="str">
        <f t="shared" si="159"/>
        <v>ADD</v>
      </c>
      <c r="AD3423">
        <f t="shared" si="160"/>
        <v>0</v>
      </c>
      <c r="AE3423">
        <f t="shared" si="161"/>
        <v>0</v>
      </c>
    </row>
    <row r="3424" spans="29:31" x14ac:dyDescent="0.2">
      <c r="AC3424" t="str">
        <f t="shared" si="159"/>
        <v>ADD</v>
      </c>
      <c r="AD3424">
        <f t="shared" si="160"/>
        <v>0</v>
      </c>
      <c r="AE3424">
        <f t="shared" si="161"/>
        <v>0</v>
      </c>
    </row>
    <row r="3425" spans="29:31" x14ac:dyDescent="0.2">
      <c r="AC3425" t="str">
        <f t="shared" si="159"/>
        <v>ADD</v>
      </c>
      <c r="AD3425">
        <f t="shared" si="160"/>
        <v>0</v>
      </c>
      <c r="AE3425">
        <f t="shared" si="161"/>
        <v>0</v>
      </c>
    </row>
    <row r="3426" spans="29:31" x14ac:dyDescent="0.2">
      <c r="AC3426" t="str">
        <f t="shared" si="159"/>
        <v>ADD</v>
      </c>
      <c r="AD3426">
        <f t="shared" si="160"/>
        <v>0</v>
      </c>
      <c r="AE3426">
        <f t="shared" si="161"/>
        <v>0</v>
      </c>
    </row>
    <row r="3427" spans="29:31" x14ac:dyDescent="0.2">
      <c r="AC3427" t="str">
        <f t="shared" si="159"/>
        <v>ADD</v>
      </c>
      <c r="AD3427">
        <f t="shared" si="160"/>
        <v>0</v>
      </c>
      <c r="AE3427">
        <f t="shared" si="161"/>
        <v>0</v>
      </c>
    </row>
    <row r="3428" spans="29:31" x14ac:dyDescent="0.2">
      <c r="AC3428" t="str">
        <f t="shared" si="159"/>
        <v>ADD</v>
      </c>
      <c r="AD3428">
        <f t="shared" si="160"/>
        <v>0</v>
      </c>
      <c r="AE3428">
        <f t="shared" si="161"/>
        <v>0</v>
      </c>
    </row>
    <row r="3429" spans="29:31" x14ac:dyDescent="0.2">
      <c r="AC3429" t="str">
        <f t="shared" si="159"/>
        <v>ADD</v>
      </c>
      <c r="AD3429">
        <f t="shared" si="160"/>
        <v>0</v>
      </c>
      <c r="AE3429">
        <f t="shared" si="161"/>
        <v>0</v>
      </c>
    </row>
    <row r="3430" spans="29:31" x14ac:dyDescent="0.2">
      <c r="AC3430" t="str">
        <f t="shared" si="159"/>
        <v>ADD</v>
      </c>
      <c r="AD3430">
        <f t="shared" si="160"/>
        <v>0</v>
      </c>
      <c r="AE3430">
        <f t="shared" si="161"/>
        <v>0</v>
      </c>
    </row>
    <row r="3431" spans="29:31" x14ac:dyDescent="0.2">
      <c r="AC3431" t="str">
        <f t="shared" si="159"/>
        <v>ADD</v>
      </c>
      <c r="AD3431">
        <f t="shared" si="160"/>
        <v>0</v>
      </c>
      <c r="AE3431">
        <f t="shared" si="161"/>
        <v>0</v>
      </c>
    </row>
    <row r="3432" spans="29:31" x14ac:dyDescent="0.2">
      <c r="AC3432" t="str">
        <f t="shared" si="159"/>
        <v>ADD</v>
      </c>
      <c r="AD3432">
        <f t="shared" si="160"/>
        <v>0</v>
      </c>
      <c r="AE3432">
        <f t="shared" si="161"/>
        <v>0</v>
      </c>
    </row>
    <row r="3433" spans="29:31" x14ac:dyDescent="0.2">
      <c r="AC3433" t="str">
        <f t="shared" si="159"/>
        <v>ADD</v>
      </c>
      <c r="AD3433">
        <f t="shared" si="160"/>
        <v>0</v>
      </c>
      <c r="AE3433">
        <f t="shared" si="161"/>
        <v>0</v>
      </c>
    </row>
    <row r="3434" spans="29:31" x14ac:dyDescent="0.2">
      <c r="AC3434" t="str">
        <f t="shared" si="159"/>
        <v>ADD</v>
      </c>
      <c r="AD3434">
        <f t="shared" si="160"/>
        <v>0</v>
      </c>
      <c r="AE3434">
        <f t="shared" si="161"/>
        <v>0</v>
      </c>
    </row>
    <row r="3435" spans="29:31" x14ac:dyDescent="0.2">
      <c r="AC3435" t="str">
        <f t="shared" si="159"/>
        <v>ADD</v>
      </c>
      <c r="AD3435">
        <f t="shared" si="160"/>
        <v>0</v>
      </c>
      <c r="AE3435">
        <f t="shared" si="161"/>
        <v>0</v>
      </c>
    </row>
    <row r="3436" spans="29:31" x14ac:dyDescent="0.2">
      <c r="AC3436" t="str">
        <f t="shared" si="159"/>
        <v>ADD</v>
      </c>
      <c r="AD3436">
        <f t="shared" si="160"/>
        <v>0</v>
      </c>
      <c r="AE3436">
        <f t="shared" si="161"/>
        <v>0</v>
      </c>
    </row>
    <row r="3437" spans="29:31" x14ac:dyDescent="0.2">
      <c r="AC3437" t="str">
        <f t="shared" si="159"/>
        <v>ADD</v>
      </c>
      <c r="AD3437">
        <f t="shared" si="160"/>
        <v>0</v>
      </c>
      <c r="AE3437">
        <f t="shared" si="161"/>
        <v>0</v>
      </c>
    </row>
    <row r="3438" spans="29:31" x14ac:dyDescent="0.2">
      <c r="AC3438" t="str">
        <f t="shared" si="159"/>
        <v>ADD</v>
      </c>
      <c r="AD3438">
        <f t="shared" si="160"/>
        <v>0</v>
      </c>
      <c r="AE3438">
        <f t="shared" si="161"/>
        <v>0</v>
      </c>
    </row>
    <row r="3439" spans="29:31" x14ac:dyDescent="0.2">
      <c r="AC3439" t="str">
        <f t="shared" si="159"/>
        <v>ADD</v>
      </c>
      <c r="AD3439">
        <f t="shared" si="160"/>
        <v>0</v>
      </c>
      <c r="AE3439">
        <f t="shared" si="161"/>
        <v>0</v>
      </c>
    </row>
    <row r="3440" spans="29:31" x14ac:dyDescent="0.2">
      <c r="AC3440" t="str">
        <f t="shared" si="159"/>
        <v>ADD</v>
      </c>
      <c r="AD3440">
        <f t="shared" si="160"/>
        <v>0</v>
      </c>
      <c r="AE3440">
        <f t="shared" si="161"/>
        <v>0</v>
      </c>
    </row>
    <row r="3441" spans="29:31" x14ac:dyDescent="0.2">
      <c r="AC3441" t="str">
        <f t="shared" si="159"/>
        <v>ADD</v>
      </c>
      <c r="AD3441">
        <f t="shared" si="160"/>
        <v>0</v>
      </c>
      <c r="AE3441">
        <f t="shared" si="161"/>
        <v>0</v>
      </c>
    </row>
    <row r="3442" spans="29:31" x14ac:dyDescent="0.2">
      <c r="AC3442" t="str">
        <f t="shared" si="159"/>
        <v>ADD</v>
      </c>
      <c r="AD3442">
        <f t="shared" si="160"/>
        <v>0</v>
      </c>
      <c r="AE3442">
        <f t="shared" si="161"/>
        <v>0</v>
      </c>
    </row>
    <row r="3443" spans="29:31" x14ac:dyDescent="0.2">
      <c r="AC3443" t="str">
        <f t="shared" si="159"/>
        <v>ADD</v>
      </c>
      <c r="AD3443">
        <f t="shared" si="160"/>
        <v>0</v>
      </c>
      <c r="AE3443">
        <f t="shared" si="161"/>
        <v>0</v>
      </c>
    </row>
    <row r="3444" spans="29:31" x14ac:dyDescent="0.2">
      <c r="AC3444" t="str">
        <f t="shared" si="159"/>
        <v>ADD</v>
      </c>
      <c r="AD3444">
        <f t="shared" si="160"/>
        <v>0</v>
      </c>
      <c r="AE3444">
        <f t="shared" si="161"/>
        <v>0</v>
      </c>
    </row>
    <row r="3445" spans="29:31" x14ac:dyDescent="0.2">
      <c r="AC3445" t="str">
        <f t="shared" si="159"/>
        <v>ADD</v>
      </c>
      <c r="AD3445">
        <f t="shared" si="160"/>
        <v>0</v>
      </c>
      <c r="AE3445">
        <f t="shared" si="161"/>
        <v>0</v>
      </c>
    </row>
    <row r="3446" spans="29:31" x14ac:dyDescent="0.2">
      <c r="AC3446" t="str">
        <f t="shared" si="159"/>
        <v>ADD</v>
      </c>
      <c r="AD3446">
        <f t="shared" si="160"/>
        <v>0</v>
      </c>
      <c r="AE3446">
        <f t="shared" si="161"/>
        <v>0</v>
      </c>
    </row>
    <row r="3447" spans="29:31" x14ac:dyDescent="0.2">
      <c r="AC3447" t="str">
        <f t="shared" si="159"/>
        <v>ADD</v>
      </c>
      <c r="AD3447">
        <f t="shared" si="160"/>
        <v>0</v>
      </c>
      <c r="AE3447">
        <f t="shared" si="161"/>
        <v>0</v>
      </c>
    </row>
    <row r="3448" spans="29:31" x14ac:dyDescent="0.2">
      <c r="AC3448" t="str">
        <f t="shared" si="159"/>
        <v>ADD</v>
      </c>
      <c r="AD3448">
        <f t="shared" si="160"/>
        <v>0</v>
      </c>
      <c r="AE3448">
        <f t="shared" si="161"/>
        <v>0</v>
      </c>
    </row>
    <row r="3449" spans="29:31" x14ac:dyDescent="0.2">
      <c r="AC3449" t="str">
        <f t="shared" si="159"/>
        <v>ADD</v>
      </c>
      <c r="AD3449">
        <f t="shared" si="160"/>
        <v>0</v>
      </c>
      <c r="AE3449">
        <f t="shared" si="161"/>
        <v>0</v>
      </c>
    </row>
    <row r="3450" spans="29:31" x14ac:dyDescent="0.2">
      <c r="AC3450" t="str">
        <f t="shared" si="159"/>
        <v>ADD</v>
      </c>
      <c r="AD3450">
        <f t="shared" si="160"/>
        <v>0</v>
      </c>
      <c r="AE3450">
        <f t="shared" si="161"/>
        <v>0</v>
      </c>
    </row>
    <row r="3451" spans="29:31" x14ac:dyDescent="0.2">
      <c r="AC3451" t="str">
        <f t="shared" si="159"/>
        <v>ADD</v>
      </c>
      <c r="AD3451">
        <f t="shared" si="160"/>
        <v>0</v>
      </c>
      <c r="AE3451">
        <f t="shared" si="161"/>
        <v>0</v>
      </c>
    </row>
    <row r="3452" spans="29:31" x14ac:dyDescent="0.2">
      <c r="AC3452" t="str">
        <f t="shared" si="159"/>
        <v>ADD</v>
      </c>
      <c r="AD3452">
        <f t="shared" si="160"/>
        <v>0</v>
      </c>
      <c r="AE3452">
        <f t="shared" si="161"/>
        <v>0</v>
      </c>
    </row>
    <row r="3453" spans="29:31" x14ac:dyDescent="0.2">
      <c r="AC3453" t="str">
        <f t="shared" si="159"/>
        <v>ADD</v>
      </c>
      <c r="AD3453">
        <f t="shared" si="160"/>
        <v>0</v>
      </c>
      <c r="AE3453">
        <f t="shared" si="161"/>
        <v>0</v>
      </c>
    </row>
    <row r="3454" spans="29:31" x14ac:dyDescent="0.2">
      <c r="AC3454" t="str">
        <f t="shared" si="159"/>
        <v>ADD</v>
      </c>
      <c r="AD3454">
        <f t="shared" si="160"/>
        <v>0</v>
      </c>
      <c r="AE3454">
        <f t="shared" si="161"/>
        <v>0</v>
      </c>
    </row>
    <row r="3455" spans="29:31" x14ac:dyDescent="0.2">
      <c r="AC3455" t="str">
        <f t="shared" si="159"/>
        <v>ADD</v>
      </c>
      <c r="AD3455">
        <f t="shared" si="160"/>
        <v>0</v>
      </c>
      <c r="AE3455">
        <f t="shared" si="161"/>
        <v>0</v>
      </c>
    </row>
    <row r="3456" spans="29:31" x14ac:dyDescent="0.2">
      <c r="AC3456" t="str">
        <f t="shared" si="159"/>
        <v>ADD</v>
      </c>
      <c r="AD3456">
        <f t="shared" si="160"/>
        <v>0</v>
      </c>
      <c r="AE3456">
        <f t="shared" si="161"/>
        <v>0</v>
      </c>
    </row>
    <row r="3457" spans="29:31" x14ac:dyDescent="0.2">
      <c r="AC3457" t="str">
        <f t="shared" si="159"/>
        <v>ADD</v>
      </c>
      <c r="AD3457">
        <f t="shared" si="160"/>
        <v>0</v>
      </c>
      <c r="AE3457">
        <f t="shared" si="161"/>
        <v>0</v>
      </c>
    </row>
    <row r="3458" spans="29:31" x14ac:dyDescent="0.2">
      <c r="AC3458" t="str">
        <f t="shared" si="159"/>
        <v>ADD</v>
      </c>
      <c r="AD3458">
        <f t="shared" si="160"/>
        <v>0</v>
      </c>
      <c r="AE3458">
        <f t="shared" si="161"/>
        <v>0</v>
      </c>
    </row>
    <row r="3459" spans="29:31" x14ac:dyDescent="0.2">
      <c r="AC3459" t="str">
        <f t="shared" si="159"/>
        <v>ADD</v>
      </c>
      <c r="AD3459">
        <f t="shared" si="160"/>
        <v>0</v>
      </c>
      <c r="AE3459">
        <f t="shared" si="161"/>
        <v>0</v>
      </c>
    </row>
    <row r="3460" spans="29:31" x14ac:dyDescent="0.2">
      <c r="AC3460" t="str">
        <f t="shared" si="159"/>
        <v>ADD</v>
      </c>
      <c r="AD3460">
        <f t="shared" si="160"/>
        <v>0</v>
      </c>
      <c r="AE3460">
        <f t="shared" si="161"/>
        <v>0</v>
      </c>
    </row>
    <row r="3461" spans="29:31" x14ac:dyDescent="0.2">
      <c r="AC3461" t="str">
        <f t="shared" si="159"/>
        <v>ADD</v>
      </c>
      <c r="AD3461">
        <f t="shared" si="160"/>
        <v>0</v>
      </c>
      <c r="AE3461">
        <f t="shared" si="161"/>
        <v>0</v>
      </c>
    </row>
    <row r="3462" spans="29:31" x14ac:dyDescent="0.2">
      <c r="AC3462" t="str">
        <f t="shared" ref="AC3462:AC3525" si="162">IF(OR(E3462="",E3462="[PARENT]"),"ADD",IF(E3462="[ALT_VIEW]","ALT",""))</f>
        <v>ADD</v>
      </c>
      <c r="AD3462">
        <f t="shared" ref="AD3462:AD3525" si="163">IF(Y3462&lt;&gt;"",Y3462,IF(U3462&lt;&gt;"",U3462,S3462))</f>
        <v>0</v>
      </c>
      <c r="AE3462">
        <f t="shared" ref="AE3462:AE3525" si="164">IF(AB3462&lt;&gt;"",AB3462,Z3462)</f>
        <v>0</v>
      </c>
    </row>
    <row r="3463" spans="29:31" x14ac:dyDescent="0.2">
      <c r="AC3463" t="str">
        <f t="shared" si="162"/>
        <v>ADD</v>
      </c>
      <c r="AD3463">
        <f t="shared" si="163"/>
        <v>0</v>
      </c>
      <c r="AE3463">
        <f t="shared" si="164"/>
        <v>0</v>
      </c>
    </row>
    <row r="3464" spans="29:31" x14ac:dyDescent="0.2">
      <c r="AC3464" t="str">
        <f t="shared" si="162"/>
        <v>ADD</v>
      </c>
      <c r="AD3464">
        <f t="shared" si="163"/>
        <v>0</v>
      </c>
      <c r="AE3464">
        <f t="shared" si="164"/>
        <v>0</v>
      </c>
    </row>
    <row r="3465" spans="29:31" x14ac:dyDescent="0.2">
      <c r="AC3465" t="str">
        <f t="shared" si="162"/>
        <v>ADD</v>
      </c>
      <c r="AD3465">
        <f t="shared" si="163"/>
        <v>0</v>
      </c>
      <c r="AE3465">
        <f t="shared" si="164"/>
        <v>0</v>
      </c>
    </row>
    <row r="3466" spans="29:31" x14ac:dyDescent="0.2">
      <c r="AC3466" t="str">
        <f t="shared" si="162"/>
        <v>ADD</v>
      </c>
      <c r="AD3466">
        <f t="shared" si="163"/>
        <v>0</v>
      </c>
      <c r="AE3466">
        <f t="shared" si="164"/>
        <v>0</v>
      </c>
    </row>
    <row r="3467" spans="29:31" x14ac:dyDescent="0.2">
      <c r="AC3467" t="str">
        <f t="shared" si="162"/>
        <v>ADD</v>
      </c>
      <c r="AD3467">
        <f t="shared" si="163"/>
        <v>0</v>
      </c>
      <c r="AE3467">
        <f t="shared" si="164"/>
        <v>0</v>
      </c>
    </row>
    <row r="3468" spans="29:31" x14ac:dyDescent="0.2">
      <c r="AC3468" t="str">
        <f t="shared" si="162"/>
        <v>ADD</v>
      </c>
      <c r="AD3468">
        <f t="shared" si="163"/>
        <v>0</v>
      </c>
      <c r="AE3468">
        <f t="shared" si="164"/>
        <v>0</v>
      </c>
    </row>
    <row r="3469" spans="29:31" x14ac:dyDescent="0.2">
      <c r="AC3469" t="str">
        <f t="shared" si="162"/>
        <v>ADD</v>
      </c>
      <c r="AD3469">
        <f t="shared" si="163"/>
        <v>0</v>
      </c>
      <c r="AE3469">
        <f t="shared" si="164"/>
        <v>0</v>
      </c>
    </row>
    <row r="3470" spans="29:31" x14ac:dyDescent="0.2">
      <c r="AC3470" t="str">
        <f t="shared" si="162"/>
        <v>ADD</v>
      </c>
      <c r="AD3470">
        <f t="shared" si="163"/>
        <v>0</v>
      </c>
      <c r="AE3470">
        <f t="shared" si="164"/>
        <v>0</v>
      </c>
    </row>
    <row r="3471" spans="29:31" x14ac:dyDescent="0.2">
      <c r="AC3471" t="str">
        <f t="shared" si="162"/>
        <v>ADD</v>
      </c>
      <c r="AD3471">
        <f t="shared" si="163"/>
        <v>0</v>
      </c>
      <c r="AE3471">
        <f t="shared" si="164"/>
        <v>0</v>
      </c>
    </row>
    <row r="3472" spans="29:31" x14ac:dyDescent="0.2">
      <c r="AC3472" t="str">
        <f t="shared" si="162"/>
        <v>ADD</v>
      </c>
      <c r="AD3472">
        <f t="shared" si="163"/>
        <v>0</v>
      </c>
      <c r="AE3472">
        <f t="shared" si="164"/>
        <v>0</v>
      </c>
    </row>
    <row r="3473" spans="29:31" x14ac:dyDescent="0.2">
      <c r="AC3473" t="str">
        <f t="shared" si="162"/>
        <v>ADD</v>
      </c>
      <c r="AD3473">
        <f t="shared" si="163"/>
        <v>0</v>
      </c>
      <c r="AE3473">
        <f t="shared" si="164"/>
        <v>0</v>
      </c>
    </row>
    <row r="3474" spans="29:31" x14ac:dyDescent="0.2">
      <c r="AC3474" t="str">
        <f t="shared" si="162"/>
        <v>ADD</v>
      </c>
      <c r="AD3474">
        <f t="shared" si="163"/>
        <v>0</v>
      </c>
      <c r="AE3474">
        <f t="shared" si="164"/>
        <v>0</v>
      </c>
    </row>
    <row r="3475" spans="29:31" x14ac:dyDescent="0.2">
      <c r="AC3475" t="str">
        <f t="shared" si="162"/>
        <v>ADD</v>
      </c>
      <c r="AD3475">
        <f t="shared" si="163"/>
        <v>0</v>
      </c>
      <c r="AE3475">
        <f t="shared" si="164"/>
        <v>0</v>
      </c>
    </row>
    <row r="3476" spans="29:31" x14ac:dyDescent="0.2">
      <c r="AC3476" t="str">
        <f t="shared" si="162"/>
        <v>ADD</v>
      </c>
      <c r="AD3476">
        <f t="shared" si="163"/>
        <v>0</v>
      </c>
      <c r="AE3476">
        <f t="shared" si="164"/>
        <v>0</v>
      </c>
    </row>
    <row r="3477" spans="29:31" x14ac:dyDescent="0.2">
      <c r="AC3477" t="str">
        <f t="shared" si="162"/>
        <v>ADD</v>
      </c>
      <c r="AD3477">
        <f t="shared" si="163"/>
        <v>0</v>
      </c>
      <c r="AE3477">
        <f t="shared" si="164"/>
        <v>0</v>
      </c>
    </row>
    <row r="3478" spans="29:31" x14ac:dyDescent="0.2">
      <c r="AC3478" t="str">
        <f t="shared" si="162"/>
        <v>ADD</v>
      </c>
      <c r="AD3478">
        <f t="shared" si="163"/>
        <v>0</v>
      </c>
      <c r="AE3478">
        <f t="shared" si="164"/>
        <v>0</v>
      </c>
    </row>
    <row r="3479" spans="29:31" x14ac:dyDescent="0.2">
      <c r="AC3479" t="str">
        <f t="shared" si="162"/>
        <v>ADD</v>
      </c>
      <c r="AD3479">
        <f t="shared" si="163"/>
        <v>0</v>
      </c>
      <c r="AE3479">
        <f t="shared" si="164"/>
        <v>0</v>
      </c>
    </row>
    <row r="3480" spans="29:31" x14ac:dyDescent="0.2">
      <c r="AC3480" t="str">
        <f t="shared" si="162"/>
        <v>ADD</v>
      </c>
      <c r="AD3480">
        <f t="shared" si="163"/>
        <v>0</v>
      </c>
      <c r="AE3480">
        <f t="shared" si="164"/>
        <v>0</v>
      </c>
    </row>
    <row r="3481" spans="29:31" x14ac:dyDescent="0.2">
      <c r="AC3481" t="str">
        <f t="shared" si="162"/>
        <v>ADD</v>
      </c>
      <c r="AD3481">
        <f t="shared" si="163"/>
        <v>0</v>
      </c>
      <c r="AE3481">
        <f t="shared" si="164"/>
        <v>0</v>
      </c>
    </row>
    <row r="3482" spans="29:31" x14ac:dyDescent="0.2">
      <c r="AC3482" t="str">
        <f t="shared" si="162"/>
        <v>ADD</v>
      </c>
      <c r="AD3482">
        <f t="shared" si="163"/>
        <v>0</v>
      </c>
      <c r="AE3482">
        <f t="shared" si="164"/>
        <v>0</v>
      </c>
    </row>
    <row r="3483" spans="29:31" x14ac:dyDescent="0.2">
      <c r="AC3483" t="str">
        <f t="shared" si="162"/>
        <v>ADD</v>
      </c>
      <c r="AD3483">
        <f t="shared" si="163"/>
        <v>0</v>
      </c>
      <c r="AE3483">
        <f t="shared" si="164"/>
        <v>0</v>
      </c>
    </row>
    <row r="3484" spans="29:31" x14ac:dyDescent="0.2">
      <c r="AC3484" t="str">
        <f t="shared" si="162"/>
        <v>ADD</v>
      </c>
      <c r="AD3484">
        <f t="shared" si="163"/>
        <v>0</v>
      </c>
      <c r="AE3484">
        <f t="shared" si="164"/>
        <v>0</v>
      </c>
    </row>
    <row r="3485" spans="29:31" x14ac:dyDescent="0.2">
      <c r="AC3485" t="str">
        <f t="shared" si="162"/>
        <v>ADD</v>
      </c>
      <c r="AD3485">
        <f t="shared" si="163"/>
        <v>0</v>
      </c>
      <c r="AE3485">
        <f t="shared" si="164"/>
        <v>0</v>
      </c>
    </row>
    <row r="3486" spans="29:31" x14ac:dyDescent="0.2">
      <c r="AC3486" t="str">
        <f t="shared" si="162"/>
        <v>ADD</v>
      </c>
      <c r="AD3486">
        <f t="shared" si="163"/>
        <v>0</v>
      </c>
      <c r="AE3486">
        <f t="shared" si="164"/>
        <v>0</v>
      </c>
    </row>
    <row r="3487" spans="29:31" x14ac:dyDescent="0.2">
      <c r="AC3487" t="str">
        <f t="shared" si="162"/>
        <v>ADD</v>
      </c>
      <c r="AD3487">
        <f t="shared" si="163"/>
        <v>0</v>
      </c>
      <c r="AE3487">
        <f t="shared" si="164"/>
        <v>0</v>
      </c>
    </row>
    <row r="3488" spans="29:31" x14ac:dyDescent="0.2">
      <c r="AC3488" t="str">
        <f t="shared" si="162"/>
        <v>ADD</v>
      </c>
      <c r="AD3488">
        <f t="shared" si="163"/>
        <v>0</v>
      </c>
      <c r="AE3488">
        <f t="shared" si="164"/>
        <v>0</v>
      </c>
    </row>
    <row r="3489" spans="29:31" x14ac:dyDescent="0.2">
      <c r="AC3489" t="str">
        <f t="shared" si="162"/>
        <v>ADD</v>
      </c>
      <c r="AD3489">
        <f t="shared" si="163"/>
        <v>0</v>
      </c>
      <c r="AE3489">
        <f t="shared" si="164"/>
        <v>0</v>
      </c>
    </row>
    <row r="3490" spans="29:31" x14ac:dyDescent="0.2">
      <c r="AC3490" t="str">
        <f t="shared" si="162"/>
        <v>ADD</v>
      </c>
      <c r="AD3490">
        <f t="shared" si="163"/>
        <v>0</v>
      </c>
      <c r="AE3490">
        <f t="shared" si="164"/>
        <v>0</v>
      </c>
    </row>
    <row r="3491" spans="29:31" x14ac:dyDescent="0.2">
      <c r="AC3491" t="str">
        <f t="shared" si="162"/>
        <v>ADD</v>
      </c>
      <c r="AD3491">
        <f t="shared" si="163"/>
        <v>0</v>
      </c>
      <c r="AE3491">
        <f t="shared" si="164"/>
        <v>0</v>
      </c>
    </row>
    <row r="3492" spans="29:31" x14ac:dyDescent="0.2">
      <c r="AC3492" t="str">
        <f t="shared" si="162"/>
        <v>ADD</v>
      </c>
      <c r="AD3492">
        <f t="shared" si="163"/>
        <v>0</v>
      </c>
      <c r="AE3492">
        <f t="shared" si="164"/>
        <v>0</v>
      </c>
    </row>
    <row r="3493" spans="29:31" x14ac:dyDescent="0.2">
      <c r="AC3493" t="str">
        <f t="shared" si="162"/>
        <v>ADD</v>
      </c>
      <c r="AD3493">
        <f t="shared" si="163"/>
        <v>0</v>
      </c>
      <c r="AE3493">
        <f t="shared" si="164"/>
        <v>0</v>
      </c>
    </row>
    <row r="3494" spans="29:31" x14ac:dyDescent="0.2">
      <c r="AC3494" t="str">
        <f t="shared" si="162"/>
        <v>ADD</v>
      </c>
      <c r="AD3494">
        <f t="shared" si="163"/>
        <v>0</v>
      </c>
      <c r="AE3494">
        <f t="shared" si="164"/>
        <v>0</v>
      </c>
    </row>
    <row r="3495" spans="29:31" x14ac:dyDescent="0.2">
      <c r="AC3495" t="str">
        <f t="shared" si="162"/>
        <v>ADD</v>
      </c>
      <c r="AD3495">
        <f t="shared" si="163"/>
        <v>0</v>
      </c>
      <c r="AE3495">
        <f t="shared" si="164"/>
        <v>0</v>
      </c>
    </row>
    <row r="3496" spans="29:31" x14ac:dyDescent="0.2">
      <c r="AC3496" t="str">
        <f t="shared" si="162"/>
        <v>ADD</v>
      </c>
      <c r="AD3496">
        <f t="shared" si="163"/>
        <v>0</v>
      </c>
      <c r="AE3496">
        <f t="shared" si="164"/>
        <v>0</v>
      </c>
    </row>
    <row r="3497" spans="29:31" x14ac:dyDescent="0.2">
      <c r="AC3497" t="str">
        <f t="shared" si="162"/>
        <v>ADD</v>
      </c>
      <c r="AD3497">
        <f t="shared" si="163"/>
        <v>0</v>
      </c>
      <c r="AE3497">
        <f t="shared" si="164"/>
        <v>0</v>
      </c>
    </row>
    <row r="3498" spans="29:31" x14ac:dyDescent="0.2">
      <c r="AC3498" t="str">
        <f t="shared" si="162"/>
        <v>ADD</v>
      </c>
      <c r="AD3498">
        <f t="shared" si="163"/>
        <v>0</v>
      </c>
      <c r="AE3498">
        <f t="shared" si="164"/>
        <v>0</v>
      </c>
    </row>
    <row r="3499" spans="29:31" x14ac:dyDescent="0.2">
      <c r="AC3499" t="str">
        <f t="shared" si="162"/>
        <v>ADD</v>
      </c>
      <c r="AD3499">
        <f t="shared" si="163"/>
        <v>0</v>
      </c>
      <c r="AE3499">
        <f t="shared" si="164"/>
        <v>0</v>
      </c>
    </row>
    <row r="3500" spans="29:31" x14ac:dyDescent="0.2">
      <c r="AC3500" t="str">
        <f t="shared" si="162"/>
        <v>ADD</v>
      </c>
      <c r="AD3500">
        <f t="shared" si="163"/>
        <v>0</v>
      </c>
      <c r="AE3500">
        <f t="shared" si="164"/>
        <v>0</v>
      </c>
    </row>
    <row r="3501" spans="29:31" x14ac:dyDescent="0.2">
      <c r="AC3501" t="str">
        <f t="shared" si="162"/>
        <v>ADD</v>
      </c>
      <c r="AD3501">
        <f t="shared" si="163"/>
        <v>0</v>
      </c>
      <c r="AE3501">
        <f t="shared" si="164"/>
        <v>0</v>
      </c>
    </row>
    <row r="3502" spans="29:31" x14ac:dyDescent="0.2">
      <c r="AC3502" t="str">
        <f t="shared" si="162"/>
        <v>ADD</v>
      </c>
      <c r="AD3502">
        <f t="shared" si="163"/>
        <v>0</v>
      </c>
      <c r="AE3502">
        <f t="shared" si="164"/>
        <v>0</v>
      </c>
    </row>
    <row r="3503" spans="29:31" x14ac:dyDescent="0.2">
      <c r="AC3503" t="str">
        <f t="shared" si="162"/>
        <v>ADD</v>
      </c>
      <c r="AD3503">
        <f t="shared" si="163"/>
        <v>0</v>
      </c>
      <c r="AE3503">
        <f t="shared" si="164"/>
        <v>0</v>
      </c>
    </row>
    <row r="3504" spans="29:31" x14ac:dyDescent="0.2">
      <c r="AC3504" t="str">
        <f t="shared" si="162"/>
        <v>ADD</v>
      </c>
      <c r="AD3504">
        <f t="shared" si="163"/>
        <v>0</v>
      </c>
      <c r="AE3504">
        <f t="shared" si="164"/>
        <v>0</v>
      </c>
    </row>
    <row r="3505" spans="29:31" x14ac:dyDescent="0.2">
      <c r="AC3505" t="str">
        <f t="shared" si="162"/>
        <v>ADD</v>
      </c>
      <c r="AD3505">
        <f t="shared" si="163"/>
        <v>0</v>
      </c>
      <c r="AE3505">
        <f t="shared" si="164"/>
        <v>0</v>
      </c>
    </row>
    <row r="3506" spans="29:31" x14ac:dyDescent="0.2">
      <c r="AC3506" t="str">
        <f t="shared" si="162"/>
        <v>ADD</v>
      </c>
      <c r="AD3506">
        <f t="shared" si="163"/>
        <v>0</v>
      </c>
      <c r="AE3506">
        <f t="shared" si="164"/>
        <v>0</v>
      </c>
    </row>
    <row r="3507" spans="29:31" x14ac:dyDescent="0.2">
      <c r="AC3507" t="str">
        <f t="shared" si="162"/>
        <v>ADD</v>
      </c>
      <c r="AD3507">
        <f t="shared" si="163"/>
        <v>0</v>
      </c>
      <c r="AE3507">
        <f t="shared" si="164"/>
        <v>0</v>
      </c>
    </row>
    <row r="3508" spans="29:31" x14ac:dyDescent="0.2">
      <c r="AC3508" t="str">
        <f t="shared" si="162"/>
        <v>ADD</v>
      </c>
      <c r="AD3508">
        <f t="shared" si="163"/>
        <v>0</v>
      </c>
      <c r="AE3508">
        <f t="shared" si="164"/>
        <v>0</v>
      </c>
    </row>
    <row r="3509" spans="29:31" x14ac:dyDescent="0.2">
      <c r="AC3509" t="str">
        <f t="shared" si="162"/>
        <v>ADD</v>
      </c>
      <c r="AD3509">
        <f t="shared" si="163"/>
        <v>0</v>
      </c>
      <c r="AE3509">
        <f t="shared" si="164"/>
        <v>0</v>
      </c>
    </row>
    <row r="3510" spans="29:31" x14ac:dyDescent="0.2">
      <c r="AC3510" t="str">
        <f t="shared" si="162"/>
        <v>ADD</v>
      </c>
      <c r="AD3510">
        <f t="shared" si="163"/>
        <v>0</v>
      </c>
      <c r="AE3510">
        <f t="shared" si="164"/>
        <v>0</v>
      </c>
    </row>
    <row r="3511" spans="29:31" x14ac:dyDescent="0.2">
      <c r="AC3511" t="str">
        <f t="shared" si="162"/>
        <v>ADD</v>
      </c>
      <c r="AD3511">
        <f t="shared" si="163"/>
        <v>0</v>
      </c>
      <c r="AE3511">
        <f t="shared" si="164"/>
        <v>0</v>
      </c>
    </row>
    <row r="3512" spans="29:31" x14ac:dyDescent="0.2">
      <c r="AC3512" t="str">
        <f t="shared" si="162"/>
        <v>ADD</v>
      </c>
      <c r="AD3512">
        <f t="shared" si="163"/>
        <v>0</v>
      </c>
      <c r="AE3512">
        <f t="shared" si="164"/>
        <v>0</v>
      </c>
    </row>
    <row r="3513" spans="29:31" x14ac:dyDescent="0.2">
      <c r="AC3513" t="str">
        <f t="shared" si="162"/>
        <v>ADD</v>
      </c>
      <c r="AD3513">
        <f t="shared" si="163"/>
        <v>0</v>
      </c>
      <c r="AE3513">
        <f t="shared" si="164"/>
        <v>0</v>
      </c>
    </row>
    <row r="3514" spans="29:31" x14ac:dyDescent="0.2">
      <c r="AC3514" t="str">
        <f t="shared" si="162"/>
        <v>ADD</v>
      </c>
      <c r="AD3514">
        <f t="shared" si="163"/>
        <v>0</v>
      </c>
      <c r="AE3514">
        <f t="shared" si="164"/>
        <v>0</v>
      </c>
    </row>
    <row r="3515" spans="29:31" x14ac:dyDescent="0.2">
      <c r="AC3515" t="str">
        <f t="shared" si="162"/>
        <v>ADD</v>
      </c>
      <c r="AD3515">
        <f t="shared" si="163"/>
        <v>0</v>
      </c>
      <c r="AE3515">
        <f t="shared" si="164"/>
        <v>0</v>
      </c>
    </row>
    <row r="3516" spans="29:31" x14ac:dyDescent="0.2">
      <c r="AC3516" t="str">
        <f t="shared" si="162"/>
        <v>ADD</v>
      </c>
      <c r="AD3516">
        <f t="shared" si="163"/>
        <v>0</v>
      </c>
      <c r="AE3516">
        <f t="shared" si="164"/>
        <v>0</v>
      </c>
    </row>
    <row r="3517" spans="29:31" x14ac:dyDescent="0.2">
      <c r="AC3517" t="str">
        <f t="shared" si="162"/>
        <v>ADD</v>
      </c>
      <c r="AD3517">
        <f t="shared" si="163"/>
        <v>0</v>
      </c>
      <c r="AE3517">
        <f t="shared" si="164"/>
        <v>0</v>
      </c>
    </row>
    <row r="3518" spans="29:31" x14ac:dyDescent="0.2">
      <c r="AC3518" t="str">
        <f t="shared" si="162"/>
        <v>ADD</v>
      </c>
      <c r="AD3518">
        <f t="shared" si="163"/>
        <v>0</v>
      </c>
      <c r="AE3518">
        <f t="shared" si="164"/>
        <v>0</v>
      </c>
    </row>
    <row r="3519" spans="29:31" x14ac:dyDescent="0.2">
      <c r="AC3519" t="str">
        <f t="shared" si="162"/>
        <v>ADD</v>
      </c>
      <c r="AD3519">
        <f t="shared" si="163"/>
        <v>0</v>
      </c>
      <c r="AE3519">
        <f t="shared" si="164"/>
        <v>0</v>
      </c>
    </row>
    <row r="3520" spans="29:31" x14ac:dyDescent="0.2">
      <c r="AC3520" t="str">
        <f t="shared" si="162"/>
        <v>ADD</v>
      </c>
      <c r="AD3520">
        <f t="shared" si="163"/>
        <v>0</v>
      </c>
      <c r="AE3520">
        <f t="shared" si="164"/>
        <v>0</v>
      </c>
    </row>
    <row r="3521" spans="29:31" x14ac:dyDescent="0.2">
      <c r="AC3521" t="str">
        <f t="shared" si="162"/>
        <v>ADD</v>
      </c>
      <c r="AD3521">
        <f t="shared" si="163"/>
        <v>0</v>
      </c>
      <c r="AE3521">
        <f t="shared" si="164"/>
        <v>0</v>
      </c>
    </row>
    <row r="3522" spans="29:31" x14ac:dyDescent="0.2">
      <c r="AC3522" t="str">
        <f t="shared" si="162"/>
        <v>ADD</v>
      </c>
      <c r="AD3522">
        <f t="shared" si="163"/>
        <v>0</v>
      </c>
      <c r="AE3522">
        <f t="shared" si="164"/>
        <v>0</v>
      </c>
    </row>
    <row r="3523" spans="29:31" x14ac:dyDescent="0.2">
      <c r="AC3523" t="str">
        <f t="shared" si="162"/>
        <v>ADD</v>
      </c>
      <c r="AD3523">
        <f t="shared" si="163"/>
        <v>0</v>
      </c>
      <c r="AE3523">
        <f t="shared" si="164"/>
        <v>0</v>
      </c>
    </row>
    <row r="3524" spans="29:31" x14ac:dyDescent="0.2">
      <c r="AC3524" t="str">
        <f t="shared" si="162"/>
        <v>ADD</v>
      </c>
      <c r="AD3524">
        <f t="shared" si="163"/>
        <v>0</v>
      </c>
      <c r="AE3524">
        <f t="shared" si="164"/>
        <v>0</v>
      </c>
    </row>
    <row r="3525" spans="29:31" x14ac:dyDescent="0.2">
      <c r="AC3525" t="str">
        <f t="shared" si="162"/>
        <v>ADD</v>
      </c>
      <c r="AD3525">
        <f t="shared" si="163"/>
        <v>0</v>
      </c>
      <c r="AE3525">
        <f t="shared" si="164"/>
        <v>0</v>
      </c>
    </row>
    <row r="3526" spans="29:31" x14ac:dyDescent="0.2">
      <c r="AC3526" t="str">
        <f t="shared" ref="AC3526:AC3589" si="165">IF(OR(E3526="",E3526="[PARENT]"),"ADD",IF(E3526="[ALT_VIEW]","ALT",""))</f>
        <v>ADD</v>
      </c>
      <c r="AD3526">
        <f t="shared" ref="AD3526:AD3589" si="166">IF(Y3526&lt;&gt;"",Y3526,IF(U3526&lt;&gt;"",U3526,S3526))</f>
        <v>0</v>
      </c>
      <c r="AE3526">
        <f t="shared" ref="AE3526:AE3589" si="167">IF(AB3526&lt;&gt;"",AB3526,Z3526)</f>
        <v>0</v>
      </c>
    </row>
    <row r="3527" spans="29:31" x14ac:dyDescent="0.2">
      <c r="AC3527" t="str">
        <f t="shared" si="165"/>
        <v>ADD</v>
      </c>
      <c r="AD3527">
        <f t="shared" si="166"/>
        <v>0</v>
      </c>
      <c r="AE3527">
        <f t="shared" si="167"/>
        <v>0</v>
      </c>
    </row>
    <row r="3528" spans="29:31" x14ac:dyDescent="0.2">
      <c r="AC3528" t="str">
        <f t="shared" si="165"/>
        <v>ADD</v>
      </c>
      <c r="AD3528">
        <f t="shared" si="166"/>
        <v>0</v>
      </c>
      <c r="AE3528">
        <f t="shared" si="167"/>
        <v>0</v>
      </c>
    </row>
    <row r="3529" spans="29:31" x14ac:dyDescent="0.2">
      <c r="AC3529" t="str">
        <f t="shared" si="165"/>
        <v>ADD</v>
      </c>
      <c r="AD3529">
        <f t="shared" si="166"/>
        <v>0</v>
      </c>
      <c r="AE3529">
        <f t="shared" si="167"/>
        <v>0</v>
      </c>
    </row>
    <row r="3530" spans="29:31" x14ac:dyDescent="0.2">
      <c r="AC3530" t="str">
        <f t="shared" si="165"/>
        <v>ADD</v>
      </c>
      <c r="AD3530">
        <f t="shared" si="166"/>
        <v>0</v>
      </c>
      <c r="AE3530">
        <f t="shared" si="167"/>
        <v>0</v>
      </c>
    </row>
    <row r="3531" spans="29:31" x14ac:dyDescent="0.2">
      <c r="AC3531" t="str">
        <f t="shared" si="165"/>
        <v>ADD</v>
      </c>
      <c r="AD3531">
        <f t="shared" si="166"/>
        <v>0</v>
      </c>
      <c r="AE3531">
        <f t="shared" si="167"/>
        <v>0</v>
      </c>
    </row>
    <row r="3532" spans="29:31" x14ac:dyDescent="0.2">
      <c r="AC3532" t="str">
        <f t="shared" si="165"/>
        <v>ADD</v>
      </c>
      <c r="AD3532">
        <f t="shared" si="166"/>
        <v>0</v>
      </c>
      <c r="AE3532">
        <f t="shared" si="167"/>
        <v>0</v>
      </c>
    </row>
    <row r="3533" spans="29:31" x14ac:dyDescent="0.2">
      <c r="AC3533" t="str">
        <f t="shared" si="165"/>
        <v>ADD</v>
      </c>
      <c r="AD3533">
        <f t="shared" si="166"/>
        <v>0</v>
      </c>
      <c r="AE3533">
        <f t="shared" si="167"/>
        <v>0</v>
      </c>
    </row>
    <row r="3534" spans="29:31" x14ac:dyDescent="0.2">
      <c r="AC3534" t="str">
        <f t="shared" si="165"/>
        <v>ADD</v>
      </c>
      <c r="AD3534">
        <f t="shared" si="166"/>
        <v>0</v>
      </c>
      <c r="AE3534">
        <f t="shared" si="167"/>
        <v>0</v>
      </c>
    </row>
    <row r="3535" spans="29:31" x14ac:dyDescent="0.2">
      <c r="AC3535" t="str">
        <f t="shared" si="165"/>
        <v>ADD</v>
      </c>
      <c r="AD3535">
        <f t="shared" si="166"/>
        <v>0</v>
      </c>
      <c r="AE3535">
        <f t="shared" si="167"/>
        <v>0</v>
      </c>
    </row>
    <row r="3536" spans="29:31" x14ac:dyDescent="0.2">
      <c r="AC3536" t="str">
        <f t="shared" si="165"/>
        <v>ADD</v>
      </c>
      <c r="AD3536">
        <f t="shared" si="166"/>
        <v>0</v>
      </c>
      <c r="AE3536">
        <f t="shared" si="167"/>
        <v>0</v>
      </c>
    </row>
    <row r="3537" spans="29:31" x14ac:dyDescent="0.2">
      <c r="AC3537" t="str">
        <f t="shared" si="165"/>
        <v>ADD</v>
      </c>
      <c r="AD3537">
        <f t="shared" si="166"/>
        <v>0</v>
      </c>
      <c r="AE3537">
        <f t="shared" si="167"/>
        <v>0</v>
      </c>
    </row>
    <row r="3538" spans="29:31" x14ac:dyDescent="0.2">
      <c r="AC3538" t="str">
        <f t="shared" si="165"/>
        <v>ADD</v>
      </c>
      <c r="AD3538">
        <f t="shared" si="166"/>
        <v>0</v>
      </c>
      <c r="AE3538">
        <f t="shared" si="167"/>
        <v>0</v>
      </c>
    </row>
    <row r="3539" spans="29:31" x14ac:dyDescent="0.2">
      <c r="AC3539" t="str">
        <f t="shared" si="165"/>
        <v>ADD</v>
      </c>
      <c r="AD3539">
        <f t="shared" si="166"/>
        <v>0</v>
      </c>
      <c r="AE3539">
        <f t="shared" si="167"/>
        <v>0</v>
      </c>
    </row>
    <row r="3540" spans="29:31" x14ac:dyDescent="0.2">
      <c r="AC3540" t="str">
        <f t="shared" si="165"/>
        <v>ADD</v>
      </c>
      <c r="AD3540">
        <f t="shared" si="166"/>
        <v>0</v>
      </c>
      <c r="AE3540">
        <f t="shared" si="167"/>
        <v>0</v>
      </c>
    </row>
    <row r="3541" spans="29:31" x14ac:dyDescent="0.2">
      <c r="AC3541" t="str">
        <f t="shared" si="165"/>
        <v>ADD</v>
      </c>
      <c r="AD3541">
        <f t="shared" si="166"/>
        <v>0</v>
      </c>
      <c r="AE3541">
        <f t="shared" si="167"/>
        <v>0</v>
      </c>
    </row>
    <row r="3542" spans="29:31" x14ac:dyDescent="0.2">
      <c r="AC3542" t="str">
        <f t="shared" si="165"/>
        <v>ADD</v>
      </c>
      <c r="AD3542">
        <f t="shared" si="166"/>
        <v>0</v>
      </c>
      <c r="AE3542">
        <f t="shared" si="167"/>
        <v>0</v>
      </c>
    </row>
    <row r="3543" spans="29:31" x14ac:dyDescent="0.2">
      <c r="AC3543" t="str">
        <f t="shared" si="165"/>
        <v>ADD</v>
      </c>
      <c r="AD3543">
        <f t="shared" si="166"/>
        <v>0</v>
      </c>
      <c r="AE3543">
        <f t="shared" si="167"/>
        <v>0</v>
      </c>
    </row>
    <row r="3544" spans="29:31" x14ac:dyDescent="0.2">
      <c r="AC3544" t="str">
        <f t="shared" si="165"/>
        <v>ADD</v>
      </c>
      <c r="AD3544">
        <f t="shared" si="166"/>
        <v>0</v>
      </c>
      <c r="AE3544">
        <f t="shared" si="167"/>
        <v>0</v>
      </c>
    </row>
    <row r="3545" spans="29:31" x14ac:dyDescent="0.2">
      <c r="AC3545" t="str">
        <f t="shared" si="165"/>
        <v>ADD</v>
      </c>
      <c r="AD3545">
        <f t="shared" si="166"/>
        <v>0</v>
      </c>
      <c r="AE3545">
        <f t="shared" si="167"/>
        <v>0</v>
      </c>
    </row>
    <row r="3546" spans="29:31" x14ac:dyDescent="0.2">
      <c r="AC3546" t="str">
        <f t="shared" si="165"/>
        <v>ADD</v>
      </c>
      <c r="AD3546">
        <f t="shared" si="166"/>
        <v>0</v>
      </c>
      <c r="AE3546">
        <f t="shared" si="167"/>
        <v>0</v>
      </c>
    </row>
    <row r="3547" spans="29:31" x14ac:dyDescent="0.2">
      <c r="AC3547" t="str">
        <f t="shared" si="165"/>
        <v>ADD</v>
      </c>
      <c r="AD3547">
        <f t="shared" si="166"/>
        <v>0</v>
      </c>
      <c r="AE3547">
        <f t="shared" si="167"/>
        <v>0</v>
      </c>
    </row>
    <row r="3548" spans="29:31" x14ac:dyDescent="0.2">
      <c r="AC3548" t="str">
        <f t="shared" si="165"/>
        <v>ADD</v>
      </c>
      <c r="AD3548">
        <f t="shared" si="166"/>
        <v>0</v>
      </c>
      <c r="AE3548">
        <f t="shared" si="167"/>
        <v>0</v>
      </c>
    </row>
    <row r="3549" spans="29:31" x14ac:dyDescent="0.2">
      <c r="AC3549" t="str">
        <f t="shared" si="165"/>
        <v>ADD</v>
      </c>
      <c r="AD3549">
        <f t="shared" si="166"/>
        <v>0</v>
      </c>
      <c r="AE3549">
        <f t="shared" si="167"/>
        <v>0</v>
      </c>
    </row>
    <row r="3550" spans="29:31" x14ac:dyDescent="0.2">
      <c r="AC3550" t="str">
        <f t="shared" si="165"/>
        <v>ADD</v>
      </c>
      <c r="AD3550">
        <f t="shared" si="166"/>
        <v>0</v>
      </c>
      <c r="AE3550">
        <f t="shared" si="167"/>
        <v>0</v>
      </c>
    </row>
    <row r="3551" spans="29:31" x14ac:dyDescent="0.2">
      <c r="AC3551" t="str">
        <f t="shared" si="165"/>
        <v>ADD</v>
      </c>
      <c r="AD3551">
        <f t="shared" si="166"/>
        <v>0</v>
      </c>
      <c r="AE3551">
        <f t="shared" si="167"/>
        <v>0</v>
      </c>
    </row>
    <row r="3552" spans="29:31"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8" t="s">
        <v>8314</v>
      </c>
      <c r="B1" s="19"/>
      <c r="C1" s="19"/>
      <c r="D1" s="19"/>
      <c r="E1" s="19"/>
      <c r="F1" s="1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8" t="s">
        <v>8315</v>
      </c>
      <c r="B1" s="19"/>
      <c r="C1" s="19"/>
    </row>
    <row r="2" spans="1:3" ht="10" customHeight="1" x14ac:dyDescent="0.2">
      <c r="A2" s="20" t="s">
        <v>8316</v>
      </c>
    </row>
    <row r="3" spans="1:3" ht="10" customHeight="1" x14ac:dyDescent="0.2"/>
    <row r="4" spans="1:3" ht="10" customHeight="1" x14ac:dyDescent="0.2">
      <c r="A4" s="6" t="s">
        <v>8317</v>
      </c>
      <c r="B4" s="7"/>
    </row>
    <row r="5" spans="1:3" ht="10" customHeight="1" x14ac:dyDescent="0.2">
      <c r="A5" s="15" t="s">
        <v>8318</v>
      </c>
      <c r="B5" s="15" t="s">
        <v>8319</v>
      </c>
    </row>
    <row r="6" spans="1:3" ht="10" customHeight="1" x14ac:dyDescent="0.2">
      <c r="A6" s="16" t="s">
        <v>8320</v>
      </c>
      <c r="B6" s="17">
        <f>SUMIFS(JB_26BV,JB_B,1,JB_RC,"ADD")</f>
        <v>46283564</v>
      </c>
    </row>
    <row r="7" spans="1:3" ht="10" customHeight="1" x14ac:dyDescent="0.2">
      <c r="A7" s="16" t="s">
        <v>8321</v>
      </c>
      <c r="B7" s="17">
        <f>SUMIFS(JB_26BV,JB_B,2,JB_RC,"ADD")</f>
        <v>38741703</v>
      </c>
    </row>
    <row r="8" spans="1:3" ht="10" customHeight="1" x14ac:dyDescent="0.2">
      <c r="A8" s="16" t="s">
        <v>8322</v>
      </c>
      <c r="B8" s="17">
        <f>SUMIFS(JB_26BV,JB_B,3,JB_RC,"ADD")</f>
        <v>343555</v>
      </c>
    </row>
    <row r="9" spans="1:3" ht="10" customHeight="1" x14ac:dyDescent="0.2">
      <c r="A9" s="16" t="s">
        <v>8323</v>
      </c>
      <c r="B9" s="17">
        <f>SUMIFS(JB_26BV,JB_B,4,JB_RC,"ADD")</f>
        <v>21357621</v>
      </c>
    </row>
    <row r="10" spans="1:3" ht="10" customHeight="1" x14ac:dyDescent="0.2">
      <c r="A10" s="16" t="s">
        <v>8324</v>
      </c>
      <c r="B10" s="17">
        <f>SUMIFS(JB_26BV,JB_B,5,JB_RC,"ADD")</f>
        <v>1787677</v>
      </c>
    </row>
    <row r="11" spans="1:3" ht="10" customHeight="1" x14ac:dyDescent="0.2">
      <c r="A11" s="16" t="s">
        <v>8325</v>
      </c>
      <c r="B11" s="17">
        <f>SUMIFS(JB_26BV,JB_B,6,JB_RC,"ADD")</f>
        <v>95431505</v>
      </c>
    </row>
    <row r="12" spans="1:3" ht="10" customHeight="1" x14ac:dyDescent="0.2">
      <c r="A12" s="16" t="s">
        <v>8326</v>
      </c>
      <c r="B12" s="17">
        <f>SUMIFS(JB_26BV,JB_B,7,JB_RC,"ADD")</f>
        <v>9664371</v>
      </c>
    </row>
    <row r="13" spans="1:3" ht="10" customHeight="1" x14ac:dyDescent="0.2">
      <c r="A13" s="21" t="s">
        <v>8327</v>
      </c>
      <c r="B13" s="22">
        <f>SUM(B6:B12)</f>
        <v>213609996</v>
      </c>
    </row>
    <row r="14" spans="1:3" ht="10" customHeight="1" x14ac:dyDescent="0.2"/>
    <row r="15" spans="1:3" ht="10" customHeight="1" x14ac:dyDescent="0.2"/>
    <row r="16" spans="1:3" ht="10" customHeight="1" x14ac:dyDescent="0.2">
      <c r="A16" s="6" t="s">
        <v>8328</v>
      </c>
      <c r="B16" s="7"/>
      <c r="C16" s="7"/>
    </row>
    <row r="17" spans="1:3" ht="10" customHeight="1" x14ac:dyDescent="0.2">
      <c r="A17" s="15" t="s">
        <v>8329</v>
      </c>
      <c r="B17" s="15" t="s">
        <v>8319</v>
      </c>
      <c r="C17" s="15" t="s">
        <v>8330</v>
      </c>
    </row>
    <row r="18" spans="1:3" ht="10" customHeight="1" x14ac:dyDescent="0.2">
      <c r="A18" s="16" t="s">
        <v>51</v>
      </c>
      <c r="B18" s="17">
        <f>SUMIFS(JB_26BV,JB_V,"Combatant Ships",JB_RC,"ADD")</f>
        <v>62392258</v>
      </c>
      <c r="C18" s="20" t="s">
        <v>8331</v>
      </c>
    </row>
    <row r="19" spans="1:3" ht="10" customHeight="1" x14ac:dyDescent="0.2">
      <c r="A19" s="16" t="s">
        <v>232</v>
      </c>
      <c r="B19" s="17">
        <f>SUMIFS(JB_26BV,JB_V,"Auxiliary Ships",JB_RC,"ADD")</f>
        <v>890000</v>
      </c>
      <c r="C19" s="20" t="s">
        <v>8331</v>
      </c>
    </row>
    <row r="20" spans="1:3" ht="10" customHeight="1" x14ac:dyDescent="0.2">
      <c r="A20" s="16" t="s">
        <v>6810</v>
      </c>
      <c r="B20" s="17">
        <f>SUMIFS(JB_26BV,JB_V,"Cutters",JB_RC,"ADD")</f>
        <v>1287400</v>
      </c>
      <c r="C20" s="20" t="s">
        <v>8331</v>
      </c>
    </row>
    <row r="21" spans="1:3" ht="10" customHeight="1" x14ac:dyDescent="0.2">
      <c r="A21" s="16" t="s">
        <v>4675</v>
      </c>
      <c r="B21" s="17">
        <f>SUMIFS(JB_26BV,JB_V,"Unmanned Maritime Platforms",JB_RC,"ADD")</f>
        <v>1534948</v>
      </c>
      <c r="C21" s="20" t="s">
        <v>8331</v>
      </c>
    </row>
    <row r="22" spans="1:3" ht="10" customHeight="1" x14ac:dyDescent="0.2">
      <c r="A22" s="16" t="s">
        <v>239</v>
      </c>
      <c r="B22" s="17">
        <f>SUMIFS(JB_26BV,JB_V,"Combatant Crafts",JB_RC,"ADD")</f>
        <v>921390</v>
      </c>
      <c r="C22" s="20" t="s">
        <v>8332</v>
      </c>
    </row>
    <row r="23" spans="1:3" ht="10" customHeight="1" x14ac:dyDescent="0.2">
      <c r="A23" s="16" t="s">
        <v>304</v>
      </c>
      <c r="B23" s="17">
        <f>SUMIFS(JB_26BV,JB_V,"Support Crafts",JB_RC,"ADD")</f>
        <v>79000</v>
      </c>
      <c r="C23" s="20" t="s">
        <v>8333</v>
      </c>
    </row>
    <row r="24" spans="1:3" ht="10" customHeight="1" x14ac:dyDescent="0.2">
      <c r="A24" s="16" t="s">
        <v>8198</v>
      </c>
      <c r="B24" s="17">
        <f>SUMIFS(JB_26BV,JB_V,"Boats",JB_RC,"ADD")</f>
        <v>0</v>
      </c>
      <c r="C24" s="20" t="s">
        <v>8334</v>
      </c>
    </row>
    <row r="25" spans="1:3" ht="10" customHeight="1" x14ac:dyDescent="0.2">
      <c r="A25" s="16" t="s">
        <v>8335</v>
      </c>
      <c r="B25" s="17">
        <f>SUMIFS(JB_26BV,JB_V,"",JB_RC,"ADD")</f>
        <v>166233023</v>
      </c>
      <c r="C25" s="20" t="s">
        <v>8336</v>
      </c>
    </row>
    <row r="26" spans="1:3" ht="10" customHeight="1" x14ac:dyDescent="0.2">
      <c r="A26" s="21" t="s">
        <v>8327</v>
      </c>
      <c r="B26" s="22">
        <f>SUM(B18:B25)</f>
        <v>233338019</v>
      </c>
      <c r="C26" s="23"/>
    </row>
    <row r="27" spans="1:3" ht="10" customHeight="1" x14ac:dyDescent="0.2">
      <c r="A27" s="24" t="s">
        <v>8337</v>
      </c>
      <c r="B27" s="25">
        <f>B18+B19+B20+B21</f>
        <v>66104606</v>
      </c>
    </row>
    <row r="28" spans="1:3" ht="10" customHeight="1" x14ac:dyDescent="0.2"/>
    <row r="29" spans="1:3" ht="10" customHeight="1" x14ac:dyDescent="0.2"/>
    <row r="30" spans="1:3" ht="10" customHeight="1" x14ac:dyDescent="0.2">
      <c r="A30" s="6" t="s">
        <v>8338</v>
      </c>
      <c r="B30" s="7"/>
    </row>
    <row r="31" spans="1:3" ht="10" customHeight="1" x14ac:dyDescent="0.2">
      <c r="A31" s="15" t="s">
        <v>8</v>
      </c>
      <c r="B31" s="15" t="s">
        <v>8319</v>
      </c>
    </row>
    <row r="32" spans="1:3" ht="10" customHeight="1" x14ac:dyDescent="0.2">
      <c r="A32" s="16" t="s">
        <v>4317</v>
      </c>
      <c r="B32" s="17">
        <f>SUMIFS(JB_26BV,JB_A,"NWCF",JB_RC,"ADD")</f>
        <v>88425320</v>
      </c>
    </row>
    <row r="33" spans="1:2" ht="10" customHeight="1" x14ac:dyDescent="0.2">
      <c r="A33" s="16" t="s">
        <v>5448</v>
      </c>
      <c r="B33" s="17">
        <f>SUMIFS(JB_26BV,JB_A,"OMN_Vol2",JB_RC,"ADD")</f>
        <v>50672783</v>
      </c>
    </row>
    <row r="34" spans="1:2" ht="10" customHeight="1" x14ac:dyDescent="0.2">
      <c r="A34" s="16" t="s">
        <v>44</v>
      </c>
      <c r="B34" s="17">
        <f>SUMIFS(JB_26BV,JB_A,"SCN",JB_RC,"ADD")</f>
        <v>43785401</v>
      </c>
    </row>
    <row r="35" spans="1:2" ht="10" customHeight="1" x14ac:dyDescent="0.2">
      <c r="A35" s="16" t="s">
        <v>4712</v>
      </c>
      <c r="B35" s="17">
        <f>SUMIFS(JB_26BV,JB_A,"OMN",JB_RC,"ADD")</f>
        <v>23412913</v>
      </c>
    </row>
    <row r="36" spans="1:2" ht="10" customHeight="1" x14ac:dyDescent="0.2">
      <c r="A36" s="16" t="s">
        <v>7935</v>
      </c>
      <c r="B36" s="17">
        <f>SUMIFS(JB_26BV,JB_A,"WPN",JB_RC,"ADD")</f>
        <v>6957915</v>
      </c>
    </row>
    <row r="37" spans="1:2" ht="10" customHeight="1" x14ac:dyDescent="0.2">
      <c r="A37" s="16" t="s">
        <v>6258</v>
      </c>
      <c r="B37" s="17">
        <f>SUMIFS(JB_26BV,JB_A,"OPN_BA1",JB_RC,"ADD")</f>
        <v>7487390</v>
      </c>
    </row>
    <row r="38" spans="1:2" ht="10" customHeight="1" x14ac:dyDescent="0.2">
      <c r="A38" s="16" t="s">
        <v>6461</v>
      </c>
      <c r="B38" s="17">
        <f>SUMIFS(JB_26BV,JB_A,"OPN_BA2",JB_RC,"ADD")</f>
        <v>4519845</v>
      </c>
    </row>
    <row r="39" spans="1:2" ht="10" customHeight="1" x14ac:dyDescent="0.2">
      <c r="A39" s="16" t="s">
        <v>7790</v>
      </c>
      <c r="B39" s="17">
        <f>SUMIFS(JB_26BV,JB_A,"OPN_BA5-8",JB_RC,"ADD")</f>
        <v>1863708</v>
      </c>
    </row>
    <row r="40" spans="1:2" ht="10" customHeight="1" x14ac:dyDescent="0.2">
      <c r="A40" s="16" t="s">
        <v>7153</v>
      </c>
      <c r="B40" s="17">
        <f>SUMIFS(JB_26BV,JB_A,"OPN_BA4",JB_RC,"ADD")</f>
        <v>1574572</v>
      </c>
    </row>
    <row r="41" spans="1:2" ht="10" customHeight="1" x14ac:dyDescent="0.2">
      <c r="A41" s="16" t="s">
        <v>6809</v>
      </c>
      <c r="B41" s="17">
        <f>SUMIFS(JB_26BV,JB_A,"USCG",JB_RC,"ADD")</f>
        <v>2986940</v>
      </c>
    </row>
    <row r="42" spans="1:2" ht="10" customHeight="1" x14ac:dyDescent="0.2">
      <c r="A42" s="16" t="s">
        <v>6836</v>
      </c>
      <c r="B42" s="17">
        <f>SUMIFS(JB_26BV,JB_A,"OPN_BA3",JB_RC,"ADD")</f>
        <v>1651232</v>
      </c>
    </row>
    <row r="43" spans="1:2" ht="10" customHeight="1" x14ac:dyDescent="0.2">
      <c r="A43" s="21" t="s">
        <v>8327</v>
      </c>
      <c r="B43" s="22">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75"/>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7" width="12" customWidth="1"/>
  </cols>
  <sheetData>
    <row r="1" spans="1:18" ht="10" customHeight="1" x14ac:dyDescent="0.2">
      <c r="A1" s="18" t="s">
        <v>8339</v>
      </c>
      <c r="B1" s="19"/>
      <c r="C1" s="19"/>
      <c r="D1" s="19"/>
      <c r="E1" s="19"/>
      <c r="F1" s="19"/>
      <c r="G1" s="19"/>
      <c r="H1" s="19"/>
      <c r="I1" s="19"/>
      <c r="J1" s="19"/>
      <c r="K1" s="19"/>
      <c r="L1" s="19"/>
      <c r="M1" s="19"/>
      <c r="N1" s="19"/>
      <c r="O1" s="19"/>
      <c r="P1" s="19"/>
      <c r="Q1" s="19"/>
      <c r="R1" s="19"/>
    </row>
    <row r="2" spans="1:18" ht="10" customHeight="1" x14ac:dyDescent="0.2">
      <c r="A2" s="20" t="s">
        <v>8340</v>
      </c>
    </row>
    <row r="3" spans="1:18" ht="10" customHeight="1" x14ac:dyDescent="0.2"/>
    <row r="4" spans="1:18" ht="10" customHeight="1" x14ac:dyDescent="0.2">
      <c r="A4" s="6" t="s">
        <v>8341</v>
      </c>
      <c r="B4" s="7"/>
    </row>
    <row r="5" spans="1:18" ht="10" customHeight="1" x14ac:dyDescent="0.2">
      <c r="A5" s="16" t="s">
        <v>8342</v>
      </c>
      <c r="B5" s="17">
        <f>SUMIFS(JB_26BV,JB_B,1,JB_RC,"ADD")</f>
        <v>46283564</v>
      </c>
    </row>
    <row r="6" spans="1:18" ht="10" customHeight="1" x14ac:dyDescent="0.2">
      <c r="A6" s="16" t="s">
        <v>8343</v>
      </c>
      <c r="B6" s="17">
        <f>-SUMIFS(JB_26BV,JB_B,1,JB_V,"",JB_RC,"ADD")</f>
        <v>-3867651</v>
      </c>
    </row>
    <row r="7" spans="1:18" ht="10" customHeight="1" x14ac:dyDescent="0.2">
      <c r="A7" s="16" t="s">
        <v>8344</v>
      </c>
      <c r="B7" s="17">
        <f>-SUMIFS(JB_26BV,JB_B,1,JB_V,"Combatant Crafts",JB_RC,"ADD")</f>
        <v>-854095</v>
      </c>
    </row>
    <row r="8" spans="1:18" ht="10" customHeight="1" x14ac:dyDescent="0.2">
      <c r="A8" s="16" t="s">
        <v>8345</v>
      </c>
      <c r="B8" s="17">
        <f>-SUMIFS(JB_26BV,JB_B,1,JB_V,"Support Crafts",JB_RC,"ADD")</f>
        <v>-79000</v>
      </c>
    </row>
    <row r="9" spans="1:18" ht="10" customHeight="1" x14ac:dyDescent="0.2">
      <c r="A9" s="21" t="s">
        <v>8346</v>
      </c>
      <c r="B9" s="22">
        <f>SUMIFS(JB_26BV,JB_B,1,JB_V,"Auxiliary Ships",JB_RC,"ADD")+SUMIFS(JB_26BV,JB_B,1,JB_V,"Combatant Ships",JB_RC,"ADD")+SUMIFS(JB_26BV,JB_B,1,JB_V,"Cutters",JB_RC,"ADD")+SUMIFS(JB_26BV,JB_B,1,JB_V,"Unmanned Maritime Platforms",JB_RC,"ADD")</f>
        <v>41482818</v>
      </c>
    </row>
    <row r="10" spans="1:18" ht="10" customHeight="1" x14ac:dyDescent="0.2"/>
    <row r="11" spans="1:18" ht="10" customHeight="1" x14ac:dyDescent="0.2"/>
    <row r="12" spans="1:18" ht="10" customHeight="1" x14ac:dyDescent="0.2">
      <c r="A12" s="6" t="s">
        <v>8347</v>
      </c>
      <c r="B12" s="7"/>
      <c r="C12" s="7"/>
      <c r="D12" s="7"/>
    </row>
    <row r="13" spans="1:18" ht="10" customHeight="1" x14ac:dyDescent="0.2">
      <c r="A13" s="15" t="s">
        <v>20</v>
      </c>
      <c r="B13" s="15" t="s">
        <v>8348</v>
      </c>
      <c r="C13" s="15" t="s">
        <v>8319</v>
      </c>
      <c r="D13" s="15" t="s">
        <v>8349</v>
      </c>
    </row>
    <row r="14" spans="1:18" ht="10" customHeight="1" x14ac:dyDescent="0.2">
      <c r="A14" s="16" t="s">
        <v>52</v>
      </c>
      <c r="B14" s="16" t="s">
        <v>50</v>
      </c>
      <c r="C14" s="17">
        <f>SUMIFS(JB_26BV,JB_B,1,JB_W,"Submarines",JB_RC,"ADD")</f>
        <v>19940315</v>
      </c>
      <c r="D14" s="26">
        <f t="shared" ref="D14:D41" si="0">IFERROR(C14/C$42,0)</f>
        <v>0.48068853470851475</v>
      </c>
    </row>
    <row r="15" spans="1:18" ht="10" customHeight="1" x14ac:dyDescent="0.2">
      <c r="A15" s="16" t="s">
        <v>119</v>
      </c>
      <c r="B15" s="16" t="s">
        <v>50</v>
      </c>
      <c r="C15" s="17">
        <f>SUMIFS(JB_26BV,JB_B,1,JB_W,"Surface Combatants",JB_RC,"ADD")</f>
        <v>7455131</v>
      </c>
      <c r="D15" s="26">
        <f t="shared" si="0"/>
        <v>0.17971611764658804</v>
      </c>
    </row>
    <row r="16" spans="1:18" ht="10" customHeight="1" x14ac:dyDescent="0.2">
      <c r="A16" s="16" t="s">
        <v>69</v>
      </c>
      <c r="B16" s="16" t="s">
        <v>50</v>
      </c>
      <c r="C16" s="17">
        <f>SUMIFS(JB_26BV,JB_B,1,JB_W,"Aircraft Carriers",JB_RC,"ADD")</f>
        <v>3281673</v>
      </c>
      <c r="D16" s="26">
        <f t="shared" si="0"/>
        <v>7.9109210950905021E-2</v>
      </c>
    </row>
    <row r="17" spans="1:4" ht="10" customHeight="1" x14ac:dyDescent="0.2">
      <c r="A17" s="16" t="s">
        <v>182</v>
      </c>
      <c r="B17" s="16" t="s">
        <v>50</v>
      </c>
      <c r="C17" s="17">
        <f>SUMIFS(JB_26BV,JB_B,1,JB_W,"Expeditionary &amp; Seabasing Ships",JB_RC,"ADD")</f>
        <v>2763941</v>
      </c>
      <c r="D17" s="26">
        <f t="shared" si="0"/>
        <v>6.6628573786862794E-2</v>
      </c>
    </row>
    <row r="18" spans="1:4" ht="10" customHeight="1" x14ac:dyDescent="0.2">
      <c r="A18" s="16" t="s">
        <v>202</v>
      </c>
      <c r="B18" s="16" t="s">
        <v>190</v>
      </c>
      <c r="C18" s="17">
        <f>SUMIFS(JB_26BV,JB_B,1,JB_W,"Combat Logistics Ships",JB_RC,"ADD")</f>
        <v>1861705</v>
      </c>
      <c r="D18" s="26">
        <f t="shared" si="0"/>
        <v>4.4878942409360904E-2</v>
      </c>
    </row>
    <row r="19" spans="1:4" ht="10" customHeight="1" x14ac:dyDescent="0.2">
      <c r="A19" s="16" t="s">
        <v>149</v>
      </c>
      <c r="B19" s="16" t="s">
        <v>50</v>
      </c>
      <c r="C19" s="17">
        <f>SUMIFS(JB_26BV,JB_B,1,JB_W,"Amphibious Warfare Ships",JB_RC,"ADD")</f>
        <v>1745000</v>
      </c>
      <c r="D19" s="26">
        <f t="shared" si="0"/>
        <v>4.2065608946817448E-2</v>
      </c>
    </row>
    <row r="20" spans="1:4" ht="10" customHeight="1" x14ac:dyDescent="0.2">
      <c r="A20" s="16" t="s">
        <v>5416</v>
      </c>
      <c r="B20" s="16" t="s">
        <v>50</v>
      </c>
      <c r="C20" s="17">
        <f>SUMIFS(JB_26BV,JB_B,1,JB_W,"Unmanned Surface Vehicles",JB_RC,"ADD")</f>
        <v>1325714</v>
      </c>
      <c r="D20" s="26">
        <f t="shared" si="0"/>
        <v>3.1958147105628165E-2</v>
      </c>
    </row>
    <row r="21" spans="1:4" ht="10" customHeight="1" x14ac:dyDescent="0.2">
      <c r="A21" s="16" t="s">
        <v>245</v>
      </c>
      <c r="B21" s="16" t="s">
        <v>50</v>
      </c>
      <c r="C21" s="17">
        <f>SUMIFS(JB_26BV,JB_B,1,JB_W,"Cargo &amp; Vehicle Cargo Ships",JB_RC,"ADD")</f>
        <v>890000</v>
      </c>
      <c r="D21" s="26">
        <f t="shared" si="0"/>
        <v>2.1454665881184831E-2</v>
      </c>
    </row>
    <row r="22" spans="1:4" ht="10" customHeight="1" x14ac:dyDescent="0.2">
      <c r="A22" s="16" t="s">
        <v>214</v>
      </c>
      <c r="B22" s="16" t="s">
        <v>50</v>
      </c>
      <c r="C22" s="17">
        <f>SUMIFS(JB_26BV,JB_B,1,JB_W,"Surveillance Ships",JB_RC,"ADD")</f>
        <v>612205</v>
      </c>
      <c r="D22" s="26">
        <f t="shared" si="0"/>
        <v>1.4758037894146921E-2</v>
      </c>
    </row>
    <row r="23" spans="1:4" ht="10" customHeight="1" x14ac:dyDescent="0.2">
      <c r="A23" s="16" t="s">
        <v>4676</v>
      </c>
      <c r="B23" s="16" t="s">
        <v>50</v>
      </c>
      <c r="C23" s="17">
        <f>SUMIFS(JB_26BV,JB_B,1,JB_W,"Unmanned Undersea Vehicles",JB_RC,"ADD")</f>
        <v>209234</v>
      </c>
      <c r="D23" s="26">
        <f t="shared" si="0"/>
        <v>5.0438714168357605E-3</v>
      </c>
    </row>
    <row r="24" spans="1:4" ht="10" customHeight="1" x14ac:dyDescent="0.2">
      <c r="A24" s="16" t="s">
        <v>226</v>
      </c>
      <c r="B24" s="16" t="s">
        <v>190</v>
      </c>
      <c r="C24" s="17">
        <f>SUMIFS(JB_26BV,JB_B,1,JB_W,"Salvage Ships &amp; Fleet Ocean Tugs",JB_RC,"ADD")</f>
        <v>141500</v>
      </c>
      <c r="D24" s="26">
        <f t="shared" si="0"/>
        <v>3.4110508114468018E-3</v>
      </c>
    </row>
    <row r="25" spans="1:4" ht="10" customHeight="1" x14ac:dyDescent="0.2">
      <c r="A25" s="16" t="s">
        <v>4985</v>
      </c>
      <c r="B25" s="16" t="s">
        <v>50</v>
      </c>
      <c r="C25" s="17">
        <f>SUMIFS(JB_26BV,JB_B,1,JB_W,"High Speed Transport",JB_RC,"ADD")</f>
        <v>0</v>
      </c>
      <c r="D25" s="26">
        <f t="shared" si="0"/>
        <v>0</v>
      </c>
    </row>
    <row r="26" spans="1:4" ht="10" customHeight="1" x14ac:dyDescent="0.2">
      <c r="A26" s="16" t="s">
        <v>5019</v>
      </c>
      <c r="B26" s="16" t="s">
        <v>50</v>
      </c>
      <c r="C26" s="17">
        <f>SUMIFS(JB_26BV,JB_B,1,JB_W,"Submarine Escort Ship",JB_RC,"ADD")</f>
        <v>0</v>
      </c>
      <c r="D26" s="26">
        <f t="shared" si="0"/>
        <v>0</v>
      </c>
    </row>
    <row r="27" spans="1:4" ht="10" customHeight="1" x14ac:dyDescent="0.2">
      <c r="A27" s="16" t="s">
        <v>4643</v>
      </c>
      <c r="B27" s="16" t="s">
        <v>50</v>
      </c>
      <c r="C27" s="17">
        <f>SUMIFS(JB_26BV,JB_B,1,JB_W,"General Auxiliary",JB_RC,"ADD")</f>
        <v>0</v>
      </c>
      <c r="D27" s="26">
        <f t="shared" si="0"/>
        <v>0</v>
      </c>
    </row>
    <row r="28" spans="1:4" ht="10" customHeight="1" x14ac:dyDescent="0.2">
      <c r="A28" s="16" t="s">
        <v>4859</v>
      </c>
      <c r="B28" s="16" t="s">
        <v>50</v>
      </c>
      <c r="C28" s="17">
        <f>SUMIFS(JB_26BV,JB_B,1,JB_W,"Command Ships",JB_RC,"ADD")</f>
        <v>0</v>
      </c>
      <c r="D28" s="26">
        <f t="shared" si="0"/>
        <v>0</v>
      </c>
    </row>
    <row r="29" spans="1:4" ht="10" customHeight="1" x14ac:dyDescent="0.2">
      <c r="A29" s="16" t="s">
        <v>5272</v>
      </c>
      <c r="B29" s="16" t="s">
        <v>50</v>
      </c>
      <c r="C29" s="17">
        <f>SUMIFS(JB_26BV,JB_B,1,JB_W,"Aviation Logistics Support Ship",JB_RC,"ADD")</f>
        <v>0</v>
      </c>
      <c r="D29" s="26">
        <f t="shared" si="0"/>
        <v>0</v>
      </c>
    </row>
    <row r="30" spans="1:4" ht="10" customHeight="1" x14ac:dyDescent="0.2">
      <c r="A30" s="16" t="s">
        <v>4684</v>
      </c>
      <c r="B30" s="16" t="s">
        <v>50</v>
      </c>
      <c r="C30" s="17">
        <f>SUMIFS(JB_26BV,JB_B,1,JB_W,"Mine Warfare",JB_RC,"ADD")</f>
        <v>0</v>
      </c>
      <c r="D30" s="26">
        <f t="shared" si="0"/>
        <v>0</v>
      </c>
    </row>
    <row r="31" spans="1:4" ht="10" customHeight="1" x14ac:dyDescent="0.2">
      <c r="A31" s="16" t="s">
        <v>233</v>
      </c>
      <c r="B31" s="16" t="s">
        <v>190</v>
      </c>
      <c r="C31" s="17">
        <f>SUMIFS(JB_26BV,JB_B,1,JB_W,"Research, Survey &amp; Instrumentation Ships",JB_RC,"ADD")</f>
        <v>0</v>
      </c>
      <c r="D31" s="26">
        <f t="shared" si="0"/>
        <v>0</v>
      </c>
    </row>
    <row r="32" spans="1:4" ht="10" customHeight="1" x14ac:dyDescent="0.2">
      <c r="A32" s="16" t="s">
        <v>5029</v>
      </c>
      <c r="B32" s="16" t="s">
        <v>190</v>
      </c>
      <c r="C32" s="17">
        <f>SUMIFS(JB_26BV,JB_B,1,JB_W,"Hospital Ship",JB_RC,"ADD")</f>
        <v>0</v>
      </c>
      <c r="D32" s="26">
        <f t="shared" si="0"/>
        <v>0</v>
      </c>
    </row>
    <row r="33" spans="1:17" ht="10" customHeight="1" x14ac:dyDescent="0.2">
      <c r="A33" s="16" t="s">
        <v>5277</v>
      </c>
      <c r="B33" s="16" t="s">
        <v>50</v>
      </c>
      <c r="C33" s="17">
        <f>SUMIFS(JB_26BV,JB_B,1,JB_W,"Crane Ship",JB_RC,"ADD")</f>
        <v>0</v>
      </c>
      <c r="D33" s="26">
        <f t="shared" si="0"/>
        <v>0</v>
      </c>
    </row>
    <row r="34" spans="1:17" ht="10" customHeight="1" x14ac:dyDescent="0.2">
      <c r="A34" s="16" t="s">
        <v>4966</v>
      </c>
      <c r="B34" s="16" t="s">
        <v>50</v>
      </c>
      <c r="C34" s="17">
        <f>SUMIFS(JB_26BV,JB_B,1,JB_W,"Material Support Ships",JB_RC,"ADD")</f>
        <v>0</v>
      </c>
      <c r="D34" s="26">
        <f t="shared" si="0"/>
        <v>0</v>
      </c>
    </row>
    <row r="35" spans="1:17" ht="10" customHeight="1" x14ac:dyDescent="0.2">
      <c r="A35" s="16" t="s">
        <v>8188</v>
      </c>
      <c r="B35" s="16" t="s">
        <v>6809</v>
      </c>
      <c r="C35" s="17">
        <f>SUMIFS(JB_26BV,JB_B,1,JB_W,"Offshore Patrol Cutter",JB_RC,"ADD")</f>
        <v>812400</v>
      </c>
      <c r="D35" s="26">
        <f t="shared" si="0"/>
        <v>1.9584011867274785E-2</v>
      </c>
    </row>
    <row r="36" spans="1:17" ht="10" customHeight="1" x14ac:dyDescent="0.2">
      <c r="A36" s="16" t="s">
        <v>8194</v>
      </c>
      <c r="B36" s="16" t="s">
        <v>6809</v>
      </c>
      <c r="C36" s="17">
        <f>SUMIFS(JB_26BV,JB_B,1,JB_W,"Fast Response Cutters",JB_RC,"ADD")</f>
        <v>216000</v>
      </c>
      <c r="D36" s="26">
        <f t="shared" si="0"/>
        <v>5.2069750902650827E-3</v>
      </c>
    </row>
    <row r="37" spans="1:17" ht="10" customHeight="1" x14ac:dyDescent="0.2">
      <c r="A37" s="16" t="s">
        <v>8202</v>
      </c>
      <c r="B37" s="16" t="s">
        <v>6809</v>
      </c>
      <c r="C37" s="17">
        <f>SUMIFS(JB_26BV,JB_B,1,JB_W,"Icebreakers, Oceangoing",JB_RC,"ADD")</f>
        <v>130000</v>
      </c>
      <c r="D37" s="26">
        <f t="shared" si="0"/>
        <v>3.1338276006225036E-3</v>
      </c>
    </row>
    <row r="38" spans="1:17" ht="10" customHeight="1" x14ac:dyDescent="0.2">
      <c r="A38" s="16" t="s">
        <v>8213</v>
      </c>
      <c r="B38" s="16" t="s">
        <v>6809</v>
      </c>
      <c r="C38" s="17">
        <f>SUMIFS(JB_26BV,JB_B,1,JB_W,"Waterways Commerce Cutters",JB_RC,"ADD")</f>
        <v>98000</v>
      </c>
      <c r="D38" s="26">
        <f t="shared" si="0"/>
        <v>2.3624238835461948E-3</v>
      </c>
    </row>
    <row r="39" spans="1:17" ht="10" customHeight="1" x14ac:dyDescent="0.2">
      <c r="A39" s="16" t="s">
        <v>6811</v>
      </c>
      <c r="B39" s="16" t="s">
        <v>6809</v>
      </c>
      <c r="C39" s="17">
        <f>SUMIFS(JB_26BV,JB_B,1,JB_W,"National Security Cutters",JB_RC,"ADD")</f>
        <v>0</v>
      </c>
      <c r="D39" s="26">
        <f t="shared" si="0"/>
        <v>0</v>
      </c>
    </row>
    <row r="40" spans="1:17" ht="10" customHeight="1" x14ac:dyDescent="0.2">
      <c r="A40" s="16" t="s">
        <v>8175</v>
      </c>
      <c r="B40" s="16" t="s">
        <v>6809</v>
      </c>
      <c r="C40" s="17">
        <f>SUMIFS(JB_26BV,JB_B,1,JB_W,"Coastal Buoy Tenders",JB_RC,"ADD")</f>
        <v>0</v>
      </c>
      <c r="D40" s="26">
        <f t="shared" si="0"/>
        <v>0</v>
      </c>
    </row>
    <row r="41" spans="1:17" ht="10" customHeight="1" x14ac:dyDescent="0.2">
      <c r="A41" s="16" t="s">
        <v>8209</v>
      </c>
      <c r="B41" s="16" t="s">
        <v>6809</v>
      </c>
      <c r="C41" s="17">
        <f>SUMIFS(JB_26BV,JB_B,1,JB_W,"Icebreakers, Great Lakes",JB_RC,"ADD")</f>
        <v>0</v>
      </c>
      <c r="D41" s="26">
        <f t="shared" si="0"/>
        <v>0</v>
      </c>
    </row>
    <row r="42" spans="1:17" ht="10" customHeight="1" x14ac:dyDescent="0.2">
      <c r="A42" s="21" t="s">
        <v>8346</v>
      </c>
      <c r="B42" s="21"/>
      <c r="C42" s="22">
        <f>SUM(C14:C41)</f>
        <v>41482818</v>
      </c>
      <c r="D42" s="27">
        <v>1</v>
      </c>
    </row>
    <row r="43" spans="1:17" ht="10" customHeight="1" x14ac:dyDescent="0.2"/>
    <row r="44" spans="1:17" ht="10" customHeight="1" x14ac:dyDescent="0.2"/>
    <row r="45" spans="1:17" ht="10" customHeight="1" x14ac:dyDescent="0.2">
      <c r="A45" s="6" t="s">
        <v>8350</v>
      </c>
      <c r="B45" s="7"/>
      <c r="C45" s="7"/>
      <c r="D45" s="7"/>
      <c r="E45" s="7"/>
      <c r="F45" s="7"/>
      <c r="G45" s="7"/>
      <c r="H45" s="7"/>
      <c r="I45" s="7"/>
      <c r="J45" s="7"/>
      <c r="K45" s="7"/>
      <c r="L45" s="7"/>
      <c r="M45" s="7"/>
      <c r="N45" s="7"/>
      <c r="O45" s="7"/>
      <c r="P45" s="7"/>
      <c r="Q45" s="7"/>
    </row>
    <row r="46" spans="1:17" ht="10" customHeight="1" x14ac:dyDescent="0.2">
      <c r="A46" s="28"/>
      <c r="B46" s="29" t="s">
        <v>50</v>
      </c>
      <c r="C46" s="28"/>
      <c r="D46" s="28"/>
      <c r="E46" s="28"/>
      <c r="F46" s="28"/>
      <c r="G46" s="28"/>
      <c r="H46" s="28"/>
      <c r="I46" s="28"/>
      <c r="J46" s="28"/>
      <c r="K46" s="28"/>
      <c r="L46" s="28"/>
      <c r="M46" s="29" t="s">
        <v>6809</v>
      </c>
      <c r="N46" s="28"/>
      <c r="O46" s="28"/>
      <c r="P46" s="28"/>
      <c r="Q46" s="30"/>
    </row>
    <row r="47" spans="1:17" ht="10" customHeight="1" x14ac:dyDescent="0.2">
      <c r="A47" s="15" t="s">
        <v>8351</v>
      </c>
      <c r="B47" s="31" t="s">
        <v>52</v>
      </c>
      <c r="C47" s="15" t="s">
        <v>119</v>
      </c>
      <c r="D47" s="15" t="s">
        <v>69</v>
      </c>
      <c r="E47" s="15" t="s">
        <v>182</v>
      </c>
      <c r="F47" s="15" t="s">
        <v>202</v>
      </c>
      <c r="G47" s="15" t="s">
        <v>149</v>
      </c>
      <c r="H47" s="15" t="s">
        <v>5416</v>
      </c>
      <c r="I47" s="15" t="s">
        <v>245</v>
      </c>
      <c r="J47" s="15" t="s">
        <v>214</v>
      </c>
      <c r="K47" s="15" t="s">
        <v>4676</v>
      </c>
      <c r="L47" s="15" t="s">
        <v>226</v>
      </c>
      <c r="M47" s="31" t="s">
        <v>8188</v>
      </c>
      <c r="N47" s="15" t="s">
        <v>8194</v>
      </c>
      <c r="O47" s="15" t="s">
        <v>8202</v>
      </c>
      <c r="P47" s="15" t="s">
        <v>8213</v>
      </c>
      <c r="Q47" s="31" t="s">
        <v>8327</v>
      </c>
    </row>
    <row r="48" spans="1:17" ht="10" customHeight="1" x14ac:dyDescent="0.2">
      <c r="A48" s="16" t="s">
        <v>8352</v>
      </c>
      <c r="B48" s="32">
        <f>IFERROR((SUMIFS(JB_26BV,JB_B,1,JB_W,"Submarines",JB_F,"Full ship DD&amp;C",JB_RC,"ADD")+SUMIFS(JB_26BV,JB_B,1,JB_W,"Submarines",JB_F,"Full ship DD&amp;C / LLTM",JB_RC,"ADD")+SUMIFS(JB_26BV,JB_B,1,JB_W,"Submarines",JB_F,"Full vessel procurement",JB_RC,"ADD"))/B$51,0)</f>
        <v>0.56514317853052976</v>
      </c>
      <c r="C48" s="26">
        <f>IFERROR((SUMIFS(JB_26BV,JB_B,1,JB_W,"Surface Combatants",JB_F,"Full ship DD&amp;C",JB_RC,"ADD")+SUMIFS(JB_26BV,JB_B,1,JB_W,"Surface Combatants",JB_F,"Full ship DD&amp;C / LLTM",JB_RC,"ADD")+SUMIFS(JB_26BV,JB_B,1,JB_W,"Surface Combatants",JB_F,"Full vessel procurement",JB_RC,"ADD"))/C$51,0)</f>
        <v>0.7652623407958894</v>
      </c>
      <c r="D48" s="26">
        <f>IFERROR((SUMIFS(JB_26BV,JB_B,1,JB_W,"Aircraft Carriers",JB_F,"Full ship DD&amp;C",JB_RC,"ADD")+SUMIFS(JB_26BV,JB_B,1,JB_W,"Aircraft Carriers",JB_F,"Full ship DD&amp;C / LLTM",JB_RC,"ADD")+SUMIFS(JB_26BV,JB_B,1,JB_W,"Aircraft Carriers",JB_F,"Full vessel procurement",JB_RC,"ADD"))/D$51,0)</f>
        <v>0.81349817608274799</v>
      </c>
      <c r="E48" s="26">
        <f>IFERROR((SUMIFS(JB_26BV,JB_B,1,JB_W,"Expeditionary &amp; Seabasing Ships",JB_F,"Full ship DD&amp;C",JB_RC,"ADD")+SUMIFS(JB_26BV,JB_B,1,JB_W,"Expeditionary &amp; Seabasing Ships",JB_F,"Full ship DD&amp;C / LLTM",JB_RC,"ADD")+SUMIFS(JB_26BV,JB_B,1,JB_W,"Expeditionary &amp; Seabasing Ships",JB_F,"Full vessel procurement",JB_RC,"ADD"))/E$51,0)</f>
        <v>1</v>
      </c>
      <c r="F48" s="26">
        <f>IFERROR((SUMIFS(JB_26BV,JB_B,1,JB_W,"Combat Logistics Ships",JB_F,"Full ship DD&amp;C",JB_RC,"ADD")+SUMIFS(JB_26BV,JB_B,1,JB_W,"Combat Logistics Ships",JB_F,"Full ship DD&amp;C / LLTM",JB_RC,"ADD")+SUMIFS(JB_26BV,JB_B,1,JB_W,"Combat Logistics Ships",JB_F,"Full vessel procurement",JB_RC,"ADD"))/F$51,0)</f>
        <v>1</v>
      </c>
      <c r="G48" s="26">
        <f>IFERROR((SUMIFS(JB_26BV,JB_B,1,JB_W,"Amphibious Warfare Ships",JB_F,"Full ship DD&amp;C",JB_RC,"ADD")+SUMIFS(JB_26BV,JB_B,1,JB_W,"Amphibious Warfare Ships",JB_F,"Full ship DD&amp;C / LLTM",JB_RC,"ADD")+SUMIFS(JB_26BV,JB_B,1,JB_W,"Amphibious Warfare Ships",JB_F,"Full vessel procurement",JB_RC,"ADD"))/G$51,0)</f>
        <v>0.84240687679083093</v>
      </c>
      <c r="H48" s="26">
        <f>IFERROR((SUMIFS(JB_26BV,JB_B,1,JB_W,"Unmanned Surface Vehicles",JB_F,"Full ship DD&amp;C",JB_RC,"ADD")+SUMIFS(JB_26BV,JB_B,1,JB_W,"Unmanned Surface Vehicles",JB_F,"Full ship DD&amp;C / LLTM",JB_RC,"ADD")+SUMIFS(JB_26BV,JB_B,1,JB_W,"Unmanned Surface Vehicles",JB_F,"Full vessel procurement",JB_RC,"ADD"))/H$51,0)</f>
        <v>1</v>
      </c>
      <c r="I48" s="26">
        <f>IFERROR((SUMIFS(JB_26BV,JB_B,1,JB_W,"Cargo &amp; Vehicle Cargo Ships",JB_F,"Full ship DD&amp;C",JB_RC,"ADD")+SUMIFS(JB_26BV,JB_B,1,JB_W,"Cargo &amp; Vehicle Cargo Ships",JB_F,"Full ship DD&amp;C / LLTM",JB_RC,"ADD")+SUMIFS(JB_26BV,JB_B,1,JB_W,"Cargo &amp; Vehicle Cargo Ships",JB_F,"Full vessel procurement",JB_RC,"ADD"))/I$51,0)</f>
        <v>1</v>
      </c>
      <c r="J48" s="26">
        <f>IFERROR((SUMIFS(JB_26BV,JB_B,1,JB_W,"Surveillance Ships",JB_F,"Full ship DD&amp;C",JB_RC,"ADD")+SUMIFS(JB_26BV,JB_B,1,JB_W,"Surveillance Ships",JB_F,"Full ship DD&amp;C / LLTM",JB_RC,"ADD")+SUMIFS(JB_26BV,JB_B,1,JB_W,"Surveillance Ships",JB_F,"Full vessel procurement",JB_RC,"ADD"))/J$51,0)</f>
        <v>1</v>
      </c>
      <c r="K48" s="26">
        <f>IFERROR((SUMIFS(JB_26BV,JB_B,1,JB_W,"Unmanned Undersea Vehicles",JB_F,"Full ship DD&amp;C",JB_RC,"ADD")+SUMIFS(JB_26BV,JB_B,1,JB_W,"Unmanned Undersea Vehicles",JB_F,"Full ship DD&amp;C / LLTM",JB_RC,"ADD")+SUMIFS(JB_26BV,JB_B,1,JB_W,"Unmanned Undersea Vehicles",JB_F,"Full vessel procurement",JB_RC,"ADD"))/K$51,0)</f>
        <v>1</v>
      </c>
      <c r="L48" s="26">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1</v>
      </c>
      <c r="M48" s="32">
        <f>IFERROR((SUMIFS(JB_26BV,JB_B,1,JB_W,"Offshore Patrol Cutter",JB_F,"Full ship DD&amp;C",JB_RC,"ADD")+SUMIFS(JB_26BV,JB_B,1,JB_W,"Offshore Patrol Cutter",JB_F,"Full ship DD&amp;C / LLTM",JB_RC,"ADD")+SUMIFS(JB_26BV,JB_B,1,JB_W,"Offshore Patrol Cutter",JB_F,"Full vessel procurement",JB_RC,"ADD"))/M$51,0)</f>
        <v>1</v>
      </c>
      <c r="N48" s="26">
        <f>IFERROR((SUMIFS(JB_26BV,JB_B,1,JB_W,"Fast Response Cutters",JB_F,"Full ship DD&amp;C",JB_RC,"ADD")+SUMIFS(JB_26BV,JB_B,1,JB_W,"Fast Response Cutters",JB_F,"Full ship DD&amp;C / LLTM",JB_RC,"ADD")+SUMIFS(JB_26BV,JB_B,1,JB_W,"Fast Response Cutters",JB_F,"Full vessel procurement",JB_RC,"ADD"))/N$51,0)</f>
        <v>1</v>
      </c>
      <c r="O48" s="26">
        <f>IFERROR((SUMIFS(JB_26BV,JB_B,1,JB_W,"Icebreakers, Oceangoing",JB_F,"Full ship DD&amp;C",JB_RC,"ADD")+SUMIFS(JB_26BV,JB_B,1,JB_W,"Icebreakers, Oceangoing",JB_F,"Full ship DD&amp;C / LLTM",JB_RC,"ADD")+SUMIFS(JB_26BV,JB_B,1,JB_W,"Icebreakers, Oceangoing",JB_F,"Full vessel procurement",JB_RC,"ADD"))/O$51,0)</f>
        <v>1</v>
      </c>
      <c r="P48" s="26">
        <f>IFERROR((SUMIFS(JB_26BV,JB_B,1,JB_W,"Waterways Commerce Cutters",JB_F,"Full ship DD&amp;C",JB_RC,"ADD")+SUMIFS(JB_26BV,JB_B,1,JB_W,"Waterways Commerce Cutters",JB_F,"Full ship DD&amp;C / LLTM",JB_RC,"ADD")+SUMIFS(JB_26BV,JB_B,1,JB_W,"Waterways Commerce Cutters",JB_F,"Full vessel procurement",JB_RC,"ADD"))/P$51,0)</f>
        <v>1</v>
      </c>
      <c r="Q48" s="32">
        <f>IFERROR(1-Q49,0)</f>
        <v>0.73206690056591617</v>
      </c>
    </row>
    <row r="49" spans="1:17" ht="10" customHeight="1" x14ac:dyDescent="0.2">
      <c r="A49" s="16" t="s">
        <v>8353</v>
      </c>
      <c r="B49" s="32">
        <f>IFERROR((SUMIFS(JB_26BV,JB_B,1,JB_W,"Submarines",JB_F,"Advance procurement / LLTM",JB_RC,"ADD"))/B$51,0)</f>
        <v>0.4251478474637938</v>
      </c>
      <c r="C49" s="26">
        <f>IFERROR((SUMIFS(JB_26BV,JB_B,1,JB_W,"Surface Combatants",JB_F,"Advance procurement / LLTM",JB_RC,"ADD"))/C$51,0)</f>
        <v>0.23473765920411058</v>
      </c>
      <c r="D49" s="26">
        <f>IFERROR((SUMIFS(JB_26BV,JB_B,1,JB_W,"Aircraft Carriers",JB_F,"Advance procurement / LLTM",JB_RC,"ADD"))/D$51,0)</f>
        <v>0.18650182391725195</v>
      </c>
      <c r="E49" s="26">
        <f>IFERROR((SUMIFS(JB_26BV,JB_B,1,JB_W,"Expeditionary &amp; Seabasing Ships",JB_F,"Advance procurement / LLTM",JB_RC,"ADD"))/E$51,0)</f>
        <v>0</v>
      </c>
      <c r="F49" s="26">
        <f>IFERROR((SUMIFS(JB_26BV,JB_B,1,JB_W,"Combat Logistics Ships",JB_F,"Advance procurement / LLTM",JB_RC,"ADD"))/F$51,0)</f>
        <v>0</v>
      </c>
      <c r="G49" s="26">
        <f>IFERROR((SUMIFS(JB_26BV,JB_B,1,JB_W,"Amphibious Warfare Ships",JB_F,"Advance procurement / LLTM",JB_RC,"ADD"))/G$51,0)</f>
        <v>0.15759312320916904</v>
      </c>
      <c r="H49" s="26">
        <f>IFERROR((SUMIFS(JB_26BV,JB_B,1,JB_W,"Unmanned Surface Vehicles",JB_F,"Advance procurement / LLTM",JB_RC,"ADD"))/H$51,0)</f>
        <v>0</v>
      </c>
      <c r="I49" s="26">
        <f>IFERROR((SUMIFS(JB_26BV,JB_B,1,JB_W,"Cargo &amp; Vehicle Cargo Ships",JB_F,"Advance procurement / LLTM",JB_RC,"ADD"))/I$51,0)</f>
        <v>0</v>
      </c>
      <c r="J49" s="26">
        <f>IFERROR((SUMIFS(JB_26BV,JB_B,1,JB_W,"Surveillance Ships",JB_F,"Advance procurement / LLTM",JB_RC,"ADD"))/J$51,0)</f>
        <v>0</v>
      </c>
      <c r="K49" s="26">
        <f>IFERROR((SUMIFS(JB_26BV,JB_B,1,JB_W,"Unmanned Undersea Vehicles",JB_F,"Advance procurement / LLTM",JB_RC,"ADD"))/K$51,0)</f>
        <v>0</v>
      </c>
      <c r="L49" s="26">
        <f>IFERROR((SUMIFS(JB_26BV,JB_B,1,JB_W,"Salvage Ships &amp; Fleet Ocean Tugs",JB_F,"Advance procurement / LLTM",JB_RC,"ADD"))/L$51,0)</f>
        <v>0</v>
      </c>
      <c r="M49" s="32">
        <f>IFERROR((SUMIFS(JB_26BV,JB_B,1,JB_W,"Offshore Patrol Cutter",JB_F,"Advance procurement / LLTM",JB_RC,"ADD"))/M$51,0)</f>
        <v>0</v>
      </c>
      <c r="N49" s="26">
        <f>IFERROR((SUMIFS(JB_26BV,JB_B,1,JB_W,"Fast Response Cutters",JB_F,"Advance procurement / LLTM",JB_RC,"ADD"))/N$51,0)</f>
        <v>0</v>
      </c>
      <c r="O49" s="26">
        <f>IFERROR((SUMIFS(JB_26BV,JB_B,1,JB_W,"Icebreakers, Oceangoing",JB_F,"Advance procurement / LLTM",JB_RC,"ADD"))/O$51,0)</f>
        <v>0</v>
      </c>
      <c r="P49" s="26">
        <f>IFERROR((SUMIFS(JB_26BV,JB_B,1,JB_W,"Waterways Commerce Cutters",JB_F,"Advance procurement / LLTM",JB_RC,"ADD"))/P$51,0)</f>
        <v>0</v>
      </c>
      <c r="Q49" s="32">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0.26793309943408378</v>
      </c>
    </row>
    <row r="50" spans="1:17" ht="10" customHeight="1" x14ac:dyDescent="0.2">
      <c r="A50" s="16" t="s">
        <v>8354</v>
      </c>
      <c r="B50" s="32">
        <f t="shared" ref="B50:Q50" si="1">IFERROR(1-B48-B49,0)</f>
        <v>9.7089740056764406E-3</v>
      </c>
      <c r="C50" s="26">
        <f t="shared" si="1"/>
        <v>2.7755575615628914E-17</v>
      </c>
      <c r="D50" s="26">
        <f t="shared" si="1"/>
        <v>5.5511151231257827E-17</v>
      </c>
      <c r="E50" s="26">
        <f t="shared" si="1"/>
        <v>0</v>
      </c>
      <c r="F50" s="26">
        <f t="shared" si="1"/>
        <v>0</v>
      </c>
      <c r="G50" s="26">
        <f t="shared" si="1"/>
        <v>2.7755575615628914E-17</v>
      </c>
      <c r="H50" s="26">
        <f t="shared" si="1"/>
        <v>0</v>
      </c>
      <c r="I50" s="26">
        <f t="shared" si="1"/>
        <v>0</v>
      </c>
      <c r="J50" s="26">
        <f t="shared" si="1"/>
        <v>0</v>
      </c>
      <c r="K50" s="26">
        <f t="shared" si="1"/>
        <v>0</v>
      </c>
      <c r="L50" s="26">
        <f t="shared" si="1"/>
        <v>0</v>
      </c>
      <c r="M50" s="32">
        <f t="shared" si="1"/>
        <v>0</v>
      </c>
      <c r="N50" s="26">
        <f t="shared" si="1"/>
        <v>0</v>
      </c>
      <c r="O50" s="26">
        <f t="shared" si="1"/>
        <v>0</v>
      </c>
      <c r="P50" s="26">
        <f t="shared" si="1"/>
        <v>0</v>
      </c>
      <c r="Q50" s="32">
        <f t="shared" si="1"/>
        <v>5.5511151231257827E-17</v>
      </c>
    </row>
    <row r="51" spans="1:17" ht="10" customHeight="1" x14ac:dyDescent="0.2">
      <c r="A51" s="21" t="s">
        <v>8355</v>
      </c>
      <c r="B51" s="33">
        <f>SUMIFS(JB_26BV,JB_B,1,JB_W,"Submarines",JB_RC,"ADD")</f>
        <v>19940315</v>
      </c>
      <c r="C51" s="22">
        <f>SUMIFS(JB_26BV,JB_B,1,JB_W,"Surface Combatants",JB_RC,"ADD")</f>
        <v>7455131</v>
      </c>
      <c r="D51" s="22">
        <f>SUMIFS(JB_26BV,JB_B,1,JB_W,"Aircraft Carriers",JB_RC,"ADD")</f>
        <v>3281673</v>
      </c>
      <c r="E51" s="22">
        <f>SUMIFS(JB_26BV,JB_B,1,JB_W,"Expeditionary &amp; Seabasing Ships",JB_RC,"ADD")</f>
        <v>2763941</v>
      </c>
      <c r="F51" s="22">
        <f>SUMIFS(JB_26BV,JB_B,1,JB_W,"Combat Logistics Ships",JB_RC,"ADD")</f>
        <v>1861705</v>
      </c>
      <c r="G51" s="22">
        <f>SUMIFS(JB_26BV,JB_B,1,JB_W,"Amphibious Warfare Ships",JB_RC,"ADD")</f>
        <v>1745000</v>
      </c>
      <c r="H51" s="22">
        <f>SUMIFS(JB_26BV,JB_B,1,JB_W,"Unmanned Surface Vehicles",JB_RC,"ADD")</f>
        <v>1325714</v>
      </c>
      <c r="I51" s="22">
        <f>SUMIFS(JB_26BV,JB_B,1,JB_W,"Cargo &amp; Vehicle Cargo Ships",JB_RC,"ADD")</f>
        <v>890000</v>
      </c>
      <c r="J51" s="22">
        <f>SUMIFS(JB_26BV,JB_B,1,JB_W,"Surveillance Ships",JB_RC,"ADD")</f>
        <v>612205</v>
      </c>
      <c r="K51" s="22">
        <f>SUMIFS(JB_26BV,JB_B,1,JB_W,"Unmanned Undersea Vehicles",JB_RC,"ADD")</f>
        <v>209234</v>
      </c>
      <c r="L51" s="22">
        <f>SUMIFS(JB_26BV,JB_B,1,JB_W,"Salvage Ships &amp; Fleet Ocean Tugs",JB_RC,"ADD")</f>
        <v>141500</v>
      </c>
      <c r="M51" s="33">
        <f>SUMIFS(JB_26BV,JB_B,1,JB_W,"Offshore Patrol Cutter",JB_RC,"ADD")</f>
        <v>812400</v>
      </c>
      <c r="N51" s="22">
        <f>SUMIFS(JB_26BV,JB_B,1,JB_W,"Fast Response Cutters",JB_RC,"ADD")</f>
        <v>216000</v>
      </c>
      <c r="O51" s="22">
        <f>SUMIFS(JB_26BV,JB_B,1,JB_W,"Icebreakers, Oceangoing",JB_RC,"ADD")</f>
        <v>130000</v>
      </c>
      <c r="P51" s="22">
        <f>SUMIFS(JB_26BV,JB_B,1,JB_W,"Waterways Commerce Cutters",JB_RC,"ADD")</f>
        <v>98000</v>
      </c>
      <c r="Q51" s="33">
        <f>SUM(B51:P51)</f>
        <v>41482818</v>
      </c>
    </row>
    <row r="52" spans="1:17" ht="10" customHeight="1" x14ac:dyDescent="0.2"/>
    <row r="53" spans="1:17" ht="10" customHeight="1" x14ac:dyDescent="0.2"/>
    <row r="54" spans="1:17" ht="10" customHeight="1" x14ac:dyDescent="0.2">
      <c r="A54" s="6" t="s">
        <v>8356</v>
      </c>
      <c r="B54" s="7"/>
      <c r="C54" s="7"/>
      <c r="D54" s="7"/>
    </row>
    <row r="55" spans="1:17" ht="10" customHeight="1" x14ac:dyDescent="0.2">
      <c r="A55" s="20" t="s">
        <v>8357</v>
      </c>
    </row>
    <row r="56" spans="1:17" ht="10" customHeight="1" x14ac:dyDescent="0.2">
      <c r="A56" s="15" t="s">
        <v>8358</v>
      </c>
      <c r="B56" s="15" t="s">
        <v>8348</v>
      </c>
      <c r="C56" s="15" t="s">
        <v>8319</v>
      </c>
      <c r="D56" s="15" t="s">
        <v>8349</v>
      </c>
    </row>
    <row r="57" spans="1:17" ht="10" customHeight="1" x14ac:dyDescent="0.2">
      <c r="A57" s="16" t="s">
        <v>8359</v>
      </c>
      <c r="B57" s="16" t="s">
        <v>50</v>
      </c>
      <c r="C57" s="17">
        <f>SUMIFS(JB_26BV,JB_B,1,JB_H,"SSN",JB_RC,"ADD")</f>
        <v>10467121</v>
      </c>
      <c r="D57" s="26">
        <f t="shared" ref="D57:D74" si="2">IFERROR(C57/C$75,0)</f>
        <v>0.25232425145273402</v>
      </c>
    </row>
    <row r="58" spans="1:17" ht="10" customHeight="1" x14ac:dyDescent="0.2">
      <c r="A58" s="16" t="s">
        <v>8360</v>
      </c>
      <c r="B58" s="16" t="s">
        <v>50</v>
      </c>
      <c r="C58" s="17">
        <f>SUMIFS(JB_26BV,JB_B,1,JB_H,"SSBN",JB_RC,"ADD")</f>
        <v>9473194</v>
      </c>
      <c r="D58" s="26">
        <f t="shared" si="2"/>
        <v>0.22836428325578073</v>
      </c>
    </row>
    <row r="59" spans="1:17" ht="10" customHeight="1" x14ac:dyDescent="0.2">
      <c r="A59" s="16" t="s">
        <v>8361</v>
      </c>
      <c r="B59" s="16" t="s">
        <v>50</v>
      </c>
      <c r="C59" s="17">
        <f>SUMIFS(JB_26BV,JB_B,1,JB_H,"DDG",JB_RC,"ADD")</f>
        <v>7213131</v>
      </c>
      <c r="D59" s="26">
        <f t="shared" si="2"/>
        <v>0.17388237703619847</v>
      </c>
    </row>
    <row r="60" spans="1:17" ht="10" customHeight="1" x14ac:dyDescent="0.2">
      <c r="A60" s="16" t="s">
        <v>8362</v>
      </c>
      <c r="B60" s="16" t="s">
        <v>50</v>
      </c>
      <c r="C60" s="17">
        <f>SUMIFS(JB_26BV,JB_B,1,JB_H,"CVN",JB_RC,"ADD")</f>
        <v>3281673</v>
      </c>
      <c r="D60" s="26">
        <f t="shared" si="2"/>
        <v>7.9109210950905021E-2</v>
      </c>
    </row>
    <row r="61" spans="1:17" ht="10" customHeight="1" x14ac:dyDescent="0.2">
      <c r="A61" s="16" t="s">
        <v>8363</v>
      </c>
      <c r="B61" s="16" t="s">
        <v>50</v>
      </c>
      <c r="C61" s="17">
        <f>SUMIFS(JB_26BV,JB_B,1,JB_H,"LSM",JB_RC,"ADD")</f>
        <v>2763941</v>
      </c>
      <c r="D61" s="26">
        <f t="shared" si="2"/>
        <v>6.6628573786862794E-2</v>
      </c>
    </row>
    <row r="62" spans="1:17" ht="10" customHeight="1" x14ac:dyDescent="0.2">
      <c r="A62" s="16" t="s">
        <v>8364</v>
      </c>
      <c r="B62" s="16" t="s">
        <v>190</v>
      </c>
      <c r="C62" s="17">
        <f>SUMIFS(JB_26BV,JB_B,1,JB_H,"T-AO",JB_RC,"ADD")</f>
        <v>1861705</v>
      </c>
      <c r="D62" s="26">
        <f t="shared" si="2"/>
        <v>4.4878942409360904E-2</v>
      </c>
    </row>
    <row r="63" spans="1:17" ht="10" customHeight="1" x14ac:dyDescent="0.2">
      <c r="A63" s="16" t="s">
        <v>8365</v>
      </c>
      <c r="B63" s="16" t="s">
        <v>50</v>
      </c>
      <c r="C63" s="17">
        <f>SUMIFS(JB_26BV,JB_B,1,JB_H,"MUSV",JB_RC,"ADD")</f>
        <v>1325714</v>
      </c>
      <c r="D63" s="26">
        <f t="shared" si="2"/>
        <v>3.1958147105628165E-2</v>
      </c>
    </row>
    <row r="64" spans="1:17" ht="10" customHeight="1" x14ac:dyDescent="0.2">
      <c r="A64" s="16" t="s">
        <v>8366</v>
      </c>
      <c r="B64" s="16" t="s">
        <v>50</v>
      </c>
      <c r="C64" s="17">
        <f>SUMIFS(JB_26BV,JB_B,1,JB_H,"LPD",JB_RC,"ADD")</f>
        <v>1110037</v>
      </c>
      <c r="D64" s="26">
        <f t="shared" si="2"/>
        <v>2.6758958371632321E-2</v>
      </c>
    </row>
    <row r="65" spans="1:4" ht="10" customHeight="1" x14ac:dyDescent="0.2">
      <c r="A65" s="16" t="s">
        <v>8367</v>
      </c>
      <c r="B65" s="16" t="s">
        <v>190</v>
      </c>
      <c r="C65" s="17">
        <f>SUMIFS(JB_26BV,JB_B,1,JB_H,"T-AK / T-AKR",JB_RC,"ADD")</f>
        <v>890000</v>
      </c>
      <c r="D65" s="26">
        <f t="shared" si="2"/>
        <v>2.1454665881184831E-2</v>
      </c>
    </row>
    <row r="66" spans="1:4" ht="10" customHeight="1" x14ac:dyDescent="0.2">
      <c r="A66" s="16" t="s">
        <v>8368</v>
      </c>
      <c r="B66" s="16" t="s">
        <v>50</v>
      </c>
      <c r="C66" s="17">
        <f>SUMIFS(JB_26BV,JB_B,1,JB_H,"LHA",JB_RC,"ADD")</f>
        <v>634963</v>
      </c>
      <c r="D66" s="26">
        <f t="shared" si="2"/>
        <v>1.5306650575185128E-2</v>
      </c>
    </row>
    <row r="67" spans="1:4" ht="10" customHeight="1" x14ac:dyDescent="0.2">
      <c r="A67" s="16" t="s">
        <v>8369</v>
      </c>
      <c r="B67" s="16" t="s">
        <v>190</v>
      </c>
      <c r="C67" s="17">
        <f>SUMIFS(JB_26BV,JB_B,1,JB_H,"T-AGOS",JB_RC,"ADD")</f>
        <v>612205</v>
      </c>
      <c r="D67" s="26">
        <f t="shared" si="2"/>
        <v>1.4758037894146921E-2</v>
      </c>
    </row>
    <row r="68" spans="1:4" ht="10" customHeight="1" x14ac:dyDescent="0.2">
      <c r="A68" s="16" t="s">
        <v>8370</v>
      </c>
      <c r="B68" s="16" t="s">
        <v>50</v>
      </c>
      <c r="C68" s="17">
        <f>SUMIFS(JB_26BV,JB_B,1,JB_H,"FFG",JB_RC,"ADD")</f>
        <v>242000</v>
      </c>
      <c r="D68" s="26">
        <f t="shared" si="2"/>
        <v>5.8337406103895831E-3</v>
      </c>
    </row>
    <row r="69" spans="1:4" ht="10" customHeight="1" x14ac:dyDescent="0.2">
      <c r="A69" s="16" t="s">
        <v>8371</v>
      </c>
      <c r="B69" s="16" t="s">
        <v>50</v>
      </c>
      <c r="C69" s="17">
        <f>SUMIFS(JB_26BV,JB_B,1,JB_H,"UUV",JB_RC,"ADD")</f>
        <v>209234</v>
      </c>
      <c r="D69" s="26">
        <f t="shared" si="2"/>
        <v>5.0438714168357605E-3</v>
      </c>
    </row>
    <row r="70" spans="1:4" ht="10" customHeight="1" x14ac:dyDescent="0.2">
      <c r="A70" s="16" t="s">
        <v>8372</v>
      </c>
      <c r="B70" s="16" t="s">
        <v>190</v>
      </c>
      <c r="C70" s="17">
        <f>SUMIFS(JB_26BV,JB_B,1,JB_H,"T-ATS",JB_RC,"ADD")</f>
        <v>141500</v>
      </c>
      <c r="D70" s="26">
        <f t="shared" si="2"/>
        <v>3.4110508114468018E-3</v>
      </c>
    </row>
    <row r="71" spans="1:4" ht="10" customHeight="1" x14ac:dyDescent="0.2">
      <c r="A71" s="16" t="s">
        <v>8373</v>
      </c>
      <c r="B71" s="16" t="s">
        <v>6809</v>
      </c>
      <c r="C71" s="17">
        <f>SUMIFS(JB_26BV,JB_B,1,JB_H,"WMSM",JB_RC,"ADD")</f>
        <v>812400</v>
      </c>
      <c r="D71" s="26">
        <f t="shared" si="2"/>
        <v>1.9584011867274785E-2</v>
      </c>
    </row>
    <row r="72" spans="1:4" ht="10" customHeight="1" x14ac:dyDescent="0.2">
      <c r="A72" s="16" t="s">
        <v>8374</v>
      </c>
      <c r="B72" s="16" t="s">
        <v>6809</v>
      </c>
      <c r="C72" s="17">
        <f>SUMIFS(JB_26BV,JB_B,1,JB_H,"WPC",JB_RC,"ADD")</f>
        <v>216000</v>
      </c>
      <c r="D72" s="26">
        <f t="shared" si="2"/>
        <v>5.2069750902650827E-3</v>
      </c>
    </row>
    <row r="73" spans="1:4" ht="10" customHeight="1" x14ac:dyDescent="0.2">
      <c r="A73" s="16" t="s">
        <v>8375</v>
      </c>
      <c r="B73" s="16" t="s">
        <v>6809</v>
      </c>
      <c r="C73" s="17">
        <f>SUMIFS(JB_26BV,JB_B,1,JB_H,"WAGB",JB_RC,"ADD")</f>
        <v>130000</v>
      </c>
      <c r="D73" s="26">
        <f t="shared" si="2"/>
        <v>3.1338276006225036E-3</v>
      </c>
    </row>
    <row r="74" spans="1:4" ht="10" customHeight="1" x14ac:dyDescent="0.2">
      <c r="A74" s="16" t="s">
        <v>8376</v>
      </c>
      <c r="B74" s="16" t="s">
        <v>6809</v>
      </c>
      <c r="C74" s="17">
        <f>SUMIFS(JB_26BV,JB_B,1,JB_H,"WCC",JB_RC,"ADD")</f>
        <v>98000</v>
      </c>
      <c r="D74" s="26">
        <f t="shared" si="2"/>
        <v>2.3624238835461948E-3</v>
      </c>
    </row>
    <row r="75" spans="1:4" ht="10" customHeight="1" x14ac:dyDescent="0.2">
      <c r="A75" s="21" t="s">
        <v>8346</v>
      </c>
      <c r="B75" s="21"/>
      <c r="C75" s="22">
        <f>SUM(C57:C74)</f>
        <v>41482818</v>
      </c>
      <c r="D75" s="2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6"/>
  <sheetViews>
    <sheetView showGridLines="0" workbookViewId="0"/>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18" t="s">
        <v>8377</v>
      </c>
      <c r="B1" s="19"/>
      <c r="C1" s="19"/>
      <c r="D1" s="19"/>
      <c r="E1" s="19"/>
      <c r="F1" s="19"/>
      <c r="G1" s="19"/>
      <c r="H1" s="19"/>
      <c r="I1" s="19"/>
      <c r="J1" s="19"/>
      <c r="K1" s="19"/>
      <c r="L1" s="19"/>
      <c r="M1" s="19"/>
      <c r="N1" s="19"/>
      <c r="O1" s="19"/>
    </row>
    <row r="2" spans="1:15" ht="10" customHeight="1" x14ac:dyDescent="0.2">
      <c r="A2" s="20" t="s">
        <v>8378</v>
      </c>
    </row>
    <row r="3" spans="1:15" ht="10" customHeight="1" x14ac:dyDescent="0.2"/>
    <row r="4" spans="1:15" ht="10" customHeight="1" x14ac:dyDescent="0.2">
      <c r="A4" s="6" t="s">
        <v>8379</v>
      </c>
      <c r="B4" s="7"/>
    </row>
    <row r="5" spans="1:15" ht="10" customHeight="1" x14ac:dyDescent="0.2">
      <c r="A5" s="16" t="s">
        <v>8346</v>
      </c>
      <c r="B5" s="17">
        <f>SUMIFS(JB_26BV,JB_B,1,JB_V,"Auxiliary Ships",JB_RC,"ADD")+SUMIFS(JB_26BV,JB_B,1,JB_V,"Combatant Ships",JB_RC,"ADD")+SUMIFS(JB_26BV,JB_B,1,JB_V,"Cutters",JB_RC,"ADD")+SUMIFS(JB_26BV,JB_B,1,JB_V,"Unmanned Maritime Platforms",JB_RC,"ADD")</f>
        <v>41482818</v>
      </c>
    </row>
    <row r="6" spans="1:15" ht="10" customHeight="1" x14ac:dyDescent="0.2">
      <c r="A6" s="16" t="s">
        <v>8380</v>
      </c>
      <c r="B6" s="17">
        <f>-SUMIFS(JB_26BV,JB_B,1,JB_W,"Submarines",JB_RC,"ADD")</f>
        <v>-19940315</v>
      </c>
    </row>
    <row r="7" spans="1:15" ht="10" customHeight="1" x14ac:dyDescent="0.2">
      <c r="A7" s="16" t="s">
        <v>8381</v>
      </c>
      <c r="B7" s="17">
        <f>-SUMIFS(JB_26BV,JB_B,1,JB_W,"Aircraft Carriers",JB_RC,"ADD")</f>
        <v>-3281673</v>
      </c>
    </row>
    <row r="8" spans="1:15" ht="10" customHeight="1" x14ac:dyDescent="0.2">
      <c r="A8" s="16" t="s">
        <v>8382</v>
      </c>
      <c r="B8" s="17">
        <f>-SUMIFS(JB_26BV,JB_B,1,JB_W,"Unmanned Undersea Vehicles",JB_RC,"ADD")</f>
        <v>-209234</v>
      </c>
    </row>
    <row r="9" spans="1:15" ht="10" customHeight="1" x14ac:dyDescent="0.2">
      <c r="A9" s="21" t="s">
        <v>8383</v>
      </c>
      <c r="B9" s="22">
        <f>SUM(B5:B8)</f>
        <v>18051596</v>
      </c>
    </row>
    <row r="10" spans="1:15" ht="10" customHeight="1" x14ac:dyDescent="0.2"/>
    <row r="11" spans="1:15" ht="10" customHeight="1" x14ac:dyDescent="0.2"/>
    <row r="12" spans="1:15" ht="10" customHeight="1" x14ac:dyDescent="0.2">
      <c r="A12" s="6" t="s">
        <v>8384</v>
      </c>
      <c r="B12" s="7"/>
      <c r="C12" s="7"/>
      <c r="D12" s="7"/>
    </row>
    <row r="13" spans="1:15" ht="10" customHeight="1" x14ac:dyDescent="0.2">
      <c r="A13" s="15" t="s">
        <v>20</v>
      </c>
      <c r="B13" s="15" t="s">
        <v>8348</v>
      </c>
      <c r="C13" s="15" t="s">
        <v>8319</v>
      </c>
      <c r="D13" s="15" t="s">
        <v>8385</v>
      </c>
    </row>
    <row r="14" spans="1:15" ht="10" customHeight="1" x14ac:dyDescent="0.2">
      <c r="A14" s="16" t="s">
        <v>119</v>
      </c>
      <c r="B14" s="16" t="s">
        <v>50</v>
      </c>
      <c r="C14" s="17">
        <f>SUMIFS(JB_26BV,JB_B,1,JB_W,"Surface Combatants",JB_RC,"ADD")</f>
        <v>7455131</v>
      </c>
      <c r="D14" s="26">
        <f t="shared" ref="D14:D38" si="0">IFERROR(C14/C$39,0)</f>
        <v>0.41299013117732081</v>
      </c>
    </row>
    <row r="15" spans="1:15" ht="10" customHeight="1" x14ac:dyDescent="0.2">
      <c r="A15" s="16" t="s">
        <v>182</v>
      </c>
      <c r="B15" s="16" t="s">
        <v>50</v>
      </c>
      <c r="C15" s="17">
        <f>SUMIFS(JB_26BV,JB_B,1,JB_W,"Expeditionary &amp; Seabasing Ships",JB_RC,"ADD")</f>
        <v>2763941</v>
      </c>
      <c r="D15" s="26">
        <f t="shared" si="0"/>
        <v>0.15311338676092684</v>
      </c>
    </row>
    <row r="16" spans="1:15" ht="10" customHeight="1" x14ac:dyDescent="0.2">
      <c r="A16" s="16" t="s">
        <v>202</v>
      </c>
      <c r="B16" s="16" t="s">
        <v>190</v>
      </c>
      <c r="C16" s="17">
        <f>SUMIFS(JB_26BV,JB_B,1,JB_W,"Combat Logistics Ships",JB_RC,"ADD")</f>
        <v>1861705</v>
      </c>
      <c r="D16" s="26">
        <f t="shared" si="0"/>
        <v>0.10313243216832461</v>
      </c>
    </row>
    <row r="17" spans="1:4" ht="10" customHeight="1" x14ac:dyDescent="0.2">
      <c r="A17" s="16" t="s">
        <v>149</v>
      </c>
      <c r="B17" s="16" t="s">
        <v>50</v>
      </c>
      <c r="C17" s="17">
        <f>SUMIFS(JB_26BV,JB_B,1,JB_W,"Amphibious Warfare Ships",JB_RC,"ADD")</f>
        <v>1745000</v>
      </c>
      <c r="D17" s="26">
        <f t="shared" si="0"/>
        <v>9.666735284791439E-2</v>
      </c>
    </row>
    <row r="18" spans="1:4" ht="10" customHeight="1" x14ac:dyDescent="0.2">
      <c r="A18" s="16" t="s">
        <v>5416</v>
      </c>
      <c r="B18" s="16" t="s">
        <v>50</v>
      </c>
      <c r="C18" s="17">
        <f>SUMIFS(JB_26BV,JB_B,1,JB_W,"Unmanned Surface Vehicles",JB_RC,"ADD")</f>
        <v>1325714</v>
      </c>
      <c r="D18" s="26">
        <f t="shared" si="0"/>
        <v>7.3440265337203423E-2</v>
      </c>
    </row>
    <row r="19" spans="1:4" ht="10" customHeight="1" x14ac:dyDescent="0.2">
      <c r="A19" s="16" t="s">
        <v>245</v>
      </c>
      <c r="B19" s="16" t="s">
        <v>50</v>
      </c>
      <c r="C19" s="17">
        <f>SUMIFS(JB_26BV,JB_B,1,JB_W,"Cargo &amp; Vehicle Cargo Ships",JB_RC,"ADD")</f>
        <v>890000</v>
      </c>
      <c r="D19" s="26">
        <f t="shared" si="0"/>
        <v>4.930311979062682E-2</v>
      </c>
    </row>
    <row r="20" spans="1:4" ht="10" customHeight="1" x14ac:dyDescent="0.2">
      <c r="A20" s="16" t="s">
        <v>214</v>
      </c>
      <c r="B20" s="16" t="s">
        <v>50</v>
      </c>
      <c r="C20" s="17">
        <f>SUMIFS(JB_26BV,JB_B,1,JB_W,"Surveillance Ships",JB_RC,"ADD")</f>
        <v>612205</v>
      </c>
      <c r="D20" s="26">
        <f t="shared" si="0"/>
        <v>3.3914175788113142E-2</v>
      </c>
    </row>
    <row r="21" spans="1:4" ht="10" customHeight="1" x14ac:dyDescent="0.2">
      <c r="A21" s="16" t="s">
        <v>226</v>
      </c>
      <c r="B21" s="16" t="s">
        <v>190</v>
      </c>
      <c r="C21" s="17">
        <f>SUMIFS(JB_26BV,JB_B,1,JB_W,"Salvage Ships &amp; Fleet Ocean Tugs",JB_RC,"ADD")</f>
        <v>141500</v>
      </c>
      <c r="D21" s="26">
        <f t="shared" si="0"/>
        <v>7.8386420790715686E-3</v>
      </c>
    </row>
    <row r="22" spans="1:4" ht="10" customHeight="1" x14ac:dyDescent="0.2">
      <c r="A22" s="16" t="s">
        <v>4859</v>
      </c>
      <c r="B22" s="16" t="s">
        <v>50</v>
      </c>
      <c r="C22" s="17">
        <f>SUMIFS(JB_26BV,JB_B,1,JB_W,"Command Ships",JB_RC,"ADD")</f>
        <v>0</v>
      </c>
      <c r="D22" s="26">
        <f t="shared" si="0"/>
        <v>0</v>
      </c>
    </row>
    <row r="23" spans="1:4" ht="10" customHeight="1" x14ac:dyDescent="0.2">
      <c r="A23" s="16" t="s">
        <v>5272</v>
      </c>
      <c r="B23" s="16" t="s">
        <v>50</v>
      </c>
      <c r="C23" s="17">
        <f>SUMIFS(JB_26BV,JB_B,1,JB_W,"Aviation Logistics Support Ship",JB_RC,"ADD")</f>
        <v>0</v>
      </c>
      <c r="D23" s="26">
        <f t="shared" si="0"/>
        <v>0</v>
      </c>
    </row>
    <row r="24" spans="1:4" ht="10" customHeight="1" x14ac:dyDescent="0.2">
      <c r="A24" s="16" t="s">
        <v>4684</v>
      </c>
      <c r="B24" s="16" t="s">
        <v>50</v>
      </c>
      <c r="C24" s="17">
        <f>SUMIFS(JB_26BV,JB_B,1,JB_W,"Mine Warfare",JB_RC,"ADD")</f>
        <v>0</v>
      </c>
      <c r="D24" s="26">
        <f t="shared" si="0"/>
        <v>0</v>
      </c>
    </row>
    <row r="25" spans="1:4" ht="10" customHeight="1" x14ac:dyDescent="0.2">
      <c r="A25" s="16" t="s">
        <v>233</v>
      </c>
      <c r="B25" s="16" t="s">
        <v>190</v>
      </c>
      <c r="C25" s="17">
        <f>SUMIFS(JB_26BV,JB_B,1,JB_W,"Research, Survey &amp; Instrumentation Ships",JB_RC,"ADD")</f>
        <v>0</v>
      </c>
      <c r="D25" s="26">
        <f t="shared" si="0"/>
        <v>0</v>
      </c>
    </row>
    <row r="26" spans="1:4" ht="10" customHeight="1" x14ac:dyDescent="0.2">
      <c r="A26" s="16" t="s">
        <v>5029</v>
      </c>
      <c r="B26" s="16" t="s">
        <v>190</v>
      </c>
      <c r="C26" s="17">
        <f>SUMIFS(JB_26BV,JB_B,1,JB_W,"Hospital Ship",JB_RC,"ADD")</f>
        <v>0</v>
      </c>
      <c r="D26" s="26">
        <f t="shared" si="0"/>
        <v>0</v>
      </c>
    </row>
    <row r="27" spans="1:4" ht="10" customHeight="1" x14ac:dyDescent="0.2">
      <c r="A27" s="16" t="s">
        <v>4985</v>
      </c>
      <c r="B27" s="16" t="s">
        <v>50</v>
      </c>
      <c r="C27" s="17">
        <f>SUMIFS(JB_26BV,JB_B,1,JB_W,"High Speed Transport",JB_RC,"ADD")</f>
        <v>0</v>
      </c>
      <c r="D27" s="26">
        <f t="shared" si="0"/>
        <v>0</v>
      </c>
    </row>
    <row r="28" spans="1:4" ht="10" customHeight="1" x14ac:dyDescent="0.2">
      <c r="A28" s="16" t="s">
        <v>5277</v>
      </c>
      <c r="B28" s="16" t="s">
        <v>50</v>
      </c>
      <c r="C28" s="17">
        <f>SUMIFS(JB_26BV,JB_B,1,JB_W,"Crane Ship",JB_RC,"ADD")</f>
        <v>0</v>
      </c>
      <c r="D28" s="26">
        <f t="shared" si="0"/>
        <v>0</v>
      </c>
    </row>
    <row r="29" spans="1:4" ht="10" customHeight="1" x14ac:dyDescent="0.2">
      <c r="A29" s="16" t="s">
        <v>4966</v>
      </c>
      <c r="B29" s="16" t="s">
        <v>50</v>
      </c>
      <c r="C29" s="17">
        <f>SUMIFS(JB_26BV,JB_B,1,JB_W,"Material Support Ships",JB_RC,"ADD")</f>
        <v>0</v>
      </c>
      <c r="D29" s="26">
        <f t="shared" si="0"/>
        <v>0</v>
      </c>
    </row>
    <row r="30" spans="1:4" ht="10" customHeight="1" x14ac:dyDescent="0.2">
      <c r="A30" s="16" t="s">
        <v>5019</v>
      </c>
      <c r="B30" s="16" t="s">
        <v>50</v>
      </c>
      <c r="C30" s="17">
        <f>SUMIFS(JB_26BV,JB_B,1,JB_W,"Submarine Escort Ship",JB_RC,"ADD")</f>
        <v>0</v>
      </c>
      <c r="D30" s="26">
        <f t="shared" si="0"/>
        <v>0</v>
      </c>
    </row>
    <row r="31" spans="1:4" ht="10" customHeight="1" x14ac:dyDescent="0.2">
      <c r="A31" s="16" t="s">
        <v>4643</v>
      </c>
      <c r="B31" s="16" t="s">
        <v>50</v>
      </c>
      <c r="C31" s="17">
        <f>SUMIFS(JB_26BV,JB_B,1,JB_W,"General Auxiliary",JB_RC,"ADD")</f>
        <v>0</v>
      </c>
      <c r="D31" s="26">
        <f t="shared" si="0"/>
        <v>0</v>
      </c>
    </row>
    <row r="32" spans="1:4" ht="10" customHeight="1" x14ac:dyDescent="0.2">
      <c r="A32" s="16" t="s">
        <v>8188</v>
      </c>
      <c r="B32" s="16" t="s">
        <v>6809</v>
      </c>
      <c r="C32" s="17">
        <f>SUMIFS(JB_26BV,JB_B,1,JB_W,"Offshore Patrol Cutter",JB_RC,"ADD")</f>
        <v>812400</v>
      </c>
      <c r="D32" s="26">
        <f t="shared" si="0"/>
        <v>4.5004330918994639E-2</v>
      </c>
    </row>
    <row r="33" spans="1:14" ht="10" customHeight="1" x14ac:dyDescent="0.2">
      <c r="A33" s="16" t="s">
        <v>8194</v>
      </c>
      <c r="B33" s="16" t="s">
        <v>6809</v>
      </c>
      <c r="C33" s="17">
        <f>SUMIFS(JB_26BV,JB_B,1,JB_W,"Fast Response Cutters",JB_RC,"ADD")</f>
        <v>216000</v>
      </c>
      <c r="D33" s="26">
        <f t="shared" si="0"/>
        <v>1.1965700982893701E-2</v>
      </c>
    </row>
    <row r="34" spans="1:14" ht="10" customHeight="1" x14ac:dyDescent="0.2">
      <c r="A34" s="16" t="s">
        <v>8202</v>
      </c>
      <c r="B34" s="16" t="s">
        <v>6809</v>
      </c>
      <c r="C34" s="17">
        <f>SUMIFS(JB_26BV,JB_B,1,JB_W,"Icebreakers, Oceangoing",JB_RC,"ADD")</f>
        <v>130000</v>
      </c>
      <c r="D34" s="26">
        <f t="shared" si="0"/>
        <v>7.2015792952600981E-3</v>
      </c>
    </row>
    <row r="35" spans="1:14" ht="10" customHeight="1" x14ac:dyDescent="0.2">
      <c r="A35" s="16" t="s">
        <v>8213</v>
      </c>
      <c r="B35" s="16" t="s">
        <v>6809</v>
      </c>
      <c r="C35" s="17">
        <f>SUMIFS(JB_26BV,JB_B,1,JB_W,"Waterways Commerce Cutters",JB_RC,"ADD")</f>
        <v>98000</v>
      </c>
      <c r="D35" s="26">
        <f t="shared" si="0"/>
        <v>5.4288828533499197E-3</v>
      </c>
    </row>
    <row r="36" spans="1:14" ht="10" customHeight="1" x14ac:dyDescent="0.2">
      <c r="A36" s="16" t="s">
        <v>6811</v>
      </c>
      <c r="B36" s="16" t="s">
        <v>6809</v>
      </c>
      <c r="C36" s="17">
        <f>SUMIFS(JB_26BV,JB_B,1,JB_W,"National Security Cutters",JB_RC,"ADD")</f>
        <v>0</v>
      </c>
      <c r="D36" s="26">
        <f t="shared" si="0"/>
        <v>0</v>
      </c>
    </row>
    <row r="37" spans="1:14" ht="10" customHeight="1" x14ac:dyDescent="0.2">
      <c r="A37" s="16" t="s">
        <v>8175</v>
      </c>
      <c r="B37" s="16" t="s">
        <v>6809</v>
      </c>
      <c r="C37" s="17">
        <f>SUMIFS(JB_26BV,JB_B,1,JB_W,"Coastal Buoy Tenders",JB_RC,"ADD")</f>
        <v>0</v>
      </c>
      <c r="D37" s="26">
        <f t="shared" si="0"/>
        <v>0</v>
      </c>
    </row>
    <row r="38" spans="1:14" ht="10" customHeight="1" x14ac:dyDescent="0.2">
      <c r="A38" s="16" t="s">
        <v>8209</v>
      </c>
      <c r="B38" s="16" t="s">
        <v>6809</v>
      </c>
      <c r="C38" s="17">
        <f>SUMIFS(JB_26BV,JB_B,1,JB_W,"Icebreakers, Great Lakes",JB_RC,"ADD")</f>
        <v>0</v>
      </c>
      <c r="D38" s="26">
        <f t="shared" si="0"/>
        <v>0</v>
      </c>
    </row>
    <row r="39" spans="1:14" ht="10" customHeight="1" x14ac:dyDescent="0.2">
      <c r="A39" s="21" t="s">
        <v>8383</v>
      </c>
      <c r="B39" s="21"/>
      <c r="C39" s="22">
        <f>SUM(C14:C38)</f>
        <v>18051596</v>
      </c>
      <c r="D39" s="27">
        <v>1</v>
      </c>
    </row>
    <row r="40" spans="1:14" ht="10" customHeight="1" x14ac:dyDescent="0.2"/>
    <row r="41" spans="1:14" ht="10" customHeight="1" x14ac:dyDescent="0.2"/>
    <row r="42" spans="1:14" ht="10" customHeight="1" x14ac:dyDescent="0.2">
      <c r="A42" s="6" t="s">
        <v>8386</v>
      </c>
      <c r="B42" s="7"/>
      <c r="C42" s="7"/>
      <c r="D42" s="7"/>
      <c r="E42" s="7"/>
      <c r="F42" s="7"/>
      <c r="G42" s="7"/>
      <c r="H42" s="7"/>
      <c r="I42" s="7"/>
      <c r="J42" s="7"/>
      <c r="K42" s="7"/>
      <c r="L42" s="7"/>
      <c r="M42" s="7"/>
      <c r="N42" s="7"/>
    </row>
    <row r="43" spans="1:14" ht="10" customHeight="1" x14ac:dyDescent="0.2">
      <c r="A43" s="28"/>
      <c r="B43" s="29" t="s">
        <v>50</v>
      </c>
      <c r="C43" s="28"/>
      <c r="D43" s="28"/>
      <c r="E43" s="28"/>
      <c r="F43" s="28"/>
      <c r="G43" s="28"/>
      <c r="H43" s="28"/>
      <c r="I43" s="28"/>
      <c r="J43" s="29" t="s">
        <v>6809</v>
      </c>
      <c r="K43" s="28"/>
      <c r="L43" s="28"/>
      <c r="M43" s="28"/>
      <c r="N43" s="30"/>
    </row>
    <row r="44" spans="1:14" ht="10" customHeight="1" x14ac:dyDescent="0.2">
      <c r="A44" s="15" t="s">
        <v>8351</v>
      </c>
      <c r="B44" s="31" t="s">
        <v>119</v>
      </c>
      <c r="C44" s="15" t="s">
        <v>182</v>
      </c>
      <c r="D44" s="15" t="s">
        <v>202</v>
      </c>
      <c r="E44" s="15" t="s">
        <v>149</v>
      </c>
      <c r="F44" s="15" t="s">
        <v>5416</v>
      </c>
      <c r="G44" s="15" t="s">
        <v>245</v>
      </c>
      <c r="H44" s="15" t="s">
        <v>214</v>
      </c>
      <c r="I44" s="15" t="s">
        <v>226</v>
      </c>
      <c r="J44" s="31" t="s">
        <v>8188</v>
      </c>
      <c r="K44" s="15" t="s">
        <v>8194</v>
      </c>
      <c r="L44" s="15" t="s">
        <v>8202</v>
      </c>
      <c r="M44" s="15" t="s">
        <v>8213</v>
      </c>
      <c r="N44" s="31" t="s">
        <v>8327</v>
      </c>
    </row>
    <row r="45" spans="1:14" ht="10" customHeight="1" x14ac:dyDescent="0.2">
      <c r="A45" s="16" t="s">
        <v>8352</v>
      </c>
      <c r="B45" s="32">
        <f>IFERROR((SUMIFS(JB_26BV,JB_B,1,JB_W,"Surface Combatants",JB_F,"Full ship DD&amp;C",JB_RC,"ADD")+SUMIFS(JB_26BV,JB_B,1,JB_W,"Surface Combatants",JB_F,"Full ship DD&amp;C / LLTM",JB_RC,"ADD")+SUMIFS(JB_26BV,JB_B,1,JB_W,"Surface Combatants",JB_F,"Full vessel procurement",JB_RC,"ADD"))/B$47,0)</f>
        <v>0.7652623407958894</v>
      </c>
      <c r="C45" s="26">
        <f>IFERROR((SUMIFS(JB_26BV,JB_B,1,JB_W,"Expeditionary &amp; Seabasing Ships",JB_F,"Full ship DD&amp;C",JB_RC,"ADD")+SUMIFS(JB_26BV,JB_B,1,JB_W,"Expeditionary &amp; Seabasing Ships",JB_F,"Full ship DD&amp;C / LLTM",JB_RC,"ADD")+SUMIFS(JB_26BV,JB_B,1,JB_W,"Expeditionary &amp; Seabasing Ships",JB_F,"Full vessel procurement",JB_RC,"ADD"))/C$47,0)</f>
        <v>1</v>
      </c>
      <c r="D45" s="26">
        <f>IFERROR((SUMIFS(JB_26BV,JB_B,1,JB_W,"Combat Logistics Ships",JB_F,"Full ship DD&amp;C",JB_RC,"ADD")+SUMIFS(JB_26BV,JB_B,1,JB_W,"Combat Logistics Ships",JB_F,"Full ship DD&amp;C / LLTM",JB_RC,"ADD")+SUMIFS(JB_26BV,JB_B,1,JB_W,"Combat Logistics Ships",JB_F,"Full vessel procurement",JB_RC,"ADD"))/D$47,0)</f>
        <v>1</v>
      </c>
      <c r="E45" s="26">
        <f>IFERROR((SUMIFS(JB_26BV,JB_B,1,JB_W,"Amphibious Warfare Ships",JB_F,"Full ship DD&amp;C",JB_RC,"ADD")+SUMIFS(JB_26BV,JB_B,1,JB_W,"Amphibious Warfare Ships",JB_F,"Full ship DD&amp;C / LLTM",JB_RC,"ADD")+SUMIFS(JB_26BV,JB_B,1,JB_W,"Amphibious Warfare Ships",JB_F,"Full vessel procurement",JB_RC,"ADD"))/E$47,0)</f>
        <v>0.84240687679083093</v>
      </c>
      <c r="F45" s="26">
        <f>IFERROR((SUMIFS(JB_26BV,JB_B,1,JB_W,"Unmanned Surface Vehicles",JB_F,"Full ship DD&amp;C",JB_RC,"ADD")+SUMIFS(JB_26BV,JB_B,1,JB_W,"Unmanned Surface Vehicles",JB_F,"Full ship DD&amp;C / LLTM",JB_RC,"ADD")+SUMIFS(JB_26BV,JB_B,1,JB_W,"Unmanned Surface Vehicles",JB_F,"Full vessel procurement",JB_RC,"ADD"))/F$47,0)</f>
        <v>1</v>
      </c>
      <c r="G45" s="26">
        <f>IFERROR((SUMIFS(JB_26BV,JB_B,1,JB_W,"Cargo &amp; Vehicle Cargo Ships",JB_F,"Full ship DD&amp;C",JB_RC,"ADD")+SUMIFS(JB_26BV,JB_B,1,JB_W,"Cargo &amp; Vehicle Cargo Ships",JB_F,"Full ship DD&amp;C / LLTM",JB_RC,"ADD")+SUMIFS(JB_26BV,JB_B,1,JB_W,"Cargo &amp; Vehicle Cargo Ships",JB_F,"Full vessel procurement",JB_RC,"ADD"))/G$47,0)</f>
        <v>1</v>
      </c>
      <c r="H45" s="26">
        <f>IFERROR((SUMIFS(JB_26BV,JB_B,1,JB_W,"Surveillance Ships",JB_F,"Full ship DD&amp;C",JB_RC,"ADD")+SUMIFS(JB_26BV,JB_B,1,JB_W,"Surveillance Ships",JB_F,"Full ship DD&amp;C / LLTM",JB_RC,"ADD")+SUMIFS(JB_26BV,JB_B,1,JB_W,"Surveillance Ships",JB_F,"Full vessel procurement",JB_RC,"ADD"))/H$47,0)</f>
        <v>1</v>
      </c>
      <c r="I45" s="26">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1</v>
      </c>
      <c r="J45" s="32">
        <f>IFERROR((SUMIFS(JB_26BV,JB_B,1,JB_W,"Offshore Patrol Cutter",JB_F,"Full ship DD&amp;C",JB_RC,"ADD")+SUMIFS(JB_26BV,JB_B,1,JB_W,"Offshore Patrol Cutter",JB_F,"Full ship DD&amp;C / LLTM",JB_RC,"ADD")+SUMIFS(JB_26BV,JB_B,1,JB_W,"Offshore Patrol Cutter",JB_F,"Full vessel procurement",JB_RC,"ADD"))/J$47,0)</f>
        <v>1</v>
      </c>
      <c r="K45" s="26">
        <f>IFERROR((SUMIFS(JB_26BV,JB_B,1,JB_W,"Fast Response Cutters",JB_F,"Full ship DD&amp;C",JB_RC,"ADD")+SUMIFS(JB_26BV,JB_B,1,JB_W,"Fast Response Cutters",JB_F,"Full ship DD&amp;C / LLTM",JB_RC,"ADD")+SUMIFS(JB_26BV,JB_B,1,JB_W,"Fast Response Cutters",JB_F,"Full vessel procurement",JB_RC,"ADD"))/K$47,0)</f>
        <v>1</v>
      </c>
      <c r="L45" s="26">
        <f>IFERROR((SUMIFS(JB_26BV,JB_B,1,JB_W,"Icebreakers, Oceangoing",JB_F,"Full ship DD&amp;C",JB_RC,"ADD")+SUMIFS(JB_26BV,JB_B,1,JB_W,"Icebreakers, Oceangoing",JB_F,"Full ship DD&amp;C / LLTM",JB_RC,"ADD")+SUMIFS(JB_26BV,JB_B,1,JB_W,"Icebreakers, Oceangoing",JB_F,"Full vessel procurement",JB_RC,"ADD"))/L$47,0)</f>
        <v>1</v>
      </c>
      <c r="M45" s="26">
        <f>IFERROR((SUMIFS(JB_26BV,JB_B,1,JB_W,"Waterways Commerce Cutters",JB_F,"Full ship DD&amp;C",JB_RC,"ADD")+SUMIFS(JB_26BV,JB_B,1,JB_W,"Waterways Commerce Cutters",JB_F,"Full ship DD&amp;C / LLTM",JB_RC,"ADD")+SUMIFS(JB_26BV,JB_B,1,JB_W,"Waterways Commerce Cutters",JB_F,"Full vessel procurement",JB_RC,"ADD"))/M$47,0)</f>
        <v>1</v>
      </c>
      <c r="N45" s="32">
        <f>IFERROR(1-N46,0)</f>
        <v>0.38428602102550935</v>
      </c>
    </row>
    <row r="46" spans="1:14" ht="10" customHeight="1" x14ac:dyDescent="0.2">
      <c r="A46" s="16" t="s">
        <v>8353</v>
      </c>
      <c r="B46" s="32">
        <f>IFERROR((SUMIFS(JB_26BV,JB_B,1,JB_W,"Surface Combatants",JB_F,"Advance procurement / LLTM",JB_RC,"ADD"))/B$47,0)</f>
        <v>0.23473765920411058</v>
      </c>
      <c r="C46" s="26">
        <f>IFERROR((SUMIFS(JB_26BV,JB_B,1,JB_W,"Expeditionary &amp; Seabasing Ships",JB_F,"Advance procurement / LLTM",JB_RC,"ADD"))/C$47,0)</f>
        <v>0</v>
      </c>
      <c r="D46" s="26">
        <f>IFERROR((SUMIFS(JB_26BV,JB_B,1,JB_W,"Combat Logistics Ships",JB_F,"Advance procurement / LLTM",JB_RC,"ADD"))/D$47,0)</f>
        <v>0</v>
      </c>
      <c r="E46" s="26">
        <f>IFERROR((SUMIFS(JB_26BV,JB_B,1,JB_W,"Amphibious Warfare Ships",JB_F,"Advance procurement / LLTM",JB_RC,"ADD"))/E$47,0)</f>
        <v>0.15759312320916904</v>
      </c>
      <c r="F46" s="26">
        <f>IFERROR((SUMIFS(JB_26BV,JB_B,1,JB_W,"Unmanned Surface Vehicles",JB_F,"Advance procurement / LLTM",JB_RC,"ADD"))/F$47,0)</f>
        <v>0</v>
      </c>
      <c r="G46" s="26">
        <f>IFERROR((SUMIFS(JB_26BV,JB_B,1,JB_W,"Cargo &amp; Vehicle Cargo Ships",JB_F,"Advance procurement / LLTM",JB_RC,"ADD"))/G$47,0)</f>
        <v>0</v>
      </c>
      <c r="H46" s="26">
        <f>IFERROR((SUMIFS(JB_26BV,JB_B,1,JB_W,"Surveillance Ships",JB_F,"Advance procurement / LLTM",JB_RC,"ADD"))/H$47,0)</f>
        <v>0</v>
      </c>
      <c r="I46" s="26">
        <f>IFERROR((SUMIFS(JB_26BV,JB_B,1,JB_W,"Salvage Ships &amp; Fleet Ocean Tugs",JB_F,"Advance procurement / LLTM",JB_RC,"ADD"))/I$47,0)</f>
        <v>0</v>
      </c>
      <c r="J46" s="32">
        <f>IFERROR((SUMIFS(JB_26BV,JB_B,1,JB_W,"Offshore Patrol Cutter",JB_F,"Advance procurement / LLTM",JB_RC,"ADD"))/J$47,0)</f>
        <v>0</v>
      </c>
      <c r="K46" s="26">
        <f>IFERROR((SUMIFS(JB_26BV,JB_B,1,JB_W,"Fast Response Cutters",JB_F,"Advance procurement / LLTM",JB_RC,"ADD"))/K$47,0)</f>
        <v>0</v>
      </c>
      <c r="L46" s="26">
        <f>IFERROR((SUMIFS(JB_26BV,JB_B,1,JB_W,"Icebreakers, Oceangoing",JB_F,"Advance procurement / LLTM",JB_RC,"ADD"))/L$47,0)</f>
        <v>0</v>
      </c>
      <c r="M46" s="26">
        <f>IFERROR((SUMIFS(JB_26BV,JB_B,1,JB_W,"Waterways Commerce Cutters",JB_F,"Advance procurement / LLTM",JB_RC,"ADD"))/M$47,0)</f>
        <v>0</v>
      </c>
      <c r="N46" s="32">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0.61571397897449065</v>
      </c>
    </row>
    <row r="47" spans="1:14" ht="10" customHeight="1" x14ac:dyDescent="0.2">
      <c r="A47" s="21" t="s">
        <v>8355</v>
      </c>
      <c r="B47" s="33">
        <f>SUMIFS(JB_26BV,JB_B,1,JB_W,"Surface Combatants",JB_RC,"ADD")</f>
        <v>7455131</v>
      </c>
      <c r="C47" s="22">
        <f>SUMIFS(JB_26BV,JB_B,1,JB_W,"Expeditionary &amp; Seabasing Ships",JB_RC,"ADD")</f>
        <v>2763941</v>
      </c>
      <c r="D47" s="22">
        <f>SUMIFS(JB_26BV,JB_B,1,JB_W,"Combat Logistics Ships",JB_RC,"ADD")</f>
        <v>1861705</v>
      </c>
      <c r="E47" s="22">
        <f>SUMIFS(JB_26BV,JB_B,1,JB_W,"Amphibious Warfare Ships",JB_RC,"ADD")</f>
        <v>1745000</v>
      </c>
      <c r="F47" s="22">
        <f>SUMIFS(JB_26BV,JB_B,1,JB_W,"Unmanned Surface Vehicles",JB_RC,"ADD")</f>
        <v>1325714</v>
      </c>
      <c r="G47" s="22">
        <f>SUMIFS(JB_26BV,JB_B,1,JB_W,"Cargo &amp; Vehicle Cargo Ships",JB_RC,"ADD")</f>
        <v>890000</v>
      </c>
      <c r="H47" s="22">
        <f>SUMIFS(JB_26BV,JB_B,1,JB_W,"Surveillance Ships",JB_RC,"ADD")</f>
        <v>612205</v>
      </c>
      <c r="I47" s="22">
        <f>SUMIFS(JB_26BV,JB_B,1,JB_W,"Salvage Ships &amp; Fleet Ocean Tugs",JB_RC,"ADD")</f>
        <v>141500</v>
      </c>
      <c r="J47" s="33">
        <f>SUMIFS(JB_26BV,JB_B,1,JB_W,"Offshore Patrol Cutter",JB_RC,"ADD")</f>
        <v>812400</v>
      </c>
      <c r="K47" s="22">
        <f>SUMIFS(JB_26BV,JB_B,1,JB_W,"Fast Response Cutters",JB_RC,"ADD")</f>
        <v>216000</v>
      </c>
      <c r="L47" s="22">
        <f>SUMIFS(JB_26BV,JB_B,1,JB_W,"Icebreakers, Oceangoing",JB_RC,"ADD")</f>
        <v>130000</v>
      </c>
      <c r="M47" s="22">
        <f>SUMIFS(JB_26BV,JB_B,1,JB_W,"Waterways Commerce Cutters",JB_RC,"ADD")</f>
        <v>98000</v>
      </c>
      <c r="N47" s="33">
        <f>SUM(B47:M47)</f>
        <v>18051596</v>
      </c>
    </row>
    <row r="48" spans="1:14" ht="10" customHeight="1" x14ac:dyDescent="0.2"/>
    <row r="49" spans="1:4" ht="10" customHeight="1" x14ac:dyDescent="0.2"/>
    <row r="50" spans="1:4" ht="10" customHeight="1" x14ac:dyDescent="0.2">
      <c r="A50" s="6" t="s">
        <v>8387</v>
      </c>
      <c r="B50" s="7"/>
      <c r="C50" s="7"/>
      <c r="D50" s="7"/>
    </row>
    <row r="51" spans="1:4" ht="10" customHeight="1" x14ac:dyDescent="0.2">
      <c r="A51" s="20" t="s">
        <v>8388</v>
      </c>
    </row>
    <row r="52" spans="1:4" ht="10" customHeight="1" x14ac:dyDescent="0.2">
      <c r="A52" s="15" t="s">
        <v>8358</v>
      </c>
      <c r="B52" s="15" t="s">
        <v>8348</v>
      </c>
      <c r="C52" s="15" t="s">
        <v>8319</v>
      </c>
      <c r="D52" s="15" t="s">
        <v>8385</v>
      </c>
    </row>
    <row r="53" spans="1:4" ht="10" customHeight="1" x14ac:dyDescent="0.2">
      <c r="A53" s="16" t="s">
        <v>8361</v>
      </c>
      <c r="B53" s="16" t="s">
        <v>50</v>
      </c>
      <c r="C53" s="17">
        <f>SUMIFS(JB_26BV,JB_B,1,JB_H,"DDG",JB_RC,"ADD")</f>
        <v>7213131</v>
      </c>
      <c r="D53" s="26">
        <f t="shared" ref="D53:D66" si="1">IFERROR(C53/C$67,0)</f>
        <v>0.39958411433537511</v>
      </c>
    </row>
    <row r="54" spans="1:4" ht="10" customHeight="1" x14ac:dyDescent="0.2">
      <c r="A54" s="16" t="s">
        <v>8363</v>
      </c>
      <c r="B54" s="16" t="s">
        <v>50</v>
      </c>
      <c r="C54" s="17">
        <f>SUMIFS(JB_26BV,JB_B,1,JB_H,"LSM",JB_RC,"ADD")</f>
        <v>2763941</v>
      </c>
      <c r="D54" s="26">
        <f t="shared" si="1"/>
        <v>0.15311338676092684</v>
      </c>
    </row>
    <row r="55" spans="1:4" ht="10" customHeight="1" x14ac:dyDescent="0.2">
      <c r="A55" s="16" t="s">
        <v>8364</v>
      </c>
      <c r="B55" s="16" t="s">
        <v>190</v>
      </c>
      <c r="C55" s="17">
        <f>SUMIFS(JB_26BV,JB_B,1,JB_H,"T-AO",JB_RC,"ADD")</f>
        <v>1861705</v>
      </c>
      <c r="D55" s="26">
        <f t="shared" si="1"/>
        <v>0.10313243216832461</v>
      </c>
    </row>
    <row r="56" spans="1:4" ht="10" customHeight="1" x14ac:dyDescent="0.2">
      <c r="A56" s="16" t="s">
        <v>8365</v>
      </c>
      <c r="B56" s="16" t="s">
        <v>50</v>
      </c>
      <c r="C56" s="17">
        <f>SUMIFS(JB_26BV,JB_B,1,JB_H,"MUSV",JB_RC,"ADD")</f>
        <v>1325714</v>
      </c>
      <c r="D56" s="26">
        <f t="shared" si="1"/>
        <v>7.3440265337203423E-2</v>
      </c>
    </row>
    <row r="57" spans="1:4" ht="10" customHeight="1" x14ac:dyDescent="0.2">
      <c r="A57" s="16" t="s">
        <v>8366</v>
      </c>
      <c r="B57" s="16" t="s">
        <v>50</v>
      </c>
      <c r="C57" s="17">
        <f>SUMIFS(JB_26BV,JB_B,1,JB_H,"LPD",JB_RC,"ADD")</f>
        <v>1110037</v>
      </c>
      <c r="D57" s="26">
        <f t="shared" si="1"/>
        <v>6.1492457509020257E-2</v>
      </c>
    </row>
    <row r="58" spans="1:4" ht="10" customHeight="1" x14ac:dyDescent="0.2">
      <c r="A58" s="16" t="s">
        <v>8367</v>
      </c>
      <c r="B58" s="16" t="s">
        <v>190</v>
      </c>
      <c r="C58" s="17">
        <f>SUMIFS(JB_26BV,JB_B,1,JB_H,"T-AK / T-AKR",JB_RC,"ADD")</f>
        <v>890000</v>
      </c>
      <c r="D58" s="26">
        <f t="shared" si="1"/>
        <v>4.930311979062682E-2</v>
      </c>
    </row>
    <row r="59" spans="1:4" ht="10" customHeight="1" x14ac:dyDescent="0.2">
      <c r="A59" s="16" t="s">
        <v>8368</v>
      </c>
      <c r="B59" s="16" t="s">
        <v>50</v>
      </c>
      <c r="C59" s="17">
        <f>SUMIFS(JB_26BV,JB_B,1,JB_H,"LHA",JB_RC,"ADD")</f>
        <v>634963</v>
      </c>
      <c r="D59" s="26">
        <f t="shared" si="1"/>
        <v>3.5174895338894133E-2</v>
      </c>
    </row>
    <row r="60" spans="1:4" ht="10" customHeight="1" x14ac:dyDescent="0.2">
      <c r="A60" s="16" t="s">
        <v>8369</v>
      </c>
      <c r="B60" s="16" t="s">
        <v>190</v>
      </c>
      <c r="C60" s="17">
        <f>SUMIFS(JB_26BV,JB_B,1,JB_H,"T-AGOS",JB_RC,"ADD")</f>
        <v>612205</v>
      </c>
      <c r="D60" s="26">
        <f t="shared" si="1"/>
        <v>3.3914175788113142E-2</v>
      </c>
    </row>
    <row r="61" spans="1:4" ht="10" customHeight="1" x14ac:dyDescent="0.2">
      <c r="A61" s="16" t="s">
        <v>8370</v>
      </c>
      <c r="B61" s="16" t="s">
        <v>50</v>
      </c>
      <c r="C61" s="17">
        <f>SUMIFS(JB_26BV,JB_B,1,JB_H,"FFG",JB_RC,"ADD")</f>
        <v>242000</v>
      </c>
      <c r="D61" s="26">
        <f t="shared" si="1"/>
        <v>1.3406016841945721E-2</v>
      </c>
    </row>
    <row r="62" spans="1:4" ht="10" customHeight="1" x14ac:dyDescent="0.2">
      <c r="A62" s="16" t="s">
        <v>8372</v>
      </c>
      <c r="B62" s="16" t="s">
        <v>190</v>
      </c>
      <c r="C62" s="17">
        <f>SUMIFS(JB_26BV,JB_B,1,JB_H,"T-ATS",JB_RC,"ADD")</f>
        <v>141500</v>
      </c>
      <c r="D62" s="26">
        <f t="shared" si="1"/>
        <v>7.8386420790715686E-3</v>
      </c>
    </row>
    <row r="63" spans="1:4" ht="10" customHeight="1" x14ac:dyDescent="0.2">
      <c r="A63" s="16" t="s">
        <v>8373</v>
      </c>
      <c r="B63" s="16" t="s">
        <v>6809</v>
      </c>
      <c r="C63" s="17">
        <f>SUMIFS(JB_26BV,JB_B,1,JB_H,"WMSM",JB_RC,"ADD")</f>
        <v>812400</v>
      </c>
      <c r="D63" s="26">
        <f t="shared" si="1"/>
        <v>4.5004330918994639E-2</v>
      </c>
    </row>
    <row r="64" spans="1:4" ht="10" customHeight="1" x14ac:dyDescent="0.2">
      <c r="A64" s="16" t="s">
        <v>8374</v>
      </c>
      <c r="B64" s="16" t="s">
        <v>6809</v>
      </c>
      <c r="C64" s="17">
        <f>SUMIFS(JB_26BV,JB_B,1,JB_H,"WPC",JB_RC,"ADD")</f>
        <v>216000</v>
      </c>
      <c r="D64" s="26">
        <f t="shared" si="1"/>
        <v>1.1965700982893701E-2</v>
      </c>
    </row>
    <row r="65" spans="1:10" ht="10" customHeight="1" x14ac:dyDescent="0.2">
      <c r="A65" s="16" t="s">
        <v>8375</v>
      </c>
      <c r="B65" s="16" t="s">
        <v>6809</v>
      </c>
      <c r="C65" s="17">
        <f>SUMIFS(JB_26BV,JB_B,1,JB_H,"WAGB",JB_RC,"ADD")</f>
        <v>130000</v>
      </c>
      <c r="D65" s="26">
        <f t="shared" si="1"/>
        <v>7.2015792952600981E-3</v>
      </c>
    </row>
    <row r="66" spans="1:10" ht="10" customHeight="1" x14ac:dyDescent="0.2">
      <c r="A66" s="16" t="s">
        <v>8376</v>
      </c>
      <c r="B66" s="16" t="s">
        <v>6809</v>
      </c>
      <c r="C66" s="17">
        <f>SUMIFS(JB_26BV,JB_B,1,JB_H,"WCC",JB_RC,"ADD")</f>
        <v>98000</v>
      </c>
      <c r="D66" s="26">
        <f t="shared" si="1"/>
        <v>5.4288828533499197E-3</v>
      </c>
    </row>
    <row r="67" spans="1:10" ht="10" customHeight="1" x14ac:dyDescent="0.2">
      <c r="A67" s="21" t="s">
        <v>8383</v>
      </c>
      <c r="B67" s="21"/>
      <c r="C67" s="22">
        <f>SUM(C53:C66)</f>
        <v>18051596</v>
      </c>
      <c r="D67" s="27">
        <v>1</v>
      </c>
    </row>
    <row r="68" spans="1:10" ht="10" customHeight="1" x14ac:dyDescent="0.2"/>
    <row r="69" spans="1:10" ht="10" customHeight="1" x14ac:dyDescent="0.2"/>
    <row r="70" spans="1:10" ht="10" customHeight="1" x14ac:dyDescent="0.2">
      <c r="A70" s="6" t="s">
        <v>8389</v>
      </c>
      <c r="B70" s="7"/>
      <c r="C70" s="7"/>
      <c r="D70" s="7"/>
      <c r="E70" s="7"/>
      <c r="F70" s="7"/>
      <c r="G70" s="7"/>
      <c r="H70" s="7"/>
      <c r="I70" s="7"/>
      <c r="J70" s="7"/>
    </row>
    <row r="71" spans="1:10" ht="10" customHeight="1" x14ac:dyDescent="0.2">
      <c r="A71" s="20" t="s">
        <v>8390</v>
      </c>
    </row>
    <row r="72" spans="1:10" ht="10" customHeight="1" x14ac:dyDescent="0.2">
      <c r="A72" s="28"/>
      <c r="B72" s="29" t="s">
        <v>50</v>
      </c>
      <c r="C72" s="28"/>
      <c r="D72" s="28"/>
      <c r="E72" s="28"/>
      <c r="F72" s="28"/>
      <c r="G72" s="28"/>
      <c r="H72" s="28"/>
      <c r="I72" s="28"/>
      <c r="J72" s="30"/>
    </row>
    <row r="73" spans="1:10" ht="10" customHeight="1" x14ac:dyDescent="0.2">
      <c r="A73" s="15" t="s">
        <v>15</v>
      </c>
      <c r="B73" s="31" t="s">
        <v>120</v>
      </c>
      <c r="C73" s="15" t="s">
        <v>144</v>
      </c>
      <c r="D73" s="15" t="s">
        <v>150</v>
      </c>
      <c r="E73" s="15" t="s">
        <v>168</v>
      </c>
      <c r="F73" s="15" t="s">
        <v>215</v>
      </c>
      <c r="G73" s="15" t="s">
        <v>197</v>
      </c>
      <c r="H73" s="15" t="s">
        <v>203</v>
      </c>
      <c r="I73" s="15" t="s">
        <v>227</v>
      </c>
      <c r="J73" s="31" t="s">
        <v>8327</v>
      </c>
    </row>
    <row r="74" spans="1:10" ht="10" customHeight="1" x14ac:dyDescent="0.2">
      <c r="A74" s="16" t="s">
        <v>351</v>
      </c>
      <c r="B74" s="34">
        <f>SUMIFS(JB_26BV,JB_B,1,JB_EX,"P-5c",JB_CC,"Plan Costs",JB_H,"DDG",JB_RC,"ALT")</f>
        <v>175748</v>
      </c>
      <c r="C74" s="17">
        <f>SUMIFS(JB_26BV,JB_B,1,JB_EX,"P-5c",JB_CC,"Plan Costs",JB_H,"FFG",JB_RC,"ALT")</f>
        <v>227249</v>
      </c>
      <c r="D74" s="17">
        <f>SUMIFS(JB_26BV,JB_B,1,JB_EX,"P-5c",JB_CC,"Plan Costs",JB_H,"LPD",JB_RC,"ALT")</f>
        <v>0</v>
      </c>
      <c r="E74" s="17">
        <f>SUMIFS(JB_26BV,JB_B,1,JB_EX,"P-5c",JB_CC,"Plan Costs",JB_H,"LHA",JB_RC,"ALT")</f>
        <v>125000</v>
      </c>
      <c r="F74" s="17">
        <f>SUMIFS(JB_26BV,JB_B,1,JB_EX,"P-5c",JB_CC,"Plan Costs",JB_H,"T-AGOS",JB_RC,"ALT")</f>
        <v>113906</v>
      </c>
      <c r="G74" s="17">
        <f>SUMIFS(JB_26BV,JB_B,1,JB_EX,"P-5c",JB_CC,"Plan Costs",JB_H,"T-EPF",JB_RC,"ALT")</f>
        <v>27000</v>
      </c>
      <c r="H74" s="17">
        <f>SUMIFS(JB_26BV,JB_B,1,JB_EX,"P-5c",JB_CC,"Plan Costs",JB_H,"T-AO",JB_RC,"ALT")</f>
        <v>0</v>
      </c>
      <c r="I74" s="17">
        <f>SUMIFS(JB_26BV,JB_B,1,JB_EX,"P-5c",JB_CC,"Plan Costs",JB_H,"T-ATS",JB_RC,"ALT")</f>
        <v>0</v>
      </c>
      <c r="J74" s="34">
        <f t="shared" ref="J74:J80" si="2">SUM(B74:I74)</f>
        <v>668903</v>
      </c>
    </row>
    <row r="75" spans="1:10" ht="10" customHeight="1" x14ac:dyDescent="0.2">
      <c r="A75" s="16" t="s">
        <v>179</v>
      </c>
      <c r="B75" s="34">
        <f>SUMIFS(JB_26BV,JB_B,1,JB_EX,"P-5c",JB_CC,"Basic Construction",JB_H,"DDG",JB_RC,"ALT")</f>
        <v>4840767</v>
      </c>
      <c r="C75" s="17">
        <f>SUMIFS(JB_26BV,JB_B,1,JB_EX,"P-5c",JB_CC,"Basic Construction",JB_H,"FFG",JB_RC,"ALT")</f>
        <v>1362749</v>
      </c>
      <c r="D75" s="17">
        <f>SUMIFS(JB_26BV,JB_B,1,JB_EX,"P-5c",JB_CC,"Basic Construction",JB_H,"LPD",JB_RC,"ALT")</f>
        <v>1661620</v>
      </c>
      <c r="E75" s="17">
        <f>SUMIFS(JB_26BV,JB_B,1,JB_EX,"P-5c",JB_CC,"Basic Construction",JB_H,"LHA",JB_RC,"ALT")</f>
        <v>350118</v>
      </c>
      <c r="F75" s="17">
        <f>SUMIFS(JB_26BV,JB_B,1,JB_EX,"P-5c",JB_CC,"Basic Construction",JB_H,"T-AGOS",JB_RC,"ALT")</f>
        <v>460560</v>
      </c>
      <c r="G75" s="17">
        <f>SUMIFS(JB_26BV,JB_B,1,JB_EX,"P-5c",JB_CC,"Basic Construction",JB_H,"T-EPF",JB_RC,"ALT")</f>
        <v>537663</v>
      </c>
      <c r="H75" s="17">
        <f>SUMIFS(JB_26BV,JB_B,1,JB_EX,"P-5c",JB_CC,"Basic Construction",JB_H,"T-AO",JB_RC,"ALT")</f>
        <v>8346</v>
      </c>
      <c r="I75" s="17">
        <f>SUMIFS(JB_26BV,JB_B,1,JB_EX,"P-5c",JB_CC,"Basic Construction",JB_H,"T-ATS",JB_RC,"ALT")</f>
        <v>82816</v>
      </c>
      <c r="J75" s="34">
        <f t="shared" si="2"/>
        <v>9304639</v>
      </c>
    </row>
    <row r="76" spans="1:10" ht="10" customHeight="1" x14ac:dyDescent="0.2">
      <c r="A76" s="16" t="s">
        <v>358</v>
      </c>
      <c r="B76" s="34">
        <f>SUMIFS(JB_26BV,JB_B,1,JB_EX,"P-5c",JB_CC,"Change Orders",JB_H,"DDG",JB_RC,"ALT")</f>
        <v>273564</v>
      </c>
      <c r="C76" s="17">
        <f>SUMIFS(JB_26BV,JB_B,1,JB_EX,"P-5c",JB_CC,"Change Orders",JB_H,"FFG",JB_RC,"ALT")</f>
        <v>31119</v>
      </c>
      <c r="D76" s="17">
        <f>SUMIFS(JB_26BV,JB_B,1,JB_EX,"P-5c",JB_CC,"Change Orders",JB_H,"LPD",JB_RC,"ALT")</f>
        <v>35000</v>
      </c>
      <c r="E76" s="17">
        <f>SUMIFS(JB_26BV,JB_B,1,JB_EX,"P-5c",JB_CC,"Change Orders",JB_H,"LHA",JB_RC,"ALT")</f>
        <v>70183</v>
      </c>
      <c r="F76" s="17">
        <f>SUMIFS(JB_26BV,JB_B,1,JB_EX,"P-5c",JB_CC,"Change Orders",JB_H,"T-AGOS",JB_RC,"ALT")</f>
        <v>13662</v>
      </c>
      <c r="G76" s="17">
        <f>SUMIFS(JB_26BV,JB_B,1,JB_EX,"P-5c",JB_CC,"Change Orders",JB_H,"T-EPF",JB_RC,"ALT")</f>
        <v>10753</v>
      </c>
      <c r="H76" s="17">
        <f>SUMIFS(JB_26BV,JB_B,1,JB_EX,"P-5c",JB_CC,"Change Orders",JB_H,"T-AO",JB_RC,"ALT")</f>
        <v>7900</v>
      </c>
      <c r="I76" s="17">
        <f>SUMIFS(JB_26BV,JB_B,1,JB_EX,"P-5c",JB_CC,"Change Orders",JB_H,"T-ATS",JB_RC,"ALT")</f>
        <v>2493</v>
      </c>
      <c r="J76" s="34">
        <f t="shared" si="2"/>
        <v>444674</v>
      </c>
    </row>
    <row r="77" spans="1:10" ht="10" customHeight="1" x14ac:dyDescent="0.2">
      <c r="A77" s="16" t="s">
        <v>361</v>
      </c>
      <c r="B77" s="34">
        <f>SUMIFS(JB_26BV,JB_B,1,JB_EX,"P-5c",JB_CC,"Electronics",JB_H,"DDG",JB_RC,"ALT")</f>
        <v>935490</v>
      </c>
      <c r="C77" s="17">
        <f>SUMIFS(JB_26BV,JB_B,1,JB_EX,"P-5c",JB_CC,"Electronics",JB_H,"FFG",JB_RC,"ALT")</f>
        <v>614217</v>
      </c>
      <c r="D77" s="17">
        <f>SUMIFS(JB_26BV,JB_B,1,JB_EX,"P-5c",JB_CC,"Electronics",JB_H,"LPD",JB_RC,"ALT")</f>
        <v>244582</v>
      </c>
      <c r="E77" s="17">
        <f>SUMIFS(JB_26BV,JB_B,1,JB_EX,"P-5c",JB_CC,"Electronics",JB_H,"LHA",JB_RC,"ALT")</f>
        <v>335010</v>
      </c>
      <c r="F77" s="17">
        <f>SUMIFS(JB_26BV,JB_B,1,JB_EX,"P-5c",JB_CC,"Electronics",JB_H,"T-AGOS",JB_RC,"ALT")</f>
        <v>115983</v>
      </c>
      <c r="G77" s="17">
        <f>SUMIFS(JB_26BV,JB_B,1,JB_EX,"P-5c",JB_CC,"Electronics",JB_H,"T-EPF",JB_RC,"ALT")</f>
        <v>56504</v>
      </c>
      <c r="H77" s="17">
        <f>SUMIFS(JB_26BV,JB_B,1,JB_EX,"P-5c",JB_CC,"Electronics",JB_H,"T-AO",JB_RC,"ALT")</f>
        <v>51586</v>
      </c>
      <c r="I77" s="17">
        <f>SUMIFS(JB_26BV,JB_B,1,JB_EX,"P-5c",JB_CC,"Electronics",JB_H,"T-ATS",JB_RC,"ALT")</f>
        <v>5696</v>
      </c>
      <c r="J77" s="34">
        <f t="shared" si="2"/>
        <v>2359068</v>
      </c>
    </row>
    <row r="78" spans="1:10" ht="10" customHeight="1" x14ac:dyDescent="0.2">
      <c r="A78" s="16" t="s">
        <v>367</v>
      </c>
      <c r="B78" s="34">
        <f>SUMIFS(JB_26BV,JB_B,1,JB_EX,"P-5c",JB_CC,"Hull, Mechanical, and Electrical",JB_H,"DDG",JB_RC,"ALT")</f>
        <v>154029</v>
      </c>
      <c r="C78" s="17">
        <f>SUMIFS(JB_26BV,JB_B,1,JB_EX,"P-5c",JB_CC,"Hull, Mechanical, and Electrical",JB_H,"FFG",JB_RC,"ALT")</f>
        <v>0</v>
      </c>
      <c r="D78" s="17">
        <f>SUMIFS(JB_26BV,JB_B,1,JB_EX,"P-5c",JB_CC,"Hull, Mechanical, and Electrical",JB_H,"LPD",JB_RC,"ALT")</f>
        <v>20289</v>
      </c>
      <c r="E78" s="17">
        <f>SUMIFS(JB_26BV,JB_B,1,JB_EX,"P-5c",JB_CC,"Hull, Mechanical, and Electrical",JB_H,"LHA",JB_RC,"ALT")</f>
        <v>61882</v>
      </c>
      <c r="F78" s="17">
        <f>SUMIFS(JB_26BV,JB_B,1,JB_EX,"P-5c",JB_CC,"Hull, Mechanical, and Electrical",JB_H,"T-AGOS",JB_RC,"ALT")</f>
        <v>22000</v>
      </c>
      <c r="G78" s="17">
        <f>SUMIFS(JB_26BV,JB_B,1,JB_EX,"P-5c",JB_CC,"Hull, Mechanical, and Electrical",JB_H,"T-EPF",JB_RC,"ALT")</f>
        <v>26720</v>
      </c>
      <c r="H78" s="17">
        <f>SUMIFS(JB_26BV,JB_B,1,JB_EX,"P-5c",JB_CC,"Hull, Mechanical, and Electrical",JB_H,"T-AO",JB_RC,"ALT")</f>
        <v>15531</v>
      </c>
      <c r="I78" s="17">
        <f>SUMIFS(JB_26BV,JB_B,1,JB_EX,"P-5c",JB_CC,"Hull, Mechanical, and Electrical",JB_H,"T-ATS",JB_RC,"ALT")</f>
        <v>0</v>
      </c>
      <c r="J78" s="34">
        <f t="shared" si="2"/>
        <v>300451</v>
      </c>
    </row>
    <row r="79" spans="1:10" ht="10" customHeight="1" x14ac:dyDescent="0.2">
      <c r="A79" s="16" t="s">
        <v>370</v>
      </c>
      <c r="B79" s="34">
        <f>SUMIFS(JB_26BV,JB_B,1,JB_EX,"P-5c",JB_CC,"Ordnance",JB_H,"DDG",JB_RC,"ALT")</f>
        <v>3651082</v>
      </c>
      <c r="C79" s="17">
        <f>SUMIFS(JB_26BV,JB_B,1,JB_EX,"P-5c",JB_CC,"Ordnance",JB_H,"FFG",JB_RC,"ALT")</f>
        <v>121197</v>
      </c>
      <c r="D79" s="17">
        <f>SUMIFS(JB_26BV,JB_B,1,JB_EX,"P-5c",JB_CC,"Ordnance",JB_H,"LPD",JB_RC,"ALT")</f>
        <v>101472</v>
      </c>
      <c r="E79" s="17">
        <f>SUMIFS(JB_26BV,JB_B,1,JB_EX,"P-5c",JB_CC,"Ordnance",JB_H,"LHA",JB_RC,"ALT")</f>
        <v>168742</v>
      </c>
      <c r="F79" s="17">
        <f>SUMIFS(JB_26BV,JB_B,1,JB_EX,"P-5c",JB_CC,"Ordnance",JB_H,"T-AGOS",JB_RC,"ALT")</f>
        <v>0</v>
      </c>
      <c r="G79" s="17">
        <f>SUMIFS(JB_26BV,JB_B,1,JB_EX,"P-5c",JB_CC,"Ordnance",JB_H,"T-EPF",JB_RC,"ALT")</f>
        <v>0</v>
      </c>
      <c r="H79" s="17">
        <f>SUMIFS(JB_26BV,JB_B,1,JB_EX,"P-5c",JB_CC,"Ordnance",JB_H,"T-AO",JB_RC,"ALT")</f>
        <v>0</v>
      </c>
      <c r="I79" s="17">
        <f>SUMIFS(JB_26BV,JB_B,1,JB_EX,"P-5c",JB_CC,"Ordnance",JB_H,"T-ATS",JB_RC,"ALT")</f>
        <v>0</v>
      </c>
      <c r="J79" s="34">
        <f t="shared" si="2"/>
        <v>4042493</v>
      </c>
    </row>
    <row r="80" spans="1:10" ht="10" customHeight="1" x14ac:dyDescent="0.2">
      <c r="A80" s="16" t="s">
        <v>373</v>
      </c>
      <c r="B80" s="34">
        <f>SUMIFS(JB_26BV,JB_B,1,JB_EX,"P-5c",JB_CC,"Other Cost",JB_H,"DDG",JB_RC,"ALT")</f>
        <v>170688</v>
      </c>
      <c r="C80" s="17">
        <f>SUMIFS(JB_26BV,JB_B,1,JB_EX,"P-5c",JB_CC,"Other Cost",JB_H,"FFG",JB_RC,"ALT")</f>
        <v>99993</v>
      </c>
      <c r="D80" s="17">
        <f>SUMIFS(JB_26BV,JB_B,1,JB_EX,"P-5c",JB_CC,"Other Cost",JB_H,"LPD",JB_RC,"ALT")</f>
        <v>7674</v>
      </c>
      <c r="E80" s="17">
        <f>SUMIFS(JB_26BV,JB_B,1,JB_EX,"P-5c",JB_CC,"Other Cost",JB_H,"LHA",JB_RC,"ALT")</f>
        <v>69439</v>
      </c>
      <c r="F80" s="17">
        <f>SUMIFS(JB_26BV,JB_B,1,JB_EX,"P-5c",JB_CC,"Other Cost",JB_H,"T-AGOS",JB_RC,"ALT")</f>
        <v>0</v>
      </c>
      <c r="G80" s="17">
        <f>SUMIFS(JB_26BV,JB_B,1,JB_EX,"P-5c",JB_CC,"Other Cost",JB_H,"T-EPF",JB_RC,"ALT")</f>
        <v>13360</v>
      </c>
      <c r="H80" s="17">
        <f>SUMIFS(JB_26BV,JB_B,1,JB_EX,"P-5c",JB_CC,"Other Cost",JB_H,"T-AO",JB_RC,"ALT")</f>
        <v>20000</v>
      </c>
      <c r="I80" s="17">
        <f>SUMIFS(JB_26BV,JB_B,1,JB_EX,"P-5c",JB_CC,"Other Cost",JB_H,"T-ATS",JB_RC,"ALT")</f>
        <v>0</v>
      </c>
      <c r="J80" s="34">
        <f t="shared" si="2"/>
        <v>381154</v>
      </c>
    </row>
    <row r="81" spans="1:10" ht="10" customHeight="1" x14ac:dyDescent="0.2">
      <c r="A81" s="21" t="s">
        <v>8391</v>
      </c>
      <c r="B81" s="33">
        <f t="shared" ref="B81:J81" si="3">SUM(B74:B80)</f>
        <v>10201368</v>
      </c>
      <c r="C81" s="22">
        <f t="shared" si="3"/>
        <v>2456524</v>
      </c>
      <c r="D81" s="22">
        <f t="shared" si="3"/>
        <v>2070637</v>
      </c>
      <c r="E81" s="22">
        <f t="shared" si="3"/>
        <v>1180374</v>
      </c>
      <c r="F81" s="22">
        <f t="shared" si="3"/>
        <v>726111</v>
      </c>
      <c r="G81" s="22">
        <f t="shared" si="3"/>
        <v>672000</v>
      </c>
      <c r="H81" s="22">
        <f t="shared" si="3"/>
        <v>103363</v>
      </c>
      <c r="I81" s="22">
        <f t="shared" si="3"/>
        <v>91005</v>
      </c>
      <c r="J81" s="33">
        <f t="shared" si="3"/>
        <v>17501382</v>
      </c>
    </row>
    <row r="82" spans="1:10" ht="10" customHeight="1" x14ac:dyDescent="0.2"/>
    <row r="83" spans="1:10" ht="10" customHeight="1" x14ac:dyDescent="0.2">
      <c r="A83" s="35" t="s">
        <v>8392</v>
      </c>
      <c r="B83" s="30"/>
      <c r="C83" s="28"/>
      <c r="D83" s="28"/>
      <c r="E83" s="28"/>
      <c r="F83" s="28"/>
      <c r="G83" s="28"/>
      <c r="H83" s="28"/>
      <c r="I83" s="28"/>
      <c r="J83" s="30"/>
    </row>
    <row r="84" spans="1:10" ht="10" customHeight="1" x14ac:dyDescent="0.2">
      <c r="A84" s="15" t="s">
        <v>15</v>
      </c>
      <c r="B84" s="31" t="s">
        <v>120</v>
      </c>
      <c r="C84" s="15" t="s">
        <v>144</v>
      </c>
      <c r="D84" s="15" t="s">
        <v>150</v>
      </c>
      <c r="E84" s="15" t="s">
        <v>168</v>
      </c>
      <c r="F84" s="15" t="s">
        <v>215</v>
      </c>
      <c r="G84" s="15" t="s">
        <v>197</v>
      </c>
      <c r="H84" s="15" t="s">
        <v>203</v>
      </c>
      <c r="I84" s="15" t="s">
        <v>227</v>
      </c>
      <c r="J84" s="31" t="s">
        <v>8327</v>
      </c>
    </row>
    <row r="85" spans="1:10" ht="10" customHeight="1" x14ac:dyDescent="0.2">
      <c r="A85" s="16" t="s">
        <v>351</v>
      </c>
      <c r="B85" s="32">
        <f t="shared" ref="B85:J85" si="4">IFERROR(B74/B$81,0)</f>
        <v>1.7227885514962307E-2</v>
      </c>
      <c r="C85" s="26">
        <f t="shared" si="4"/>
        <v>9.2508357337441033E-2</v>
      </c>
      <c r="D85" s="26">
        <f t="shared" si="4"/>
        <v>0</v>
      </c>
      <c r="E85" s="26">
        <f t="shared" si="4"/>
        <v>0.10589863890597387</v>
      </c>
      <c r="F85" s="26">
        <f t="shared" si="4"/>
        <v>0.15687133234450379</v>
      </c>
      <c r="G85" s="26">
        <f t="shared" si="4"/>
        <v>4.0178571428571432E-2</v>
      </c>
      <c r="H85" s="26">
        <f t="shared" si="4"/>
        <v>0</v>
      </c>
      <c r="I85" s="26">
        <f t="shared" si="4"/>
        <v>0</v>
      </c>
      <c r="J85" s="32">
        <f t="shared" si="4"/>
        <v>3.822001028261654E-2</v>
      </c>
    </row>
    <row r="86" spans="1:10" ht="10" customHeight="1" x14ac:dyDescent="0.2">
      <c r="A86" s="16" t="s">
        <v>179</v>
      </c>
      <c r="B86" s="32">
        <f t="shared" ref="B86:J86" si="5">IFERROR(B75/B$81,0)</f>
        <v>0.47452135831194403</v>
      </c>
      <c r="C86" s="26">
        <f t="shared" si="5"/>
        <v>0.55474686996748246</v>
      </c>
      <c r="D86" s="26">
        <f t="shared" si="5"/>
        <v>0.80246803278411427</v>
      </c>
      <c r="E86" s="26">
        <f t="shared" si="5"/>
        <v>0.29661615725185408</v>
      </c>
      <c r="F86" s="26">
        <f t="shared" si="5"/>
        <v>0.63428318810760342</v>
      </c>
      <c r="G86" s="26">
        <f t="shared" si="5"/>
        <v>0.80009375000000005</v>
      </c>
      <c r="H86" s="26">
        <f t="shared" si="5"/>
        <v>8.0744560432649978E-2</v>
      </c>
      <c r="I86" s="26">
        <f t="shared" si="5"/>
        <v>0.91001593319048402</v>
      </c>
      <c r="J86" s="32">
        <f t="shared" si="5"/>
        <v>0.53165167185082873</v>
      </c>
    </row>
    <row r="87" spans="1:10" ht="10" customHeight="1" x14ac:dyDescent="0.2">
      <c r="A87" s="16" t="s">
        <v>358</v>
      </c>
      <c r="B87" s="32">
        <f t="shared" ref="B87:J87" si="6">IFERROR(B76/B$81,0)</f>
        <v>2.6816403447067098E-2</v>
      </c>
      <c r="C87" s="26">
        <f t="shared" si="6"/>
        <v>1.2667899845472709E-2</v>
      </c>
      <c r="D87" s="26">
        <f t="shared" si="6"/>
        <v>1.6903011005791939E-2</v>
      </c>
      <c r="E87" s="26">
        <f t="shared" si="6"/>
        <v>5.9458273394703713E-2</v>
      </c>
      <c r="F87" s="26">
        <f t="shared" si="6"/>
        <v>1.8815305097980888E-2</v>
      </c>
      <c r="G87" s="26">
        <f t="shared" si="6"/>
        <v>1.6001488095238096E-2</v>
      </c>
      <c r="H87" s="26">
        <f t="shared" si="6"/>
        <v>7.6429670191461158E-2</v>
      </c>
      <c r="I87" s="26">
        <f t="shared" si="6"/>
        <v>2.7394099225317291E-2</v>
      </c>
      <c r="J87" s="32">
        <f t="shared" si="6"/>
        <v>2.5407936356111764E-2</v>
      </c>
    </row>
    <row r="88" spans="1:10" ht="10" customHeight="1" x14ac:dyDescent="0.2">
      <c r="A88" s="16" t="s">
        <v>361</v>
      </c>
      <c r="B88" s="32">
        <f t="shared" ref="B88:J88" si="7">IFERROR(B77/B$81,0)</f>
        <v>9.1702406971300318E-2</v>
      </c>
      <c r="C88" s="26">
        <f t="shared" si="7"/>
        <v>0.25003500881733703</v>
      </c>
      <c r="D88" s="26">
        <f t="shared" si="7"/>
        <v>0.11811920679481724</v>
      </c>
      <c r="E88" s="26">
        <f t="shared" si="7"/>
        <v>0.28381682415912246</v>
      </c>
      <c r="F88" s="26">
        <f t="shared" si="7"/>
        <v>0.15973177654656107</v>
      </c>
      <c r="G88" s="26">
        <f t="shared" si="7"/>
        <v>8.4083333333333329E-2</v>
      </c>
      <c r="H88" s="26">
        <f t="shared" si="7"/>
        <v>0.49907607170844498</v>
      </c>
      <c r="I88" s="26">
        <f t="shared" si="7"/>
        <v>6.2589967584198672E-2</v>
      </c>
      <c r="J88" s="32">
        <f t="shared" si="7"/>
        <v>0.1347932408994901</v>
      </c>
    </row>
    <row r="89" spans="1:10" ht="10" customHeight="1" x14ac:dyDescent="0.2">
      <c r="A89" s="16" t="s">
        <v>367</v>
      </c>
      <c r="B89" s="32">
        <f t="shared" ref="B89:J89" si="8">IFERROR(B78/B$81,0)</f>
        <v>1.5098857329722838E-2</v>
      </c>
      <c r="C89" s="26">
        <f t="shared" si="8"/>
        <v>0</v>
      </c>
      <c r="D89" s="26">
        <f t="shared" si="8"/>
        <v>9.7984340084717892E-3</v>
      </c>
      <c r="E89" s="26">
        <f t="shared" si="8"/>
        <v>5.2425756582235798E-2</v>
      </c>
      <c r="F89" s="26">
        <f t="shared" si="8"/>
        <v>3.0298397903350864E-2</v>
      </c>
      <c r="G89" s="26">
        <f t="shared" si="8"/>
        <v>3.9761904761904762E-2</v>
      </c>
      <c r="H89" s="26">
        <f t="shared" si="8"/>
        <v>0.15025686173969408</v>
      </c>
      <c r="I89" s="26">
        <f t="shared" si="8"/>
        <v>0</v>
      </c>
      <c r="J89" s="32">
        <f t="shared" si="8"/>
        <v>1.7167272847367139E-2</v>
      </c>
    </row>
    <row r="90" spans="1:10" ht="10" customHeight="1" x14ac:dyDescent="0.2">
      <c r="A90" s="16" t="s">
        <v>370</v>
      </c>
      <c r="B90" s="32">
        <f t="shared" ref="B90:J90" si="9">IFERROR(B79/B$81,0)</f>
        <v>0.35790121481746368</v>
      </c>
      <c r="C90" s="26">
        <f t="shared" si="9"/>
        <v>4.9336786451099193E-2</v>
      </c>
      <c r="D90" s="26">
        <f t="shared" si="9"/>
        <v>4.9005209507991983E-2</v>
      </c>
      <c r="E90" s="26">
        <f t="shared" si="9"/>
        <v>0.14295638501017474</v>
      </c>
      <c r="F90" s="26">
        <f t="shared" si="9"/>
        <v>0</v>
      </c>
      <c r="G90" s="26">
        <f t="shared" si="9"/>
        <v>0</v>
      </c>
      <c r="H90" s="26">
        <f t="shared" si="9"/>
        <v>0</v>
      </c>
      <c r="I90" s="26">
        <f t="shared" si="9"/>
        <v>0</v>
      </c>
      <c r="J90" s="32">
        <f t="shared" si="9"/>
        <v>0.23098135907210071</v>
      </c>
    </row>
    <row r="91" spans="1:10" ht="10" customHeight="1" x14ac:dyDescent="0.2">
      <c r="A91" s="16" t="s">
        <v>373</v>
      </c>
      <c r="B91" s="32">
        <f t="shared" ref="B91:J91" si="10">IFERROR(B80/B$81,0)</f>
        <v>1.6731873607539693E-2</v>
      </c>
      <c r="C91" s="26">
        <f t="shared" si="10"/>
        <v>4.0705077581167537E-2</v>
      </c>
      <c r="D91" s="26">
        <f t="shared" si="10"/>
        <v>3.7061058988127806E-3</v>
      </c>
      <c r="E91" s="26">
        <f t="shared" si="10"/>
        <v>5.8827964695935354E-2</v>
      </c>
      <c r="F91" s="26">
        <f t="shared" si="10"/>
        <v>0</v>
      </c>
      <c r="G91" s="26">
        <f t="shared" si="10"/>
        <v>1.9880952380952381E-2</v>
      </c>
      <c r="H91" s="26">
        <f t="shared" si="10"/>
        <v>0.19349283592774977</v>
      </c>
      <c r="I91" s="26">
        <f t="shared" si="10"/>
        <v>0</v>
      </c>
      <c r="J91" s="32">
        <f t="shared" si="10"/>
        <v>2.1778508691485048E-2</v>
      </c>
    </row>
    <row r="92" spans="1:10" ht="10" customHeight="1" x14ac:dyDescent="0.2">
      <c r="A92" s="21" t="s">
        <v>8327</v>
      </c>
      <c r="B92" s="36">
        <v>1</v>
      </c>
      <c r="C92" s="27">
        <v>1</v>
      </c>
      <c r="D92" s="27">
        <v>1</v>
      </c>
      <c r="E92" s="27">
        <v>1</v>
      </c>
      <c r="F92" s="27">
        <v>1</v>
      </c>
      <c r="G92" s="27">
        <v>1</v>
      </c>
      <c r="H92" s="27">
        <v>1</v>
      </c>
      <c r="I92" s="27">
        <v>1</v>
      </c>
      <c r="J92" s="36">
        <v>1</v>
      </c>
    </row>
    <row r="93" spans="1:10" ht="10" customHeight="1" x14ac:dyDescent="0.2"/>
    <row r="94" spans="1:10" ht="10" customHeight="1" x14ac:dyDescent="0.2"/>
    <row r="95" spans="1:10" ht="10" customHeight="1" x14ac:dyDescent="0.2">
      <c r="A95" s="6" t="s">
        <v>8393</v>
      </c>
      <c r="B95" s="7"/>
      <c r="C95" s="7"/>
      <c r="D95" s="7"/>
      <c r="E95" s="7"/>
      <c r="F95" s="7"/>
      <c r="G95" s="7"/>
      <c r="H95" s="7"/>
      <c r="I95" s="7"/>
      <c r="J95" s="7"/>
    </row>
    <row r="96" spans="1:10" ht="10" customHeight="1" x14ac:dyDescent="0.2">
      <c r="A96" s="20" t="s">
        <v>8394</v>
      </c>
    </row>
    <row r="97" spans="1:10" ht="10" customHeight="1" x14ac:dyDescent="0.2">
      <c r="A97" s="28"/>
      <c r="B97" s="29" t="s">
        <v>50</v>
      </c>
      <c r="C97" s="28"/>
      <c r="D97" s="28"/>
      <c r="E97" s="28"/>
      <c r="F97" s="28"/>
      <c r="G97" s="28"/>
      <c r="H97" s="28"/>
      <c r="I97" s="28"/>
      <c r="J97" s="30"/>
    </row>
    <row r="98" spans="1:10" ht="10" customHeight="1" x14ac:dyDescent="0.2">
      <c r="A98" s="15" t="s">
        <v>15</v>
      </c>
      <c r="B98" s="31" t="s">
        <v>120</v>
      </c>
      <c r="C98" s="15" t="s">
        <v>144</v>
      </c>
      <c r="D98" s="15" t="s">
        <v>150</v>
      </c>
      <c r="E98" s="15" t="s">
        <v>168</v>
      </c>
      <c r="F98" s="15" t="s">
        <v>215</v>
      </c>
      <c r="G98" s="15" t="s">
        <v>197</v>
      </c>
      <c r="H98" s="15" t="s">
        <v>203</v>
      </c>
      <c r="I98" s="15" t="s">
        <v>227</v>
      </c>
      <c r="J98" s="31" t="s">
        <v>8327</v>
      </c>
    </row>
    <row r="99" spans="1:10" ht="10" customHeight="1" x14ac:dyDescent="0.2">
      <c r="A99" s="24" t="s">
        <v>8395</v>
      </c>
      <c r="B99" s="37">
        <f>SUMIFS(JB_26BV,JB_B,1,JB_H,"DDG",JB_RC,"ADD")</f>
        <v>7213131</v>
      </c>
      <c r="C99" s="25">
        <f>SUMIFS(JB_26BV,JB_B,1,JB_H,"FFG",JB_RC,"ADD")</f>
        <v>242000</v>
      </c>
      <c r="D99" s="25">
        <f>SUMIFS(JB_26BV,JB_B,1,JB_H,"LPD",JB_RC,"ADD")</f>
        <v>1110037</v>
      </c>
      <c r="E99" s="25">
        <f>SUMIFS(JB_26BV,JB_B,1,JB_H,"LHA",JB_RC,"ADD")</f>
        <v>634963</v>
      </c>
      <c r="F99" s="25">
        <f>SUMIFS(JB_26BV,JB_B,1,JB_H,"T-AGOS",JB_RC,"ADD")</f>
        <v>612205</v>
      </c>
      <c r="G99" s="25">
        <f>SUMIFS(JB_26BV,JB_B,1,JB_H,"T-EPF",JB_RC,"ADD")</f>
        <v>0</v>
      </c>
      <c r="H99" s="25">
        <f>SUMIFS(JB_26BV,JB_B,1,JB_H,"T-AO",JB_RC,"ADD")</f>
        <v>1861705</v>
      </c>
      <c r="I99" s="25">
        <f>SUMIFS(JB_26BV,JB_B,1,JB_H,"T-ATS",JB_RC,"ADD")</f>
        <v>141500</v>
      </c>
      <c r="J99" s="37">
        <f>SUM(B99:I99)</f>
        <v>11815541</v>
      </c>
    </row>
    <row r="100" spans="1:10" ht="10" customHeight="1" x14ac:dyDescent="0.2">
      <c r="A100" s="16" t="s">
        <v>351</v>
      </c>
      <c r="B100" s="34">
        <f t="shared" ref="B100:J100" si="11">IFERROR(B$99*B85,0)</f>
        <v>124266.99507242558</v>
      </c>
      <c r="C100" s="17">
        <f t="shared" si="11"/>
        <v>22387.022475660731</v>
      </c>
      <c r="D100" s="17">
        <f t="shared" si="11"/>
        <v>0</v>
      </c>
      <c r="E100" s="17">
        <f t="shared" si="11"/>
        <v>67241.717455653881</v>
      </c>
      <c r="F100" s="17">
        <f t="shared" si="11"/>
        <v>96037.414017966948</v>
      </c>
      <c r="G100" s="17">
        <f t="shared" si="11"/>
        <v>0</v>
      </c>
      <c r="H100" s="17">
        <f t="shared" si="11"/>
        <v>0</v>
      </c>
      <c r="I100" s="17">
        <f t="shared" si="11"/>
        <v>0</v>
      </c>
      <c r="J100" s="34">
        <f t="shared" si="11"/>
        <v>451590.09851467732</v>
      </c>
    </row>
    <row r="101" spans="1:10" ht="10" customHeight="1" x14ac:dyDescent="0.2">
      <c r="A101" s="16" t="s">
        <v>179</v>
      </c>
      <c r="B101" s="34">
        <f t="shared" ref="B101:J101" si="12">IFERROR(B$99*B86,0)</f>
        <v>3422784.7198019912</v>
      </c>
      <c r="C101" s="17">
        <f t="shared" si="12"/>
        <v>134248.74253213077</v>
      </c>
      <c r="D101" s="17">
        <f t="shared" si="12"/>
        <v>890769.20770757983</v>
      </c>
      <c r="E101" s="17">
        <f t="shared" si="12"/>
        <v>188340.28505710902</v>
      </c>
      <c r="F101" s="17">
        <f t="shared" si="12"/>
        <v>388311.33917541534</v>
      </c>
      <c r="G101" s="17">
        <f t="shared" si="12"/>
        <v>0</v>
      </c>
      <c r="H101" s="17">
        <f t="shared" si="12"/>
        <v>150322.55188026663</v>
      </c>
      <c r="I101" s="17">
        <f t="shared" si="12"/>
        <v>128767.25454645349</v>
      </c>
      <c r="J101" s="34">
        <f t="shared" si="12"/>
        <v>6281752.1264720131</v>
      </c>
    </row>
    <row r="102" spans="1:10" ht="10" customHeight="1" x14ac:dyDescent="0.2">
      <c r="A102" s="16" t="s">
        <v>358</v>
      </c>
      <c r="B102" s="34">
        <f t="shared" ref="B102:J102" si="13">IFERROR(B$99*B87,0)</f>
        <v>193430.23101254654</v>
      </c>
      <c r="C102" s="17">
        <f t="shared" si="13"/>
        <v>3065.6317626043956</v>
      </c>
      <c r="D102" s="17">
        <f t="shared" si="13"/>
        <v>18762.967627836268</v>
      </c>
      <c r="E102" s="17">
        <f t="shared" si="13"/>
        <v>37753.803649521251</v>
      </c>
      <c r="F102" s="17">
        <f t="shared" si="13"/>
        <v>11518.823857509389</v>
      </c>
      <c r="G102" s="17">
        <f t="shared" si="13"/>
        <v>0</v>
      </c>
      <c r="H102" s="17">
        <f t="shared" si="13"/>
        <v>142289.49914379421</v>
      </c>
      <c r="I102" s="17">
        <f t="shared" si="13"/>
        <v>3876.2650403823968</v>
      </c>
      <c r="J102" s="34">
        <f t="shared" si="13"/>
        <v>300208.51374102914</v>
      </c>
    </row>
    <row r="103" spans="1:10" ht="10" customHeight="1" x14ac:dyDescent="0.2">
      <c r="A103" s="16" t="s">
        <v>361</v>
      </c>
      <c r="B103" s="34">
        <f t="shared" ref="B103:J103" si="14">IFERROR(B$99*B88,0)</f>
        <v>661461.47449930245</v>
      </c>
      <c r="C103" s="17">
        <f t="shared" si="14"/>
        <v>60508.472133795563</v>
      </c>
      <c r="D103" s="17">
        <f t="shared" si="14"/>
        <v>131116.68995289854</v>
      </c>
      <c r="E103" s="17">
        <f t="shared" si="14"/>
        <v>180213.18211854887</v>
      </c>
      <c r="F103" s="17">
        <f t="shared" si="14"/>
        <v>97788.592260687423</v>
      </c>
      <c r="G103" s="17">
        <f t="shared" si="14"/>
        <v>0</v>
      </c>
      <c r="H103" s="17">
        <f t="shared" si="14"/>
        <v>929132.41807997052</v>
      </c>
      <c r="I103" s="17">
        <f t="shared" si="14"/>
        <v>8856.4804131641122</v>
      </c>
      <c r="J103" s="34">
        <f t="shared" si="14"/>
        <v>1592655.0643708021</v>
      </c>
    </row>
    <row r="104" spans="1:10" ht="10" customHeight="1" x14ac:dyDescent="0.2">
      <c r="A104" s="16" t="s">
        <v>367</v>
      </c>
      <c r="B104" s="34">
        <f t="shared" ref="B104:J104" si="15">IFERROR(B$99*B89,0)</f>
        <v>108910.03586960102</v>
      </c>
      <c r="C104" s="17">
        <f t="shared" si="15"/>
        <v>0</v>
      </c>
      <c r="D104" s="17">
        <f t="shared" si="15"/>
        <v>10876.624291462</v>
      </c>
      <c r="E104" s="17">
        <f t="shared" si="15"/>
        <v>33288.415676726188</v>
      </c>
      <c r="F104" s="17">
        <f t="shared" si="15"/>
        <v>18548.830688420916</v>
      </c>
      <c r="G104" s="17">
        <f t="shared" si="15"/>
        <v>0</v>
      </c>
      <c r="H104" s="17">
        <f t="shared" si="15"/>
        <v>279733.95078509714</v>
      </c>
      <c r="I104" s="17">
        <f t="shared" si="15"/>
        <v>0</v>
      </c>
      <c r="J104" s="34">
        <f t="shared" si="15"/>
        <v>202840.61618625317</v>
      </c>
    </row>
    <row r="105" spans="1:10" ht="10" customHeight="1" x14ac:dyDescent="0.2">
      <c r="A105" s="16" t="s">
        <v>370</v>
      </c>
      <c r="B105" s="34">
        <f t="shared" ref="B105:J105" si="16">IFERROR(B$99*B90,0)</f>
        <v>2581588.3475375064</v>
      </c>
      <c r="C105" s="17">
        <f t="shared" si="16"/>
        <v>11939.502321166005</v>
      </c>
      <c r="D105" s="17">
        <f t="shared" si="16"/>
        <v>54397.595746622894</v>
      </c>
      <c r="E105" s="17">
        <f t="shared" si="16"/>
        <v>90772.015095215582</v>
      </c>
      <c r="F105" s="17">
        <f t="shared" si="16"/>
        <v>0</v>
      </c>
      <c r="G105" s="17">
        <f t="shared" si="16"/>
        <v>0</v>
      </c>
      <c r="H105" s="17">
        <f t="shared" si="16"/>
        <v>0</v>
      </c>
      <c r="I105" s="17">
        <f t="shared" si="16"/>
        <v>0</v>
      </c>
      <c r="J105" s="34">
        <f t="shared" si="16"/>
        <v>2729169.7183521278</v>
      </c>
    </row>
    <row r="106" spans="1:10" ht="10" customHeight="1" x14ac:dyDescent="0.2">
      <c r="A106" s="16" t="s">
        <v>373</v>
      </c>
      <c r="B106" s="34">
        <f t="shared" ref="B106:J106" si="17">IFERROR(B$99*B91,0)</f>
        <v>120689.19620662639</v>
      </c>
      <c r="C106" s="17">
        <f t="shared" si="17"/>
        <v>9850.6287746425442</v>
      </c>
      <c r="D106" s="17">
        <f t="shared" si="17"/>
        <v>4113.9146736004423</v>
      </c>
      <c r="E106" s="17">
        <f t="shared" si="17"/>
        <v>37353.5809472252</v>
      </c>
      <c r="F106" s="17">
        <f t="shared" si="17"/>
        <v>0</v>
      </c>
      <c r="G106" s="17">
        <f t="shared" si="17"/>
        <v>0</v>
      </c>
      <c r="H106" s="17">
        <f t="shared" si="17"/>
        <v>360226.58011087141</v>
      </c>
      <c r="I106" s="17">
        <f t="shared" si="17"/>
        <v>0</v>
      </c>
      <c r="J106" s="34">
        <f t="shared" si="17"/>
        <v>257324.86236309793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workbookViewId="0"/>
  </sheetViews>
  <sheetFormatPr baseColWidth="10" defaultColWidth="8.83203125" defaultRowHeight="15" x14ac:dyDescent="0.2"/>
  <cols>
    <col min="1" max="1" width="32" customWidth="1"/>
    <col min="2" max="10" width="15" customWidth="1"/>
  </cols>
  <sheetData>
    <row r="1" spans="1:10" ht="10" customHeight="1" x14ac:dyDescent="0.2">
      <c r="A1" s="18" t="s">
        <v>8396</v>
      </c>
      <c r="B1" s="19"/>
      <c r="C1" s="19"/>
      <c r="D1" s="19"/>
      <c r="E1" s="19"/>
      <c r="F1" s="19"/>
      <c r="G1" s="19"/>
      <c r="H1" s="19"/>
      <c r="I1" s="19"/>
      <c r="J1" s="19"/>
    </row>
    <row r="2" spans="1:10" ht="10" customHeight="1" x14ac:dyDescent="0.2">
      <c r="A2" s="20" t="s">
        <v>8397</v>
      </c>
    </row>
    <row r="3" spans="1:10" ht="10" customHeight="1" x14ac:dyDescent="0.2"/>
    <row r="4" spans="1:10" ht="10" customHeight="1" x14ac:dyDescent="0.2">
      <c r="A4" s="6" t="s">
        <v>8398</v>
      </c>
      <c r="B4" s="7"/>
      <c r="C4" s="7"/>
      <c r="D4" s="7"/>
      <c r="E4" s="7"/>
      <c r="F4" s="7"/>
      <c r="G4" s="7"/>
      <c r="H4" s="7"/>
      <c r="I4" s="7"/>
      <c r="J4" s="7"/>
    </row>
    <row r="5" spans="1:10" ht="10" customHeight="1" x14ac:dyDescent="0.2">
      <c r="A5" s="28"/>
      <c r="B5" s="29" t="s">
        <v>50</v>
      </c>
      <c r="C5" s="28"/>
      <c r="D5" s="28"/>
      <c r="E5" s="28"/>
      <c r="F5" s="28"/>
      <c r="G5" s="28"/>
      <c r="H5" s="28"/>
      <c r="I5" s="28"/>
      <c r="J5" s="30"/>
    </row>
    <row r="6" spans="1:10" ht="10" customHeight="1" x14ac:dyDescent="0.2">
      <c r="A6" s="15" t="s">
        <v>15</v>
      </c>
      <c r="B6" s="31" t="s">
        <v>120</v>
      </c>
      <c r="C6" s="15" t="s">
        <v>144</v>
      </c>
      <c r="D6" s="15" t="s">
        <v>150</v>
      </c>
      <c r="E6" s="15" t="s">
        <v>168</v>
      </c>
      <c r="F6" s="15" t="s">
        <v>215</v>
      </c>
      <c r="G6" s="15" t="s">
        <v>197</v>
      </c>
      <c r="H6" s="15" t="s">
        <v>203</v>
      </c>
      <c r="I6" s="15" t="s">
        <v>227</v>
      </c>
      <c r="J6" s="31" t="s">
        <v>8327</v>
      </c>
    </row>
    <row r="7" spans="1:10" ht="10" customHeight="1" x14ac:dyDescent="0.2">
      <c r="A7" s="16" t="s">
        <v>351</v>
      </c>
      <c r="B7" s="34">
        <f>SUMIFS(JB_26BV,JB_B,1,JB_EX,"P-5c",JB_CC,"Plan Costs",JB_H,"DDG",JB_RC,"ALT")</f>
        <v>175748</v>
      </c>
      <c r="C7" s="17">
        <f>SUMIFS(JB_26BV,JB_B,1,JB_EX,"P-5c",JB_CC,"Plan Costs",JB_H,"FFG",JB_RC,"ALT")</f>
        <v>227249</v>
      </c>
      <c r="D7" s="17">
        <f>SUMIFS(JB_26BV,JB_B,1,JB_EX,"P-5c",JB_CC,"Plan Costs",JB_H,"LPD",JB_RC,"ALT")</f>
        <v>0</v>
      </c>
      <c r="E7" s="17">
        <f>SUMIFS(JB_26BV,JB_B,1,JB_EX,"P-5c",JB_CC,"Plan Costs",JB_H,"LHA",JB_RC,"ALT")</f>
        <v>125000</v>
      </c>
      <c r="F7" s="17">
        <f>SUMIFS(JB_26BV,JB_B,1,JB_EX,"P-5c",JB_CC,"Plan Costs",JB_H,"T-AGOS",JB_RC,"ALT")</f>
        <v>113906</v>
      </c>
      <c r="G7" s="17">
        <f>SUMIFS(JB_26BV,JB_B,1,JB_EX,"P-5c",JB_CC,"Plan Costs",JB_H,"T-EPF",JB_RC,"ALT")</f>
        <v>27000</v>
      </c>
      <c r="H7" s="17">
        <f>SUMIFS(JB_26BV,JB_B,1,JB_EX,"P-5c",JB_CC,"Plan Costs",JB_H,"T-AO",JB_RC,"ALT")</f>
        <v>0</v>
      </c>
      <c r="I7" s="17">
        <f>SUMIFS(JB_26BV,JB_B,1,JB_EX,"P-5c",JB_CC,"Plan Costs",JB_H,"T-ATS",JB_RC,"ALT")</f>
        <v>0</v>
      </c>
      <c r="J7" s="34">
        <f t="shared" ref="J7:J13" si="0">SUM(B7:I7)</f>
        <v>668903</v>
      </c>
    </row>
    <row r="8" spans="1:10" ht="10" customHeight="1" x14ac:dyDescent="0.2">
      <c r="A8" s="16" t="s">
        <v>179</v>
      </c>
      <c r="B8" s="34">
        <f>SUMIFS(JB_26BV,JB_B,1,JB_EX,"P-5c",JB_CC,"Basic Construction",JB_H,"DDG",JB_RC,"ALT")</f>
        <v>4840767</v>
      </c>
      <c r="C8" s="17">
        <f>SUMIFS(JB_26BV,JB_B,1,JB_EX,"P-5c",JB_CC,"Basic Construction",JB_H,"FFG",JB_RC,"ALT")</f>
        <v>1362749</v>
      </c>
      <c r="D8" s="17">
        <f>SUMIFS(JB_26BV,JB_B,1,JB_EX,"P-5c",JB_CC,"Basic Construction",JB_H,"LPD",JB_RC,"ALT")</f>
        <v>1661620</v>
      </c>
      <c r="E8" s="17">
        <f>SUMIFS(JB_26BV,JB_B,1,JB_EX,"P-5c",JB_CC,"Basic Construction",JB_H,"LHA",JB_RC,"ALT")</f>
        <v>350118</v>
      </c>
      <c r="F8" s="17">
        <f>SUMIFS(JB_26BV,JB_B,1,JB_EX,"P-5c",JB_CC,"Basic Construction",JB_H,"T-AGOS",JB_RC,"ALT")</f>
        <v>460560</v>
      </c>
      <c r="G8" s="17">
        <f>SUMIFS(JB_26BV,JB_B,1,JB_EX,"P-5c",JB_CC,"Basic Construction",JB_H,"T-EPF",JB_RC,"ALT")</f>
        <v>537663</v>
      </c>
      <c r="H8" s="17">
        <f>SUMIFS(JB_26BV,JB_B,1,JB_EX,"P-5c",JB_CC,"Basic Construction",JB_H,"T-AO",JB_RC,"ALT")</f>
        <v>8346</v>
      </c>
      <c r="I8" s="17">
        <f>SUMIFS(JB_26BV,JB_B,1,JB_EX,"P-5c",JB_CC,"Basic Construction",JB_H,"T-ATS",JB_RC,"ALT")</f>
        <v>82816</v>
      </c>
      <c r="J8" s="34">
        <f t="shared" si="0"/>
        <v>9304639</v>
      </c>
    </row>
    <row r="9" spans="1:10" ht="10" customHeight="1" x14ac:dyDescent="0.2">
      <c r="A9" s="16" t="s">
        <v>358</v>
      </c>
      <c r="B9" s="34">
        <f>SUMIFS(JB_26BV,JB_B,1,JB_EX,"P-5c",JB_CC,"Change Orders",JB_H,"DDG",JB_RC,"ALT")</f>
        <v>273564</v>
      </c>
      <c r="C9" s="17">
        <f>SUMIFS(JB_26BV,JB_B,1,JB_EX,"P-5c",JB_CC,"Change Orders",JB_H,"FFG",JB_RC,"ALT")</f>
        <v>31119</v>
      </c>
      <c r="D9" s="17">
        <f>SUMIFS(JB_26BV,JB_B,1,JB_EX,"P-5c",JB_CC,"Change Orders",JB_H,"LPD",JB_RC,"ALT")</f>
        <v>35000</v>
      </c>
      <c r="E9" s="17">
        <f>SUMIFS(JB_26BV,JB_B,1,JB_EX,"P-5c",JB_CC,"Change Orders",JB_H,"LHA",JB_RC,"ALT")</f>
        <v>70183</v>
      </c>
      <c r="F9" s="17">
        <f>SUMIFS(JB_26BV,JB_B,1,JB_EX,"P-5c",JB_CC,"Change Orders",JB_H,"T-AGOS",JB_RC,"ALT")</f>
        <v>13662</v>
      </c>
      <c r="G9" s="17">
        <f>SUMIFS(JB_26BV,JB_B,1,JB_EX,"P-5c",JB_CC,"Change Orders",JB_H,"T-EPF",JB_RC,"ALT")</f>
        <v>10753</v>
      </c>
      <c r="H9" s="17">
        <f>SUMIFS(JB_26BV,JB_B,1,JB_EX,"P-5c",JB_CC,"Change Orders",JB_H,"T-AO",JB_RC,"ALT")</f>
        <v>7900</v>
      </c>
      <c r="I9" s="17">
        <f>SUMIFS(JB_26BV,JB_B,1,JB_EX,"P-5c",JB_CC,"Change Orders",JB_H,"T-ATS",JB_RC,"ALT")</f>
        <v>2493</v>
      </c>
      <c r="J9" s="34">
        <f t="shared" si="0"/>
        <v>444674</v>
      </c>
    </row>
    <row r="10" spans="1:10" ht="10" customHeight="1" x14ac:dyDescent="0.2">
      <c r="A10" s="16" t="s">
        <v>361</v>
      </c>
      <c r="B10" s="34">
        <f>SUMIFS(JB_26BV,JB_B,1,JB_EX,"P-5c",JB_CC,"Electronics",JB_H,"DDG",JB_RC,"ALT")</f>
        <v>935490</v>
      </c>
      <c r="C10" s="17">
        <f>SUMIFS(JB_26BV,JB_B,1,JB_EX,"P-5c",JB_CC,"Electronics",JB_H,"FFG",JB_RC,"ALT")</f>
        <v>614217</v>
      </c>
      <c r="D10" s="17">
        <f>SUMIFS(JB_26BV,JB_B,1,JB_EX,"P-5c",JB_CC,"Electronics",JB_H,"LPD",JB_RC,"ALT")</f>
        <v>244582</v>
      </c>
      <c r="E10" s="17">
        <f>SUMIFS(JB_26BV,JB_B,1,JB_EX,"P-5c",JB_CC,"Electronics",JB_H,"LHA",JB_RC,"ALT")</f>
        <v>335010</v>
      </c>
      <c r="F10" s="17">
        <f>SUMIFS(JB_26BV,JB_B,1,JB_EX,"P-5c",JB_CC,"Electronics",JB_H,"T-AGOS",JB_RC,"ALT")</f>
        <v>115983</v>
      </c>
      <c r="G10" s="17">
        <f>SUMIFS(JB_26BV,JB_B,1,JB_EX,"P-5c",JB_CC,"Electronics",JB_H,"T-EPF",JB_RC,"ALT")</f>
        <v>56504</v>
      </c>
      <c r="H10" s="17">
        <f>SUMIFS(JB_26BV,JB_B,1,JB_EX,"P-5c",JB_CC,"Electronics",JB_H,"T-AO",JB_RC,"ALT")</f>
        <v>51586</v>
      </c>
      <c r="I10" s="17">
        <f>SUMIFS(JB_26BV,JB_B,1,JB_EX,"P-5c",JB_CC,"Electronics",JB_H,"T-ATS",JB_RC,"ALT")</f>
        <v>5696</v>
      </c>
      <c r="J10" s="34">
        <f t="shared" si="0"/>
        <v>2359068</v>
      </c>
    </row>
    <row r="11" spans="1:10" ht="10" customHeight="1" x14ac:dyDescent="0.2">
      <c r="A11" s="16" t="s">
        <v>367</v>
      </c>
      <c r="B11" s="34">
        <f>SUMIFS(JB_26BV,JB_B,1,JB_EX,"P-5c",JB_CC,"Hull, Mechanical, and Electrical",JB_H,"DDG",JB_RC,"ALT")</f>
        <v>154029</v>
      </c>
      <c r="C11" s="17">
        <f>SUMIFS(JB_26BV,JB_B,1,JB_EX,"P-5c",JB_CC,"Hull, Mechanical, and Electrical",JB_H,"FFG",JB_RC,"ALT")</f>
        <v>0</v>
      </c>
      <c r="D11" s="17">
        <f>SUMIFS(JB_26BV,JB_B,1,JB_EX,"P-5c",JB_CC,"Hull, Mechanical, and Electrical",JB_H,"LPD",JB_RC,"ALT")</f>
        <v>20289</v>
      </c>
      <c r="E11" s="17">
        <f>SUMIFS(JB_26BV,JB_B,1,JB_EX,"P-5c",JB_CC,"Hull, Mechanical, and Electrical",JB_H,"LHA",JB_RC,"ALT")</f>
        <v>61882</v>
      </c>
      <c r="F11" s="17">
        <f>SUMIFS(JB_26BV,JB_B,1,JB_EX,"P-5c",JB_CC,"Hull, Mechanical, and Electrical",JB_H,"T-AGOS",JB_RC,"ALT")</f>
        <v>22000</v>
      </c>
      <c r="G11" s="17">
        <f>SUMIFS(JB_26BV,JB_B,1,JB_EX,"P-5c",JB_CC,"Hull, Mechanical, and Electrical",JB_H,"T-EPF",JB_RC,"ALT")</f>
        <v>26720</v>
      </c>
      <c r="H11" s="17">
        <f>SUMIFS(JB_26BV,JB_B,1,JB_EX,"P-5c",JB_CC,"Hull, Mechanical, and Electrical",JB_H,"T-AO",JB_RC,"ALT")</f>
        <v>15531</v>
      </c>
      <c r="I11" s="17">
        <f>SUMIFS(JB_26BV,JB_B,1,JB_EX,"P-5c",JB_CC,"Hull, Mechanical, and Electrical",JB_H,"T-ATS",JB_RC,"ALT")</f>
        <v>0</v>
      </c>
      <c r="J11" s="34">
        <f t="shared" si="0"/>
        <v>300451</v>
      </c>
    </row>
    <row r="12" spans="1:10" ht="10" customHeight="1" x14ac:dyDescent="0.2">
      <c r="A12" s="16" t="s">
        <v>370</v>
      </c>
      <c r="B12" s="34">
        <f>SUMIFS(JB_26BV,JB_B,1,JB_EX,"P-5c",JB_CC,"Ordnance",JB_H,"DDG",JB_RC,"ALT")</f>
        <v>3651082</v>
      </c>
      <c r="C12" s="17">
        <f>SUMIFS(JB_26BV,JB_B,1,JB_EX,"P-5c",JB_CC,"Ordnance",JB_H,"FFG",JB_RC,"ALT")</f>
        <v>121197</v>
      </c>
      <c r="D12" s="17">
        <f>SUMIFS(JB_26BV,JB_B,1,JB_EX,"P-5c",JB_CC,"Ordnance",JB_H,"LPD",JB_RC,"ALT")</f>
        <v>101472</v>
      </c>
      <c r="E12" s="17">
        <f>SUMIFS(JB_26BV,JB_B,1,JB_EX,"P-5c",JB_CC,"Ordnance",JB_H,"LHA",JB_RC,"ALT")</f>
        <v>168742</v>
      </c>
      <c r="F12" s="17">
        <f>SUMIFS(JB_26BV,JB_B,1,JB_EX,"P-5c",JB_CC,"Ordnance",JB_H,"T-AGOS",JB_RC,"ALT")</f>
        <v>0</v>
      </c>
      <c r="G12" s="17">
        <f>SUMIFS(JB_26BV,JB_B,1,JB_EX,"P-5c",JB_CC,"Ordnance",JB_H,"T-EPF",JB_RC,"ALT")</f>
        <v>0</v>
      </c>
      <c r="H12" s="17">
        <f>SUMIFS(JB_26BV,JB_B,1,JB_EX,"P-5c",JB_CC,"Ordnance",JB_H,"T-AO",JB_RC,"ALT")</f>
        <v>0</v>
      </c>
      <c r="I12" s="17">
        <f>SUMIFS(JB_26BV,JB_B,1,JB_EX,"P-5c",JB_CC,"Ordnance",JB_H,"T-ATS",JB_RC,"ALT")</f>
        <v>0</v>
      </c>
      <c r="J12" s="34">
        <f t="shared" si="0"/>
        <v>4042493</v>
      </c>
    </row>
    <row r="13" spans="1:10" ht="10" customHeight="1" x14ac:dyDescent="0.2">
      <c r="A13" s="16" t="s">
        <v>373</v>
      </c>
      <c r="B13" s="34">
        <f>SUMIFS(JB_26BV,JB_B,1,JB_EX,"P-5c",JB_CC,"Other Cost",JB_H,"DDG",JB_RC,"ALT")</f>
        <v>170688</v>
      </c>
      <c r="C13" s="17">
        <f>SUMIFS(JB_26BV,JB_B,1,JB_EX,"P-5c",JB_CC,"Other Cost",JB_H,"FFG",JB_RC,"ALT")</f>
        <v>99993</v>
      </c>
      <c r="D13" s="17">
        <f>SUMIFS(JB_26BV,JB_B,1,JB_EX,"P-5c",JB_CC,"Other Cost",JB_H,"LPD",JB_RC,"ALT")</f>
        <v>7674</v>
      </c>
      <c r="E13" s="17">
        <f>SUMIFS(JB_26BV,JB_B,1,JB_EX,"P-5c",JB_CC,"Other Cost",JB_H,"LHA",JB_RC,"ALT")</f>
        <v>69439</v>
      </c>
      <c r="F13" s="17">
        <f>SUMIFS(JB_26BV,JB_B,1,JB_EX,"P-5c",JB_CC,"Other Cost",JB_H,"T-AGOS",JB_RC,"ALT")</f>
        <v>0</v>
      </c>
      <c r="G13" s="17">
        <f>SUMIFS(JB_26BV,JB_B,1,JB_EX,"P-5c",JB_CC,"Other Cost",JB_H,"T-EPF",JB_RC,"ALT")</f>
        <v>13360</v>
      </c>
      <c r="H13" s="17">
        <f>SUMIFS(JB_26BV,JB_B,1,JB_EX,"P-5c",JB_CC,"Other Cost",JB_H,"T-AO",JB_RC,"ALT")</f>
        <v>20000</v>
      </c>
      <c r="I13" s="17">
        <f>SUMIFS(JB_26BV,JB_B,1,JB_EX,"P-5c",JB_CC,"Other Cost",JB_H,"T-ATS",JB_RC,"ALT")</f>
        <v>0</v>
      </c>
      <c r="J13" s="34">
        <f t="shared" si="0"/>
        <v>381154</v>
      </c>
    </row>
    <row r="14" spans="1:10" ht="10" customHeight="1" x14ac:dyDescent="0.2">
      <c r="A14" s="21" t="s">
        <v>8391</v>
      </c>
      <c r="B14" s="33">
        <f t="shared" ref="B14:J14" si="1">SUM(B7:B13)</f>
        <v>10201368</v>
      </c>
      <c r="C14" s="22">
        <f t="shared" si="1"/>
        <v>2456524</v>
      </c>
      <c r="D14" s="22">
        <f t="shared" si="1"/>
        <v>2070637</v>
      </c>
      <c r="E14" s="22">
        <f t="shared" si="1"/>
        <v>1180374</v>
      </c>
      <c r="F14" s="22">
        <f t="shared" si="1"/>
        <v>726111</v>
      </c>
      <c r="G14" s="22">
        <f t="shared" si="1"/>
        <v>672000</v>
      </c>
      <c r="H14" s="22">
        <f t="shared" si="1"/>
        <v>103363</v>
      </c>
      <c r="I14" s="22">
        <f t="shared" si="1"/>
        <v>91005</v>
      </c>
      <c r="J14" s="33">
        <f t="shared" si="1"/>
        <v>17501382</v>
      </c>
    </row>
    <row r="15" spans="1:10" ht="10" customHeight="1" x14ac:dyDescent="0.2"/>
    <row r="16" spans="1:10" ht="10" customHeight="1" x14ac:dyDescent="0.2"/>
    <row r="17" spans="1:4" ht="10" customHeight="1" x14ac:dyDescent="0.2">
      <c r="A17" s="6" t="s">
        <v>8399</v>
      </c>
      <c r="B17" s="7"/>
      <c r="C17" s="7"/>
      <c r="D17" s="7"/>
    </row>
    <row r="18" spans="1:4" ht="10" customHeight="1" x14ac:dyDescent="0.2">
      <c r="A18" s="20" t="s">
        <v>8400</v>
      </c>
    </row>
    <row r="19" spans="1:4" ht="10" customHeight="1" x14ac:dyDescent="0.2"/>
    <row r="20" spans="1:4" ht="10" customHeight="1" x14ac:dyDescent="0.2">
      <c r="A20" s="35" t="s">
        <v>8361</v>
      </c>
      <c r="B20" s="28"/>
      <c r="C20" s="28"/>
      <c r="D20" s="28"/>
    </row>
    <row r="21" spans="1:4" ht="10" customHeight="1" x14ac:dyDescent="0.2">
      <c r="A21" s="15" t="s">
        <v>8401</v>
      </c>
      <c r="B21" s="15" t="s">
        <v>15</v>
      </c>
      <c r="C21" s="15" t="s">
        <v>8319</v>
      </c>
      <c r="D21" s="15" t="s">
        <v>8402</v>
      </c>
    </row>
    <row r="22" spans="1:4" ht="10" customHeight="1" x14ac:dyDescent="0.2">
      <c r="A22" s="16" t="s">
        <v>2894</v>
      </c>
      <c r="B22" s="20" t="s">
        <v>370</v>
      </c>
      <c r="C22" s="38">
        <f>SUMIFS(JB_26BV,JB_B,1,JB_EX,"P-8a",JB_CC,"Ordnance",JB_H,"DDG",JB_CE,"AN/SPY-6(V)1 (AMDR)",JB_RC,"ALT")</f>
        <v>692876</v>
      </c>
      <c r="D22" s="26">
        <f t="shared" ref="D22:D53" si="2">IFERROR(C22/C$80,0)</f>
        <v>0.1413782788592873</v>
      </c>
    </row>
    <row r="23" spans="1:4" ht="10" customHeight="1" x14ac:dyDescent="0.2">
      <c r="A23" s="16" t="s">
        <v>2891</v>
      </c>
      <c r="B23" s="20" t="s">
        <v>370</v>
      </c>
      <c r="C23" s="38">
        <f>SUMIFS(JB_26BV,JB_B,1,JB_EX,"P-8a",JB_CC,"Ordnance",JB_H,"DDG",JB_CE,"AEGIS WEAPON SYSTEM (MK-7)",JB_RC,"ALT")</f>
        <v>465717</v>
      </c>
      <c r="D23" s="26">
        <f t="shared" si="2"/>
        <v>9.5027491059743313E-2</v>
      </c>
    </row>
    <row r="24" spans="1:4" ht="10" customHeight="1" x14ac:dyDescent="0.2">
      <c r="A24" s="16" t="s">
        <v>2670</v>
      </c>
      <c r="B24" s="20" t="s">
        <v>370</v>
      </c>
      <c r="C24" s="38">
        <f>SUMIFS(JB_26BV,JB_B,1,JB_EX,"P-8a",JB_CC,"Ordnance",JB_H,"DDG",JB_CE,"ADVANCED GUN SYSTEM (AGS)",JB_RC,"ALT")</f>
        <v>248596</v>
      </c>
      <c r="D24" s="26">
        <f t="shared" si="2"/>
        <v>5.0724912699102565E-2</v>
      </c>
    </row>
    <row r="25" spans="1:4" ht="10" customHeight="1" x14ac:dyDescent="0.2">
      <c r="A25" s="16" t="s">
        <v>2897</v>
      </c>
      <c r="B25" s="20" t="s">
        <v>370</v>
      </c>
      <c r="C25" s="38">
        <f>SUMIFS(JB_26BV,JB_B,1,JB_EX,"P-8a",JB_CC,"Ordnance",JB_H,"DDG",JB_CE,"VLS MK 41",JB_RC,"ALT")</f>
        <v>219986</v>
      </c>
      <c r="D25" s="26">
        <f t="shared" si="2"/>
        <v>4.4887168920758086E-2</v>
      </c>
    </row>
    <row r="26" spans="1:4" ht="10" customHeight="1" x14ac:dyDescent="0.2">
      <c r="A26" s="16" t="s">
        <v>2924</v>
      </c>
      <c r="B26" s="20" t="s">
        <v>370</v>
      </c>
      <c r="C26" s="38">
        <f>SUMIFS(JB_26BV,JB_B,1,JB_EX,"P-8a",JB_CC,"Ordnance",JB_H,"DDG",JB_CE,"MISC. ORDNANCE",JB_RC,"ALT")</f>
        <v>178020</v>
      </c>
      <c r="D26" s="26">
        <f t="shared" si="2"/>
        <v>3.6324192499856148E-2</v>
      </c>
    </row>
    <row r="27" spans="1:4" ht="10" customHeight="1" x14ac:dyDescent="0.2">
      <c r="A27" s="16" t="s">
        <v>2900</v>
      </c>
      <c r="B27" s="20" t="s">
        <v>370</v>
      </c>
      <c r="C27" s="38">
        <f>SUMIFS(JB_26BV,JB_B,1,JB_EX,"P-8a",JB_CC,"Ordnance",JB_H,"DDG",JB_CE,"MK 45 Light Weight Gun (LWG)",JB_RC,"ALT")</f>
        <v>90752</v>
      </c>
      <c r="D27" s="26">
        <f t="shared" si="2"/>
        <v>1.8517543634125069E-2</v>
      </c>
    </row>
    <row r="28" spans="1:4" ht="10" customHeight="1" x14ac:dyDescent="0.2">
      <c r="A28" s="16" t="s">
        <v>2903</v>
      </c>
      <c r="B28" s="20" t="s">
        <v>370</v>
      </c>
      <c r="C28" s="38">
        <f>SUMIFS(JB_26BV,JB_B,1,JB_EX,"P-8a",JB_CC,"Ordnance",JB_H,"DDG",JB_CE,"MK 37 TOMAHAWK",JB_RC,"ALT")</f>
        <v>51003</v>
      </c>
      <c r="D28" s="26">
        <f t="shared" si="2"/>
        <v>1.0406936243512882E-2</v>
      </c>
    </row>
    <row r="29" spans="1:4" ht="10" customHeight="1" x14ac:dyDescent="0.2">
      <c r="A29" s="16" t="s">
        <v>2909</v>
      </c>
      <c r="B29" s="20" t="s">
        <v>370</v>
      </c>
      <c r="C29" s="38">
        <f>SUMIFS(JB_26BV,JB_B,1,JB_EX,"P-8a",JB_CC,"Ordnance",JB_H,"DDG",JB_CE,"SPQ-9B Radar",JB_RC,"ALT")</f>
        <v>32923</v>
      </c>
      <c r="D29" s="26">
        <f t="shared" si="2"/>
        <v>6.7177923248666668E-3</v>
      </c>
    </row>
    <row r="30" spans="1:4" ht="10" customHeight="1" x14ac:dyDescent="0.2">
      <c r="A30" s="16" t="s">
        <v>2906</v>
      </c>
      <c r="B30" s="20" t="s">
        <v>370</v>
      </c>
      <c r="C30" s="38">
        <f>SUMIFS(JB_26BV,JB_B,1,JB_EX,"P-8a",JB_CC,"Ordnance",JB_H,"DDG",JB_CE,"PHALANX (CIWS)",JB_RC,"ALT")</f>
        <v>29127</v>
      </c>
      <c r="D30" s="26">
        <f t="shared" si="2"/>
        <v>5.9432353384075388E-3</v>
      </c>
    </row>
    <row r="31" spans="1:4" ht="10" customHeight="1" x14ac:dyDescent="0.2">
      <c r="A31" s="16" t="s">
        <v>2676</v>
      </c>
      <c r="B31" s="20" t="s">
        <v>370</v>
      </c>
      <c r="C31" s="38">
        <f>SUMIFS(JB_26BV,JB_B,1,JB_EX,"P-8a",JB_CC,"Ordnance",JB_H,"DDG",JB_CE,"DDG 1002 Missile Tubes (CPS)",JB_RC,"ALT")</f>
        <v>26000</v>
      </c>
      <c r="D31" s="26">
        <f t="shared" si="2"/>
        <v>5.3051848387611492E-3</v>
      </c>
    </row>
    <row r="32" spans="1:4" ht="10" customHeight="1" x14ac:dyDescent="0.2">
      <c r="A32" s="16" t="s">
        <v>2912</v>
      </c>
      <c r="B32" s="20" t="s">
        <v>370</v>
      </c>
      <c r="C32" s="38">
        <f>SUMIFS(JB_26BV,JB_B,1,JB_EX,"P-8a",JB_CC,"Ordnance",JB_H,"DDG",JB_CE,"MK-38 Gun Weapon System (GWS)",JB_RC,"ALT")</f>
        <v>23031</v>
      </c>
      <c r="D32" s="26">
        <f t="shared" si="2"/>
        <v>4.6993735392887705E-3</v>
      </c>
    </row>
    <row r="33" spans="1:4" ht="10" customHeight="1" x14ac:dyDescent="0.2">
      <c r="A33" s="16" t="s">
        <v>2679</v>
      </c>
      <c r="B33" s="20" t="s">
        <v>370</v>
      </c>
      <c r="C33" s="38">
        <f>SUMIFS(JB_26BV,JB_B,1,JB_EX,"P-8a",JB_CC,"Ordnance",JB_H,"DDG",JB_CE,"DDG 1002 Rubber Boots, Hatches, Shock Isolation (CPS)",JB_RC,"ALT")</f>
        <v>14420</v>
      </c>
      <c r="D33" s="26">
        <f t="shared" si="2"/>
        <v>2.9423371298052223E-3</v>
      </c>
    </row>
    <row r="34" spans="1:4" ht="10" customHeight="1" x14ac:dyDescent="0.2">
      <c r="A34" s="16" t="s">
        <v>2673</v>
      </c>
      <c r="B34" s="20" t="s">
        <v>370</v>
      </c>
      <c r="C34" s="38">
        <f>SUMIFS(JB_26BV,JB_B,1,JB_EX,"P-8a",JB_CC,"Ordnance",JB_H,"DDG",JB_CE,"CLOSE-IN GUN SYSTEM (CIGS)",JB_RC,"ALT")</f>
        <v>13795</v>
      </c>
      <c r="D34" s="26">
        <f t="shared" si="2"/>
        <v>2.8148086481042328E-3</v>
      </c>
    </row>
    <row r="35" spans="1:4" ht="10" customHeight="1" x14ac:dyDescent="0.2">
      <c r="A35" s="16" t="s">
        <v>2921</v>
      </c>
      <c r="B35" s="20" t="s">
        <v>370</v>
      </c>
      <c r="C35" s="38">
        <f>SUMIFS(JB_26BV,JB_B,1,JB_EX,"P-8a",JB_CC,"Ordnance",JB_H,"DDG",JB_CE,"MK 160 Gun Fire Control System (GFCS)",JB_RC,"ALT")</f>
        <v>11568</v>
      </c>
      <c r="D35" s="26">
        <f t="shared" si="2"/>
        <v>2.3603991621072686E-3</v>
      </c>
    </row>
    <row r="36" spans="1:4" ht="10" customHeight="1" x14ac:dyDescent="0.2">
      <c r="A36" s="16" t="s">
        <v>2918</v>
      </c>
      <c r="B36" s="20" t="s">
        <v>370</v>
      </c>
      <c r="C36" s="38">
        <f>SUMIFS(JB_26BV,JB_B,1,JB_EX,"P-8a",JB_CC,"Ordnance",JB_H,"DDG",JB_CE,"ELECTRO-OPTICAL SYSTEM",JB_RC,"ALT")</f>
        <v>11125</v>
      </c>
      <c r="D36" s="26">
        <f t="shared" si="2"/>
        <v>2.2700069742776071E-3</v>
      </c>
    </row>
    <row r="37" spans="1:4" ht="10" customHeight="1" x14ac:dyDescent="0.2">
      <c r="A37" s="16" t="s">
        <v>2915</v>
      </c>
      <c r="B37" s="20" t="s">
        <v>370</v>
      </c>
      <c r="C37" s="38">
        <f>SUMIFS(JB_26BV,JB_B,1,JB_EX,"P-8a",JB_CC,"Ordnance",JB_H,"DDG",JB_CE,"MK 32 Surface Vessel Torpedo Tubes (SVTT)",JB_RC,"ALT")</f>
        <v>10513</v>
      </c>
      <c r="D37" s="26">
        <f t="shared" si="2"/>
        <v>2.1451310849959987E-3</v>
      </c>
    </row>
    <row r="38" spans="1:4" ht="10" customHeight="1" x14ac:dyDescent="0.2">
      <c r="A38" s="16" t="s">
        <v>2636</v>
      </c>
      <c r="B38" s="20" t="s">
        <v>361</v>
      </c>
      <c r="C38" s="38">
        <f>SUMIFS(JB_26BV,JB_B,1,JB_EX,"P-8a",JB_CC,"Electronics",JB_H,"DDG",JB_CE,"VERTICAL LAUNCHING SYSTEM (VLS) MK 57 4-CELL MODULES",JB_RC,"ALT")</f>
        <v>302815</v>
      </c>
      <c r="D38" s="26">
        <f t="shared" si="2"/>
        <v>6.1788059498056061E-2</v>
      </c>
    </row>
    <row r="39" spans="1:4" ht="10" customHeight="1" x14ac:dyDescent="0.2">
      <c r="A39" s="16" t="s">
        <v>2609</v>
      </c>
      <c r="B39" s="20" t="s">
        <v>361</v>
      </c>
      <c r="C39" s="38">
        <f>SUMIFS(JB_26BV,JB_B,1,JB_EX,"P-8a",JB_CC,"Electronics",JB_H,"DDG",JB_CE,"MULTI FUNCTION RADAR (MFR)",JB_RC,"ALT")</f>
        <v>297999</v>
      </c>
      <c r="D39" s="26">
        <f t="shared" si="2"/>
        <v>6.0805376029460914E-2</v>
      </c>
    </row>
    <row r="40" spans="1:4" ht="10" customHeight="1" x14ac:dyDescent="0.2">
      <c r="A40" s="16" t="s">
        <v>2615</v>
      </c>
      <c r="B40" s="20" t="s">
        <v>361</v>
      </c>
      <c r="C40" s="38">
        <f>SUMIFS(JB_26BV,JB_B,1,JB_EX,"P-8a",JB_CC,"Electronics",JB_H,"DDG",JB_CE,"TOTAL SHIP COMPUTING ENVIRONMENT (TSCE)",JB_RC,"ALT")</f>
        <v>259191</v>
      </c>
      <c r="D40" s="26">
        <f t="shared" si="2"/>
        <v>5.2886775520897739E-2</v>
      </c>
    </row>
    <row r="41" spans="1:4" ht="10" customHeight="1" x14ac:dyDescent="0.2">
      <c r="A41" s="16" t="s">
        <v>2830</v>
      </c>
      <c r="B41" s="20" t="s">
        <v>361</v>
      </c>
      <c r="C41" s="38">
        <f>SUMIFS(JB_26BV,JB_B,1,JB_EX,"P-8a",JB_CC,"Electronics",JB_H,"DDG",JB_CE,"AN/SLQ-32 SEWIP V(7)",JB_RC,"ALT")</f>
        <v>247277</v>
      </c>
      <c r="D41" s="26">
        <f t="shared" si="2"/>
        <v>5.0455776591320799E-2</v>
      </c>
    </row>
    <row r="42" spans="1:4" ht="10" customHeight="1" x14ac:dyDescent="0.2">
      <c r="A42" s="16" t="s">
        <v>2836</v>
      </c>
      <c r="B42" s="20" t="s">
        <v>361</v>
      </c>
      <c r="C42" s="38">
        <f>SUMIFS(JB_26BV,JB_B,1,JB_EX,"P-8a",JB_CC,"Electronics",JB_H,"DDG",JB_CE,"EXCOMM",JB_RC,"ALT")</f>
        <v>194160</v>
      </c>
      <c r="D42" s="26">
        <f t="shared" si="2"/>
        <v>3.9617488011302493E-2</v>
      </c>
    </row>
    <row r="43" spans="1:4" ht="10" customHeight="1" x14ac:dyDescent="0.2">
      <c r="A43" s="16" t="s">
        <v>2827</v>
      </c>
      <c r="B43" s="20" t="s">
        <v>361</v>
      </c>
      <c r="C43" s="38">
        <f>SUMIFS(JB_26BV,JB_B,1,JB_EX,"P-8a",JB_CC,"Electronics",JB_H,"DDG",JB_CE,"SQQ 89 ASW",JB_RC,"ALT")</f>
        <v>177416</v>
      </c>
      <c r="D43" s="26">
        <f t="shared" si="2"/>
        <v>3.6200948975140312E-2</v>
      </c>
    </row>
    <row r="44" spans="1:4" ht="10" customHeight="1" x14ac:dyDescent="0.2">
      <c r="A44" s="16" t="s">
        <v>2645</v>
      </c>
      <c r="B44" s="20" t="s">
        <v>361</v>
      </c>
      <c r="C44" s="38">
        <f>SUMIFS(JB_26BV,JB_B,1,JB_EX,"P-8a",JB_CC,"Electronics",JB_H,"DDG",JB_CE,"MISSION SYSTEM ENGR INTEGR &amp; TEST (MSEIT)",JB_RC,"ALT")</f>
        <v>132510</v>
      </c>
      <c r="D44" s="26">
        <f t="shared" si="2"/>
        <v>2.7038078576316921E-2</v>
      </c>
    </row>
    <row r="45" spans="1:4" ht="10" customHeight="1" x14ac:dyDescent="0.2">
      <c r="A45" s="16" t="s">
        <v>2648</v>
      </c>
      <c r="B45" s="20" t="s">
        <v>361</v>
      </c>
      <c r="C45" s="38">
        <f>SUMIFS(JB_26BV,JB_B,1,JB_EX,"P-8a",JB_CC,"Electronics",JB_H,"DDG",JB_CE,"MISSION SYSTEM ACTIVATION",JB_RC,"ALT")</f>
        <v>130838</v>
      </c>
      <c r="D45" s="26">
        <f t="shared" si="2"/>
        <v>2.6696914382070433E-2</v>
      </c>
    </row>
    <row r="46" spans="1:4" ht="10" customHeight="1" x14ac:dyDescent="0.2">
      <c r="A46" s="16" t="s">
        <v>2627</v>
      </c>
      <c r="B46" s="20" t="s">
        <v>361</v>
      </c>
      <c r="C46" s="38">
        <f>SUMIFS(JB_26BV,JB_B,1,JB_EX,"P-8a",JB_CC,"Electronics",JB_H,"DDG",JB_CE,"SHIP CONTROL SYSTEM (SCS)",JB_RC,"ALT")</f>
        <v>117229</v>
      </c>
      <c r="D46" s="26">
        <f t="shared" si="2"/>
        <v>2.3920058210120415E-2</v>
      </c>
    </row>
    <row r="47" spans="1:4" ht="10" customHeight="1" x14ac:dyDescent="0.2">
      <c r="A47" s="16" t="s">
        <v>2606</v>
      </c>
      <c r="B47" s="20" t="s">
        <v>361</v>
      </c>
      <c r="C47" s="38">
        <f>SUMIFS(JB_26BV,JB_B,1,JB_EX,"P-8a",JB_CC,"Electronics",JB_H,"DDG",JB_CE,"INTEGRATED UNDERSEA WARFARE (IUSW) SYSTEM",JB_RC,"ALT")</f>
        <v>105136</v>
      </c>
      <c r="D47" s="26">
        <f t="shared" si="2"/>
        <v>2.1452535123384315E-2</v>
      </c>
    </row>
    <row r="48" spans="1:4" ht="10" customHeight="1" x14ac:dyDescent="0.2">
      <c r="A48" s="16" t="s">
        <v>2868</v>
      </c>
      <c r="B48" s="20" t="s">
        <v>361</v>
      </c>
      <c r="C48" s="38">
        <f>SUMIFS(JB_26BV,JB_B,1,JB_EX,"P-8a",JB_CC,"Electronics",JB_H,"DDG",JB_CE,"MISC. ELECTRONICS",JB_RC,"ALT")</f>
        <v>94317</v>
      </c>
      <c r="D48" s="26">
        <f t="shared" si="2"/>
        <v>1.9244966093747512E-2</v>
      </c>
    </row>
    <row r="49" spans="1:4" ht="10" customHeight="1" x14ac:dyDescent="0.2">
      <c r="A49" s="16" t="s">
        <v>2603</v>
      </c>
      <c r="B49" s="20" t="s">
        <v>361</v>
      </c>
      <c r="C49" s="38">
        <f>SUMIFS(JB_26BV,JB_B,1,JB_EX,"P-8a",JB_CC,"Electronics",JB_H,"DDG",JB_CE,"EXTERIOR COMMUNICATIONS (EXCOMMS)",JB_RC,"ALT")</f>
        <v>79962</v>
      </c>
      <c r="D49" s="26">
        <f t="shared" si="2"/>
        <v>1.6315891926039192E-2</v>
      </c>
    </row>
    <row r="50" spans="1:4" ht="10" customHeight="1" x14ac:dyDescent="0.2">
      <c r="A50" s="16" t="s">
        <v>1490</v>
      </c>
      <c r="B50" s="20" t="s">
        <v>361</v>
      </c>
      <c r="C50" s="38">
        <f>SUMIFS(JB_26BV,JB_B,1,JB_EX,"P-8a",JB_CC,"Electronics",JB_H,"DDG",JB_CE,"SPECTRAL",JB_RC,"ALT")</f>
        <v>67250</v>
      </c>
      <c r="D50" s="26">
        <f t="shared" si="2"/>
        <v>1.3722064631026435E-2</v>
      </c>
    </row>
    <row r="51" spans="1:4" ht="10" customHeight="1" x14ac:dyDescent="0.2">
      <c r="A51" s="16" t="s">
        <v>2639</v>
      </c>
      <c r="B51" s="20" t="s">
        <v>361</v>
      </c>
      <c r="C51" s="38">
        <f>SUMIFS(JB_26BV,JB_B,1,JB_EX,"P-8a",JB_CC,"Electronics",JB_H,"DDG",JB_CE,"DDG 1002 TSCE MODERNIZATION",JB_RC,"ALT")</f>
        <v>56730</v>
      </c>
      <c r="D51" s="26">
        <f t="shared" si="2"/>
        <v>1.1575505227035385E-2</v>
      </c>
    </row>
    <row r="52" spans="1:4" ht="10" customHeight="1" x14ac:dyDescent="0.2">
      <c r="A52" s="16" t="s">
        <v>2833</v>
      </c>
      <c r="B52" s="20" t="s">
        <v>361</v>
      </c>
      <c r="C52" s="38">
        <f>SUMIFS(JB_26BV,JB_B,1,JB_EX,"P-8a",JB_CC,"Electronics",JB_H,"DDG",JB_CE,"USQ 82(V) GEDMS",JB_RC,"ALT")</f>
        <v>48645</v>
      </c>
      <c r="D52" s="26">
        <f t="shared" si="2"/>
        <v>9.925796787751389E-3</v>
      </c>
    </row>
    <row r="53" spans="1:4" ht="10" customHeight="1" x14ac:dyDescent="0.2">
      <c r="A53" s="16" t="s">
        <v>2618</v>
      </c>
      <c r="B53" s="20" t="s">
        <v>361</v>
      </c>
      <c r="C53" s="38">
        <f>SUMIFS(JB_26BV,JB_B,1,JB_EX,"P-8a",JB_CC,"Electronics",JB_H,"DDG",JB_CE,"ELECTRO-OPTICAL / INFRARED (EO/IR)",JB_RC,"ALT")</f>
        <v>31452</v>
      </c>
      <c r="D53" s="26">
        <f t="shared" si="2"/>
        <v>6.4176412903352185E-3</v>
      </c>
    </row>
    <row r="54" spans="1:4" ht="10" customHeight="1" x14ac:dyDescent="0.2">
      <c r="A54" s="16" t="s">
        <v>2621</v>
      </c>
      <c r="B54" s="20" t="s">
        <v>361</v>
      </c>
      <c r="C54" s="38">
        <f>SUMIFS(JB_26BV,JB_B,1,JB_EX,"P-8a",JB_CC,"Electronics",JB_H,"DDG",JB_CE,"IDENTIFICATION FRIEND OR FOE (IFF)",JB_RC,"ALT")</f>
        <v>28138</v>
      </c>
      <c r="D54" s="26">
        <f t="shared" ref="D54:D85" si="3">IFERROR(C54/C$80,0)</f>
        <v>5.7414342689638929E-3</v>
      </c>
    </row>
    <row r="55" spans="1:4" ht="10" customHeight="1" x14ac:dyDescent="0.2">
      <c r="A55" s="16" t="s">
        <v>2642</v>
      </c>
      <c r="B55" s="20" t="s">
        <v>361</v>
      </c>
      <c r="C55" s="38">
        <f>SUMIFS(JB_26BV,JB_B,1,JB_EX,"P-8a",JB_CC,"Electronics",JB_H,"DDG",JB_CE,"DDG 1002 UNIVERSAL CANISTER ELECTRICAL UNITS (UCEU)",JB_RC,"ALT")</f>
        <v>25600</v>
      </c>
      <c r="D55" s="26">
        <f t="shared" si="3"/>
        <v>5.2235666104725161E-3</v>
      </c>
    </row>
    <row r="56" spans="1:4" ht="10" customHeight="1" x14ac:dyDescent="0.2">
      <c r="A56" s="16" t="s">
        <v>2839</v>
      </c>
      <c r="B56" s="20" t="s">
        <v>361</v>
      </c>
      <c r="C56" s="38">
        <f>SUMIFS(JB_26BV,JB_B,1,JB_EX,"P-8a",JB_CC,"Electronics",JB_H,"DDG",JB_CE,"AN/UPX 29(V) IFF and TACAN",JB_RC,"ALT")</f>
        <v>24514</v>
      </c>
      <c r="D56" s="26">
        <f t="shared" si="3"/>
        <v>5.0019731206688775E-3</v>
      </c>
    </row>
    <row r="57" spans="1:4" ht="10" customHeight="1" x14ac:dyDescent="0.2">
      <c r="A57" s="16" t="s">
        <v>2854</v>
      </c>
      <c r="B57" s="20" t="s">
        <v>361</v>
      </c>
      <c r="C57" s="38">
        <f>SUMIFS(JB_26BV,JB_B,1,JB_EX,"P-8a",JB_CC,"Electronics",JB_H,"DDG",JB_CE,"SRQ 4 LAMPS III",JB_RC,"ALT")</f>
        <v>20323</v>
      </c>
      <c r="D57" s="26">
        <f t="shared" si="3"/>
        <v>4.1468181337747248E-3</v>
      </c>
    </row>
    <row r="58" spans="1:4" ht="10" customHeight="1" x14ac:dyDescent="0.2">
      <c r="A58" s="16" t="s">
        <v>2842</v>
      </c>
      <c r="B58" s="20" t="s">
        <v>361</v>
      </c>
      <c r="C58" s="38">
        <f>SUMIFS(JB_26BV,JB_B,1,JB_EX,"P-8a",JB_CC,"Electronics",JB_H,"DDG",JB_CE,"CEC",JB_RC,"ALT")</f>
        <v>20072</v>
      </c>
      <c r="D58" s="26">
        <f t="shared" si="3"/>
        <v>4.0956026955236077E-3</v>
      </c>
    </row>
    <row r="59" spans="1:4" ht="10" customHeight="1" x14ac:dyDescent="0.2">
      <c r="A59" s="16" t="s">
        <v>2633</v>
      </c>
      <c r="B59" s="20" t="s">
        <v>361</v>
      </c>
      <c r="C59" s="38">
        <f>SUMIFS(JB_26BV,JB_B,1,JB_EX,"P-8a",JB_CC,"Electronics",JB_H,"DDG",JB_CE,"SURFACE ELECTRONIC WARFARE IMPROVEMENT PROGRAM (SEWIP)",JB_RC,"ALT")</f>
        <v>17682</v>
      </c>
      <c r="D59" s="26">
        <f t="shared" si="3"/>
        <v>3.607933781499025E-3</v>
      </c>
    </row>
    <row r="60" spans="1:4" ht="10" customHeight="1" x14ac:dyDescent="0.2">
      <c r="A60" s="16" t="s">
        <v>2612</v>
      </c>
      <c r="B60" s="20" t="s">
        <v>361</v>
      </c>
      <c r="C60" s="38">
        <f>SUMIFS(JB_26BV,JB_B,1,JB_EX,"P-8a",JB_CC,"Electronics",JB_H,"DDG",JB_CE,"COMMON ARRAY POWER SYSTEM (CAPS)",JB_RC,"ALT")</f>
        <v>16409</v>
      </c>
      <c r="D60" s="26">
        <f t="shared" si="3"/>
        <v>3.34818376997045E-3</v>
      </c>
    </row>
    <row r="61" spans="1:4" ht="10" customHeight="1" x14ac:dyDescent="0.2">
      <c r="A61" s="16" t="s">
        <v>2848</v>
      </c>
      <c r="B61" s="20" t="s">
        <v>361</v>
      </c>
      <c r="C61" s="38">
        <f>SUMIFS(JB_26BV,JB_B,1,JB_EX,"P-8a",JB_CC,"Electronics",JB_H,"DDG",JB_CE,"NAVIGATION SYSTEM",JB_RC,"ALT")</f>
        <v>13508</v>
      </c>
      <c r="D61" s="26">
        <f t="shared" si="3"/>
        <v>2.7562475693071386E-3</v>
      </c>
    </row>
    <row r="62" spans="1:4" ht="10" customHeight="1" x14ac:dyDescent="0.2">
      <c r="A62" s="16" t="s">
        <v>2859</v>
      </c>
      <c r="B62" s="20" t="s">
        <v>361</v>
      </c>
      <c r="C62" s="38">
        <f>SUMIFS(JB_26BV,JB_B,1,JB_EX,"P-8a",JB_CC,"Electronics",JB_H,"DDG",JB_CE,"MIDS",JB_RC,"ALT")</f>
        <v>11662</v>
      </c>
      <c r="D62" s="26">
        <f t="shared" si="3"/>
        <v>2.3795794457550971E-3</v>
      </c>
    </row>
    <row r="63" spans="1:4" ht="10" customHeight="1" x14ac:dyDescent="0.2">
      <c r="A63" s="16" t="s">
        <v>2851</v>
      </c>
      <c r="B63" s="20" t="s">
        <v>361</v>
      </c>
      <c r="C63" s="38">
        <f>SUMIFS(JB_26BV,JB_B,1,JB_EX,"P-8a",JB_CC,"Electronics",JB_H,"DDG",JB_CE,"SLQ 25 NIXIE",JB_RC,"ALT")</f>
        <v>9536</v>
      </c>
      <c r="D63" s="26">
        <f t="shared" si="3"/>
        <v>1.9457785624010125E-3</v>
      </c>
    </row>
    <row r="64" spans="1:4" ht="10" customHeight="1" x14ac:dyDescent="0.2">
      <c r="A64" s="16" t="s">
        <v>2845</v>
      </c>
      <c r="B64" s="20" t="s">
        <v>361</v>
      </c>
      <c r="C64" s="38">
        <f>SUMIFS(JB_26BV,JB_B,1,JB_EX,"P-8a",JB_CC,"Electronics",JB_H,"DDG",JB_CE,"NGSSR",JB_RC,"ALT")</f>
        <v>8068</v>
      </c>
      <c r="D64" s="26">
        <f t="shared" si="3"/>
        <v>1.6462396645817289E-3</v>
      </c>
    </row>
    <row r="65" spans="1:4" ht="10" customHeight="1" x14ac:dyDescent="0.2">
      <c r="A65" s="16" t="s">
        <v>2630</v>
      </c>
      <c r="B65" s="20" t="s">
        <v>361</v>
      </c>
      <c r="C65" s="38">
        <f>SUMIFS(JB_26BV,JB_B,1,JB_EX,"P-8a",JB_CC,"Electronics",JB_H,"DDG",JB_CE,"COOPERATIVE ENGAGEMENT CAPABILITY (CEC)",JB_RC,"ALT")</f>
        <v>7800</v>
      </c>
      <c r="D65" s="26">
        <f t="shared" si="3"/>
        <v>1.5915554516283449E-3</v>
      </c>
    </row>
    <row r="66" spans="1:4" ht="10" customHeight="1" x14ac:dyDescent="0.2">
      <c r="A66" s="16" t="s">
        <v>2862</v>
      </c>
      <c r="B66" s="20" t="s">
        <v>361</v>
      </c>
      <c r="C66" s="38">
        <f>SUMIFS(JB_26BV,JB_B,1,JB_EX,"P-8a",JB_CC,"Electronics",JB_H,"DDG",JB_CE,"MK 53 NULKA",JB_RC,"ALT")</f>
        <v>7641</v>
      </c>
      <c r="D66" s="26">
        <f t="shared" si="3"/>
        <v>1.5591122058836132E-3</v>
      </c>
    </row>
    <row r="67" spans="1:4" ht="10" customHeight="1" x14ac:dyDescent="0.2">
      <c r="A67" s="16" t="s">
        <v>2865</v>
      </c>
      <c r="B67" s="20" t="s">
        <v>361</v>
      </c>
      <c r="C67" s="38">
        <f>SUMIFS(JB_26BV,JB_B,1,JB_EX,"P-8a",JB_CC,"Electronics",JB_H,"DDG",JB_CE,"TSA ANTENNA",JB_RC,"ALT")</f>
        <v>6582</v>
      </c>
      <c r="D67" s="26">
        <f t="shared" si="3"/>
        <v>1.3430279464894572E-3</v>
      </c>
    </row>
    <row r="68" spans="1:4" ht="10" customHeight="1" x14ac:dyDescent="0.2">
      <c r="A68" s="16" t="s">
        <v>2651</v>
      </c>
      <c r="B68" s="20" t="s">
        <v>361</v>
      </c>
      <c r="C68" s="38">
        <f>SUMIFS(JB_26BV,JB_B,1,JB_EX,"P-8a",JB_CC,"Electronics",JB_H,"DDG",JB_CE,"SPARES",JB_RC,"ALT")</f>
        <v>5500</v>
      </c>
      <c r="D68" s="26">
        <f t="shared" si="3"/>
        <v>1.1222506389687048E-3</v>
      </c>
    </row>
    <row r="69" spans="1:4" ht="10" customHeight="1" x14ac:dyDescent="0.2">
      <c r="A69" s="16" t="s">
        <v>2624</v>
      </c>
      <c r="B69" s="20" t="s">
        <v>361</v>
      </c>
      <c r="C69" s="38">
        <f>SUMIFS(JB_26BV,JB_B,1,JB_EX,"P-8a",JB_CC,"Electronics",JB_H,"DDG",JB_CE,"COMMON ARRAY COOLING SYSTEM (CACS)",JB_RC,"ALT")</f>
        <v>965</v>
      </c>
      <c r="D69" s="26">
        <f t="shared" si="3"/>
        <v>1.9690397574632728E-4</v>
      </c>
    </row>
    <row r="70" spans="1:4" ht="10" customHeight="1" x14ac:dyDescent="0.2">
      <c r="A70" s="16" t="s">
        <v>2887</v>
      </c>
      <c r="B70" s="20" t="s">
        <v>367</v>
      </c>
      <c r="C70" s="38">
        <f>SUMIFS(JB_26BV,JB_B,1,JB_EX,"P-8a",JB_CC,"Hull, Mechanical, and Electrical",JB_H,"DDG",JB_CE,"MISC. HM&amp;E",JB_RC,"ALT")</f>
        <v>52611</v>
      </c>
      <c r="D70" s="26">
        <f t="shared" si="3"/>
        <v>1.0735041521233186E-2</v>
      </c>
    </row>
    <row r="71" spans="1:4" ht="10" customHeight="1" x14ac:dyDescent="0.2">
      <c r="A71" s="16" t="s">
        <v>2655</v>
      </c>
      <c r="B71" s="20" t="s">
        <v>367</v>
      </c>
      <c r="C71" s="38">
        <f>SUMIFS(JB_26BV,JB_B,1,JB_EX,"P-8a",JB_CC,"Hull, Mechanical, and Electrical",JB_H,"DDG",JB_CE,"MAIN TURBINE GENERATOR (MTG)",JB_RC,"ALT")</f>
        <v>39412</v>
      </c>
      <c r="D71" s="26">
        <f t="shared" si="3"/>
        <v>8.0418440332790161E-3</v>
      </c>
    </row>
    <row r="72" spans="1:4" ht="10" customHeight="1" x14ac:dyDescent="0.2">
      <c r="A72" s="16" t="s">
        <v>2878</v>
      </c>
      <c r="B72" s="20" t="s">
        <v>367</v>
      </c>
      <c r="C72" s="38">
        <f>SUMIFS(JB_26BV,JB_B,1,JB_EX,"P-8a",JB_CC,"Hull, Mechanical, and Electrical",JB_H,"DDG",JB_CE,"Integrated Bridge Navigation System",JB_RC,"ALT")</f>
        <v>26975</v>
      </c>
      <c r="D72" s="26">
        <f t="shared" si="3"/>
        <v>5.5041292702146926E-3</v>
      </c>
    </row>
    <row r="73" spans="1:4" ht="10" customHeight="1" x14ac:dyDescent="0.2">
      <c r="A73" s="16" t="s">
        <v>2872</v>
      </c>
      <c r="B73" s="20" t="s">
        <v>367</v>
      </c>
      <c r="C73" s="38">
        <f>SUMIFS(JB_26BV,JB_B,1,JB_EX,"P-8a",JB_CC,"Hull, Mechanical, and Electrical",JB_H,"DDG",JB_CE,"STC 3 IVCS",JB_RC,"ALT")</f>
        <v>26240</v>
      </c>
      <c r="D73" s="26">
        <f t="shared" si="3"/>
        <v>5.3541557757343294E-3</v>
      </c>
    </row>
    <row r="74" spans="1:4" ht="10" customHeight="1" x14ac:dyDescent="0.2">
      <c r="A74" s="16" t="s">
        <v>2875</v>
      </c>
      <c r="B74" s="20" t="s">
        <v>367</v>
      </c>
      <c r="C74" s="38">
        <f>SUMIFS(JB_26BV,JB_B,1,JB_EX,"P-8a",JB_CC,"Hull, Mechanical, and Electrical",JB_H,"DDG",JB_CE,"Machinery Control System",JB_RC,"ALT")</f>
        <v>20756</v>
      </c>
      <c r="D74" s="26">
        <f t="shared" si="3"/>
        <v>4.2351698658971704E-3</v>
      </c>
    </row>
    <row r="75" spans="1:4" ht="10" customHeight="1" x14ac:dyDescent="0.2">
      <c r="A75" s="16" t="s">
        <v>2881</v>
      </c>
      <c r="B75" s="20" t="s">
        <v>367</v>
      </c>
      <c r="C75" s="38">
        <f>SUMIFS(JB_26BV,JB_B,1,JB_EX,"P-8a",JB_CC,"Hull, Mechanical, and Electrical",JB_H,"DDG",JB_CE,"CYBER BDC",JB_RC,"ALT")</f>
        <v>14411</v>
      </c>
      <c r="D75" s="26">
        <f t="shared" si="3"/>
        <v>2.9405007196687278E-3</v>
      </c>
    </row>
    <row r="76" spans="1:4" ht="10" customHeight="1" x14ac:dyDescent="0.2">
      <c r="A76" s="16" t="s">
        <v>2884</v>
      </c>
      <c r="B76" s="20" t="s">
        <v>367</v>
      </c>
      <c r="C76" s="38">
        <f>SUMIFS(JB_26BV,JB_B,1,JB_EX,"P-8a",JB_CC,"Hull, Mechanical, and Electrical",JB_H,"DDG",JB_CE,"WSN 12",JB_RC,"ALT")</f>
        <v>13036</v>
      </c>
      <c r="D76" s="26">
        <f t="shared" si="3"/>
        <v>2.6599380599265517E-3</v>
      </c>
    </row>
    <row r="77" spans="1:4" ht="10" customHeight="1" x14ac:dyDescent="0.2">
      <c r="A77" s="16" t="s">
        <v>2661</v>
      </c>
      <c r="B77" s="20" t="s">
        <v>367</v>
      </c>
      <c r="C77" s="38">
        <f>SUMIFS(JB_26BV,JB_B,1,JB_EX,"P-8a",JB_CC,"Hull, Mechanical, and Electrical",JB_H,"DDG",JB_CE,"HM&amp;E (NGVLA, Moriah Wind Measurement System (WMS), Aviation Integration)",JB_RC,"ALT")</f>
        <v>12446</v>
      </c>
      <c r="D77" s="26">
        <f t="shared" si="3"/>
        <v>2.539551173200818E-3</v>
      </c>
    </row>
    <row r="78" spans="1:4" ht="10" customHeight="1" x14ac:dyDescent="0.2">
      <c r="A78" s="16" t="s">
        <v>2666</v>
      </c>
      <c r="B78" s="20" t="s">
        <v>367</v>
      </c>
      <c r="C78" s="38">
        <f>SUMIFS(JB_26BV,JB_B,1,JB_EX,"P-8a",JB_CC,"Hull, Mechanical, and Electrical",JB_H,"DDG",JB_CE,"INTERIM SPARES",JB_RC,"ALT")</f>
        <v>7500</v>
      </c>
      <c r="D78" s="26">
        <f t="shared" si="3"/>
        <v>1.5303417804118701E-3</v>
      </c>
    </row>
    <row r="79" spans="1:4" ht="10" customHeight="1" x14ac:dyDescent="0.2">
      <c r="A79" s="16" t="s">
        <v>2658</v>
      </c>
      <c r="B79" s="20" t="s">
        <v>367</v>
      </c>
      <c r="C79" s="38">
        <f>SUMIFS(JB_26BV,JB_B,1,JB_EX,"P-8a",JB_CC,"Hull, Mechanical, and Electrical",JB_H,"DDG",JB_CE,"RIGID HULL INFLATABLE BOAT (RHIB)",JB_RC,"ALT")</f>
        <v>1100</v>
      </c>
      <c r="D79" s="26">
        <f t="shared" si="3"/>
        <v>2.2445012779374096E-4</v>
      </c>
    </row>
    <row r="80" spans="1:4" ht="10" customHeight="1" x14ac:dyDescent="0.2">
      <c r="A80" s="21" t="s">
        <v>8403</v>
      </c>
      <c r="B80" s="23"/>
      <c r="C80" s="22">
        <f>SUM(C22:C79)</f>
        <v>4900866</v>
      </c>
      <c r="D80" s="27">
        <v>1</v>
      </c>
    </row>
    <row r="81" spans="1:4" ht="10" customHeight="1" x14ac:dyDescent="0.2"/>
    <row r="82" spans="1:4" ht="10" customHeight="1" x14ac:dyDescent="0.2">
      <c r="A82" s="35" t="s">
        <v>8368</v>
      </c>
      <c r="B82" s="28"/>
      <c r="C82" s="28"/>
      <c r="D82" s="28"/>
    </row>
    <row r="83" spans="1:4" ht="10" customHeight="1" x14ac:dyDescent="0.2">
      <c r="A83" s="15" t="s">
        <v>8401</v>
      </c>
      <c r="B83" s="15" t="s">
        <v>15</v>
      </c>
      <c r="C83" s="15" t="s">
        <v>8319</v>
      </c>
      <c r="D83" s="15" t="s">
        <v>8402</v>
      </c>
    </row>
    <row r="84" spans="1:4" ht="10" customHeight="1" x14ac:dyDescent="0.2">
      <c r="A84" s="16" t="s">
        <v>3229</v>
      </c>
      <c r="B84" s="20" t="s">
        <v>370</v>
      </c>
      <c r="C84" s="38">
        <f>SUMIFS(JB_26BV,JB_B,1,JB_EX,"P-8a",JB_CC,"Ordnance",JB_H,"LHA",JB_CE,"Enterprise Air Surveillance Radar (EASR)",JB_RC,"ALT")</f>
        <v>38262</v>
      </c>
      <c r="D84" s="26">
        <f t="shared" ref="D84:D122" si="4">IFERROR(C84/C$123,0)</f>
        <v>6.8993870938076463E-2</v>
      </c>
    </row>
    <row r="85" spans="1:4" ht="10" customHeight="1" x14ac:dyDescent="0.2">
      <c r="A85" s="16" t="s">
        <v>3826</v>
      </c>
      <c r="B85" s="20" t="s">
        <v>370</v>
      </c>
      <c r="C85" s="38">
        <f>SUMIFS(JB_26BV,JB_B,1,JB_EX,"P-8a",JB_CC,"Ordnance",JB_H,"LHA",JB_CE,"NATO Sea Sparrow Missile System (NSSMS) MK 57 Mod 14",JB_RC,"ALT")</f>
        <v>34125</v>
      </c>
      <c r="D85" s="26">
        <f t="shared" si="4"/>
        <v>6.1534050644552273E-2</v>
      </c>
    </row>
    <row r="86" spans="1:4" ht="10" customHeight="1" x14ac:dyDescent="0.2">
      <c r="A86" s="16" t="s">
        <v>3829</v>
      </c>
      <c r="B86" s="20" t="s">
        <v>370</v>
      </c>
      <c r="C86" s="38">
        <f>SUMIFS(JB_26BV,JB_B,1,JB_EX,"P-8a",JB_CC,"Ordnance",JB_H,"LHA",JB_CE,"MK31 Mod 3, Rolling Airframe Missile (RAM) (Tech Refresh)",JB_RC,"ALT")</f>
        <v>22290</v>
      </c>
      <c r="D86" s="26">
        <f t="shared" si="4"/>
        <v>4.0193230442991071E-2</v>
      </c>
    </row>
    <row r="87" spans="1:4" ht="10" customHeight="1" x14ac:dyDescent="0.2">
      <c r="A87" s="16" t="s">
        <v>3832</v>
      </c>
      <c r="B87" s="20" t="s">
        <v>370</v>
      </c>
      <c r="C87" s="38">
        <f>SUMIFS(JB_26BV,JB_B,1,JB_EX,"P-8a",JB_CC,"Ordnance",JB_H,"LHA",JB_CE,"PHALANX Block 1B MK15 Mod 21 &amp; 22, Close-in Weapon System (CIWS)",JB_RC,"ALT")</f>
        <v>18458</v>
      </c>
      <c r="D87" s="26">
        <f t="shared" si="4"/>
        <v>3.3283384814568377E-2</v>
      </c>
    </row>
    <row r="88" spans="1:4" ht="10" customHeight="1" x14ac:dyDescent="0.2">
      <c r="A88" s="16" t="s">
        <v>3835</v>
      </c>
      <c r="B88" s="20" t="s">
        <v>370</v>
      </c>
      <c r="C88" s="38">
        <f>SUMIFS(JB_26BV,JB_B,1,JB_EX,"P-8a",JB_CC,"Ordnance",JB_H,"LHA",JB_CE,"Vertical/Stationary Take-Off Landing Optical Landing System (VSTOL OLS)",JB_RC,"ALT")</f>
        <v>15265</v>
      </c>
      <c r="D88" s="26">
        <f t="shared" si="4"/>
        <v>2.7525781189423896E-2</v>
      </c>
    </row>
    <row r="89" spans="1:4" ht="10" customHeight="1" x14ac:dyDescent="0.2">
      <c r="A89" s="16" t="s">
        <v>3849</v>
      </c>
      <c r="B89" s="20" t="s">
        <v>370</v>
      </c>
      <c r="C89" s="38">
        <f>SUMIFS(JB_26BV,JB_B,1,JB_EX,"P-8a",JB_CC,"Ordnance",JB_H,"LHA",JB_CE,"Aviation Support",JB_RC,"ALT")</f>
        <v>8202</v>
      </c>
      <c r="D89" s="26">
        <f t="shared" si="4"/>
        <v>1.4789810502171949E-2</v>
      </c>
    </row>
    <row r="90" spans="1:4" ht="10" customHeight="1" x14ac:dyDescent="0.2">
      <c r="A90" s="16" t="s">
        <v>3586</v>
      </c>
      <c r="B90" s="20" t="s">
        <v>370</v>
      </c>
      <c r="C90" s="38">
        <f>SUMIFS(JB_26BV,JB_B,1,JB_EX,"P-8a",JB_CC,"Ordnance",JB_H,"LHA",JB_CE,"AN/SPQ-9B Radar Set",JB_RC,"ALT")</f>
        <v>7628</v>
      </c>
      <c r="D90" s="26">
        <f t="shared" si="4"/>
        <v>1.3754776214407172E-2</v>
      </c>
    </row>
    <row r="91" spans="1:4" ht="10" customHeight="1" x14ac:dyDescent="0.2">
      <c r="A91" s="16" t="s">
        <v>3840</v>
      </c>
      <c r="B91" s="20" t="s">
        <v>370</v>
      </c>
      <c r="C91" s="38">
        <f>SUMIFS(JB_26BV,JB_B,1,JB_EX,"P-8a",JB_CC,"Ordnance",JB_H,"LHA",JB_CE,"MK 38 Mod 2 Stabilized Gun Stand Assembly",JB_RC,"ALT")</f>
        <v>7143</v>
      </c>
      <c r="D91" s="26">
        <f t="shared" si="4"/>
        <v>1.2880226337114635E-2</v>
      </c>
    </row>
    <row r="92" spans="1:4" ht="10" customHeight="1" x14ac:dyDescent="0.2">
      <c r="A92" s="16" t="s">
        <v>3852</v>
      </c>
      <c r="B92" s="20" t="s">
        <v>370</v>
      </c>
      <c r="C92" s="38">
        <f>SUMIFS(JB_26BV,JB_B,1,JB_EX,"P-8a",JB_CC,"Ordnance",JB_H,"LHA",JB_CE,"Miscellaneous Ordnance",JB_RC,"ALT")</f>
        <v>2964</v>
      </c>
      <c r="D92" s="26">
        <f t="shared" si="4"/>
        <v>5.3446718274125409E-3</v>
      </c>
    </row>
    <row r="93" spans="1:4" ht="10" customHeight="1" x14ac:dyDescent="0.2">
      <c r="A93" s="16" t="s">
        <v>3846</v>
      </c>
      <c r="B93" s="20" t="s">
        <v>370</v>
      </c>
      <c r="C93" s="38">
        <f>SUMIFS(JB_26BV,JB_B,1,JB_EX,"P-8a",JB_CC,"Ordnance",JB_H,"LHA",JB_CE,"MORIAH",JB_RC,"ALT")</f>
        <v>2395</v>
      </c>
      <c r="D93" s="26">
        <f t="shared" si="4"/>
        <v>4.3186535177641818E-3</v>
      </c>
    </row>
    <row r="94" spans="1:4" ht="10" customHeight="1" x14ac:dyDescent="0.2">
      <c r="A94" s="16" t="s">
        <v>3843</v>
      </c>
      <c r="B94" s="20" t="s">
        <v>370</v>
      </c>
      <c r="C94" s="38">
        <f>SUMIFS(JB_26BV,JB_B,1,JB_EX,"P-8a",JB_CC,"Ordnance",JB_H,"LHA",JB_CE,"AN/SPQ-14",JB_RC,"ALT")</f>
        <v>947</v>
      </c>
      <c r="D94" s="26">
        <f t="shared" si="4"/>
        <v>1.7076262552495533E-3</v>
      </c>
    </row>
    <row r="95" spans="1:4" ht="10" customHeight="1" x14ac:dyDescent="0.2">
      <c r="A95" s="16" t="s">
        <v>3740</v>
      </c>
      <c r="B95" s="20" t="s">
        <v>361</v>
      </c>
      <c r="C95" s="38">
        <f>SUMIFS(JB_26BV,JB_B,1,JB_EX,"P-8a",JB_CC,"Electronics",JB_H,"LHA",JB_CE,"Command, Control, Communication, Computer Intelligence Surveillance and Reconnaissance (C4ISR)",JB_RC,"ALT")</f>
        <v>169701</v>
      </c>
      <c r="D95" s="26">
        <f t="shared" si="4"/>
        <v>0.30600410046684734</v>
      </c>
    </row>
    <row r="96" spans="1:4" ht="10" customHeight="1" x14ac:dyDescent="0.2">
      <c r="A96" s="16" t="s">
        <v>3743</v>
      </c>
      <c r="B96" s="20" t="s">
        <v>361</v>
      </c>
      <c r="C96" s="38">
        <f>SUMIFS(JB_26BV,JB_B,1,JB_EX,"P-8a",JB_CC,"Electronics",JB_H,"LHA",JB_CE,"MK 2 MOD 4E Ship Self Defense System (SSDS)",JB_RC,"ALT")</f>
        <v>35308</v>
      </c>
      <c r="D96" s="26">
        <f t="shared" si="4"/>
        <v>6.3667231066896757E-2</v>
      </c>
    </row>
    <row r="97" spans="1:4" ht="10" customHeight="1" x14ac:dyDescent="0.2">
      <c r="A97" s="16" t="s">
        <v>3752</v>
      </c>
      <c r="B97" s="20" t="s">
        <v>361</v>
      </c>
      <c r="C97" s="38">
        <f>SUMIFS(JB_26BV,JB_B,1,JB_EX,"P-8a",JB_CC,"Electronics",JB_H,"LHA",JB_CE,"AN/SPN-50 (V)1",JB_RC,"ALT")</f>
        <v>16643</v>
      </c>
      <c r="D97" s="26">
        <f t="shared" si="4"/>
        <v>3.0010584758308676E-2</v>
      </c>
    </row>
    <row r="98" spans="1:4" ht="10" customHeight="1" x14ac:dyDescent="0.2">
      <c r="A98" s="16" t="s">
        <v>3749</v>
      </c>
      <c r="B98" s="20" t="s">
        <v>361</v>
      </c>
      <c r="C98" s="38">
        <f>SUMIFS(JB_26BV,JB_B,1,JB_EX,"P-8a",JB_CC,"Electronics",JB_H,"LHA",JB_CE,"AN/SLQ-32(V), Surface Warfare Improvement Program (SEWIP)",JB_RC,"ALT")</f>
        <v>14904</v>
      </c>
      <c r="D98" s="26">
        <f t="shared" si="4"/>
        <v>2.6874827569418523E-2</v>
      </c>
    </row>
    <row r="99" spans="1:4" ht="10" customHeight="1" x14ac:dyDescent="0.2">
      <c r="A99" s="16" t="s">
        <v>3549</v>
      </c>
      <c r="B99" s="20" t="s">
        <v>361</v>
      </c>
      <c r="C99" s="38">
        <f>SUMIFS(JB_26BV,JB_B,1,JB_EX,"P-8a",JB_CC,"Electronics",JB_H,"LHA",JB_CE,"Miscellaneous Electronics",JB_RC,"ALT")</f>
        <v>13237</v>
      </c>
      <c r="D99" s="26">
        <f t="shared" si="4"/>
        <v>2.386890046540479E-2</v>
      </c>
    </row>
    <row r="100" spans="1:4" ht="10" customHeight="1" x14ac:dyDescent="0.2">
      <c r="A100" s="16" t="s">
        <v>3746</v>
      </c>
      <c r="B100" s="20" t="s">
        <v>361</v>
      </c>
      <c r="C100" s="38">
        <f>SUMIFS(JB_26BV,JB_B,1,JB_EX,"P-8a",JB_CC,"Electronics",JB_H,"LHA",JB_CE,"Integrated Voice Network (IVN)",JB_RC,"ALT")</f>
        <v>10218</v>
      </c>
      <c r="D100" s="26">
        <f t="shared" si="4"/>
        <v>1.8425052878711653E-2</v>
      </c>
    </row>
    <row r="101" spans="1:4" ht="10" customHeight="1" x14ac:dyDescent="0.2">
      <c r="A101" s="16" t="s">
        <v>3761</v>
      </c>
      <c r="B101" s="20" t="s">
        <v>361</v>
      </c>
      <c r="C101" s="38">
        <f>SUMIFS(JB_26BV,JB_B,1,JB_EX,"P-8a",JB_CC,"Electronics",JB_H,"LHA",JB_CE,"AN/UPX-29(V), Identification Friend or Foe (IFF) MK12",JB_RC,"ALT")</f>
        <v>7802</v>
      </c>
      <c r="D101" s="26">
        <f t="shared" si="4"/>
        <v>1.4068532252858515E-2</v>
      </c>
    </row>
    <row r="102" spans="1:4" ht="10" customHeight="1" x14ac:dyDescent="0.2">
      <c r="A102" s="16" t="s">
        <v>3776</v>
      </c>
      <c r="B102" s="20" t="s">
        <v>361</v>
      </c>
      <c r="C102" s="38">
        <f>SUMIFS(JB_26BV,JB_B,1,JB_EX,"P-8a",JB_CC,"Electronics",JB_H,"LHA",JB_CE,"AN/USG-2, Cooperative Engagement Transmission Processing Set (CETPS)",JB_RC,"ALT")</f>
        <v>7380</v>
      </c>
      <c r="D102" s="26">
        <f t="shared" si="4"/>
        <v>1.3307583699832844E-2</v>
      </c>
    </row>
    <row r="103" spans="1:4" ht="10" customHeight="1" x14ac:dyDescent="0.2">
      <c r="A103" s="16" t="s">
        <v>3755</v>
      </c>
      <c r="B103" s="20" t="s">
        <v>361</v>
      </c>
      <c r="C103" s="38">
        <f>SUMIFS(JB_26BV,JB_B,1,JB_EX,"P-8a",JB_CC,"Electronics",JB_H,"LHA",JB_CE,"Joint Precision Approach and Landing System (JPALS) (AN/USN-3(V)1, SSLS)",JB_RC,"ALT")</f>
        <v>6885</v>
      </c>
      <c r="D103" s="26">
        <f t="shared" si="4"/>
        <v>1.241500186630747E-2</v>
      </c>
    </row>
    <row r="104" spans="1:4" ht="10" customHeight="1" x14ac:dyDescent="0.2">
      <c r="A104" s="16" t="s">
        <v>3779</v>
      </c>
      <c r="B104" s="20" t="s">
        <v>361</v>
      </c>
      <c r="C104" s="38">
        <f>SUMIFS(JB_26BV,JB_B,1,JB_EX,"P-8a",JB_CC,"Electronics",JB_H,"LHA",JB_CE,"USQ-82, Gigabit Ethernet Data Multiplex System (GEDMS)",JB_RC,"ALT")</f>
        <v>6851</v>
      </c>
      <c r="D104" s="26">
        <f t="shared" si="4"/>
        <v>1.2353693215115829E-2</v>
      </c>
    </row>
    <row r="105" spans="1:4" ht="10" customHeight="1" x14ac:dyDescent="0.2">
      <c r="A105" s="16" t="s">
        <v>3770</v>
      </c>
      <c r="B105" s="20" t="s">
        <v>361</v>
      </c>
      <c r="C105" s="38">
        <f>SUMIFS(JB_26BV,JB_B,1,JB_EX,"P-8a",JB_CC,"Electronics",JB_H,"LHA",JB_CE,"Aircraft Control Approach Central AN/SPN-35C",JB_RC,"ALT")</f>
        <v>6273</v>
      </c>
      <c r="D105" s="26">
        <f t="shared" si="4"/>
        <v>1.1311446144857917E-2</v>
      </c>
    </row>
    <row r="106" spans="1:4" ht="10" customHeight="1" x14ac:dyDescent="0.2">
      <c r="A106" s="16" t="s">
        <v>3758</v>
      </c>
      <c r="B106" s="20" t="s">
        <v>361</v>
      </c>
      <c r="C106" s="38">
        <f>SUMIFS(JB_26BV,JB_B,1,JB_EX,"P-8a",JB_CC,"Electronics",JB_H,"LHA",JB_CE,"Hierarchical Yet Dynamically Reprogrammable Architecture (HYDRA) AN/SRC-55",JB_RC,"ALT")</f>
        <v>6025</v>
      </c>
      <c r="D106" s="26">
        <f t="shared" si="4"/>
        <v>1.0864253630283588E-2</v>
      </c>
    </row>
    <row r="107" spans="1:4" ht="10" customHeight="1" x14ac:dyDescent="0.2">
      <c r="A107" s="16" t="s">
        <v>3782</v>
      </c>
      <c r="B107" s="20" t="s">
        <v>361</v>
      </c>
      <c r="C107" s="38">
        <f>SUMIFS(JB_26BV,JB_B,1,JB_EX,"P-8a",JB_CC,"Electronics",JB_H,"LHA",JB_CE,"AN/SLQ-25C, Torpedo Countermeasures Transmitting Set (NIXIE)",JB_RC,"ALT")</f>
        <v>5993</v>
      </c>
      <c r="D107" s="26">
        <f t="shared" si="4"/>
        <v>1.0806551370338514E-2</v>
      </c>
    </row>
    <row r="108" spans="1:4" ht="10" customHeight="1" x14ac:dyDescent="0.2">
      <c r="A108" s="16" t="s">
        <v>3764</v>
      </c>
      <c r="B108" s="20" t="s">
        <v>361</v>
      </c>
      <c r="C108" s="38">
        <f>SUMIFS(JB_26BV,JB_B,1,JB_EX,"P-8a",JB_CC,"Electronics",JB_H,"LHA",JB_CE,"Ring Laser Gyro Navigator (RLGN) AN/WSN-7",JB_RC,"ALT")</f>
        <v>5516</v>
      </c>
      <c r="D108" s="26">
        <f t="shared" si="4"/>
        <v>9.9464270580322447E-3</v>
      </c>
    </row>
    <row r="109" spans="1:4" ht="10" customHeight="1" x14ac:dyDescent="0.2">
      <c r="A109" s="16" t="s">
        <v>3767</v>
      </c>
      <c r="B109" s="20" t="s">
        <v>361</v>
      </c>
      <c r="C109" s="38">
        <f>SUMIFS(JB_26BV,JB_B,1,JB_EX,"P-8a",JB_CC,"Electronics",JB_H,"LHA",JB_CE,"Amphibious Air Traffic Control Direct Altitude and Identity Readout (AATC-DAIR)",JB_RC,"ALT")</f>
        <v>5333</v>
      </c>
      <c r="D109" s="26">
        <f t="shared" si="4"/>
        <v>9.6164422589713489E-3</v>
      </c>
    </row>
    <row r="110" spans="1:4" ht="10" customHeight="1" x14ac:dyDescent="0.2">
      <c r="A110" s="16" t="s">
        <v>3773</v>
      </c>
      <c r="B110" s="20" t="s">
        <v>361</v>
      </c>
      <c r="C110" s="38">
        <f>SUMIFS(JB_26BV,JB_B,1,JB_EX,"P-8a",JB_CC,"Electronics",JB_H,"LHA",JB_CE,"Aircraft Approach Control Transmitting Set (AACTS) AN/SPN-41B",JB_RC,"ALT")</f>
        <v>4617</v>
      </c>
      <c r="D110" s="26">
        <f t="shared" si="4"/>
        <v>8.3253541927003037E-3</v>
      </c>
    </row>
    <row r="111" spans="1:4" ht="10" customHeight="1" x14ac:dyDescent="0.2">
      <c r="A111" s="16" t="s">
        <v>3788</v>
      </c>
      <c r="B111" s="20" t="s">
        <v>361</v>
      </c>
      <c r="C111" s="38">
        <f>SUMIFS(JB_26BV,JB_B,1,JB_EX,"P-8a",JB_CC,"Electronics",JB_H,"LHA",JB_CE,"Announcing Systems AN/SIA-127H",JB_RC,"ALT")</f>
        <v>2656</v>
      </c>
      <c r="D111" s="26">
        <f t="shared" si="4"/>
        <v>4.789287575441197E-3</v>
      </c>
    </row>
    <row r="112" spans="1:4" ht="10" customHeight="1" x14ac:dyDescent="0.2">
      <c r="A112" s="16" t="s">
        <v>3791</v>
      </c>
      <c r="B112" s="20" t="s">
        <v>361</v>
      </c>
      <c r="C112" s="38">
        <f>SUMIFS(JB_26BV,JB_B,1,JB_EX,"P-8a",JB_CC,"Electronics",JB_H,"LHA",JB_CE,"SATCC",JB_RC,"ALT")</f>
        <v>2106</v>
      </c>
      <c r="D112" s="26">
        <f t="shared" si="4"/>
        <v>3.7975299826352262E-3</v>
      </c>
    </row>
    <row r="113" spans="1:4" ht="10" customHeight="1" x14ac:dyDescent="0.2">
      <c r="A113" s="16" t="s">
        <v>3534</v>
      </c>
      <c r="B113" s="20" t="s">
        <v>361</v>
      </c>
      <c r="C113" s="38">
        <f>SUMIFS(JB_26BV,JB_B,1,JB_EX,"P-8a",JB_CC,"Electronics",JB_H,"LHA",JB_CE,"Amphibious Assault Direction System (AADS)",JB_RC,"ALT")</f>
        <v>1448</v>
      </c>
      <c r="D113" s="26">
        <f t="shared" si="4"/>
        <v>2.6110272625146282E-3</v>
      </c>
    </row>
    <row r="114" spans="1:4" ht="10" customHeight="1" x14ac:dyDescent="0.2">
      <c r="A114" s="16" t="s">
        <v>3805</v>
      </c>
      <c r="B114" s="20" t="s">
        <v>361</v>
      </c>
      <c r="C114" s="38">
        <f>SUMIFS(JB_26BV,JB_B,1,JB_EX,"P-8a",JB_CC,"Electronics",JB_H,"LHA",JB_CE,"30 TV",JB_RC,"ALT")</f>
        <v>1326</v>
      </c>
      <c r="D114" s="26">
        <f t="shared" si="4"/>
        <v>2.3910373964740315E-3</v>
      </c>
    </row>
    <row r="115" spans="1:4" ht="10" customHeight="1" x14ac:dyDescent="0.2">
      <c r="A115" s="16" t="s">
        <v>3799</v>
      </c>
      <c r="B115" s="20" t="s">
        <v>361</v>
      </c>
      <c r="C115" s="38">
        <f>SUMIFS(JB_26BV,JB_B,1,JB_EX,"P-8a",JB_CC,"Electronics",JB_H,"LHA",JB_CE,"MK 53 NULKA Decoy Launching System (DLS) Mod 3",JB_RC,"ALT")</f>
        <v>1264</v>
      </c>
      <c r="D115" s="26">
        <f t="shared" si="4"/>
        <v>2.279239267830449E-3</v>
      </c>
    </row>
    <row r="116" spans="1:4" ht="10" customHeight="1" x14ac:dyDescent="0.2">
      <c r="A116" s="16" t="s">
        <v>3808</v>
      </c>
      <c r="B116" s="20" t="s">
        <v>361</v>
      </c>
      <c r="C116" s="38">
        <f>SUMIFS(JB_26BV,JB_B,1,JB_EX,"P-8a",JB_CC,"Electronics",JB_H,"LHA",JB_CE,"Next Generation Navigational Radar",JB_RC,"ALT")</f>
        <v>1232</v>
      </c>
      <c r="D116" s="26">
        <f t="shared" si="4"/>
        <v>2.2215370078853746E-3</v>
      </c>
    </row>
    <row r="117" spans="1:4" ht="10" customHeight="1" x14ac:dyDescent="0.2">
      <c r="A117" s="16" t="s">
        <v>3785</v>
      </c>
      <c r="B117" s="20" t="s">
        <v>361</v>
      </c>
      <c r="C117" s="38">
        <f>SUMIFS(JB_26BV,JB_B,1,JB_EX,"P-8a",JB_CC,"Electronics",JB_H,"LHA",JB_CE,"AN/USQ-T46(V), Battle Force Tactical Training (BFTT)",JB_RC,"ALT")</f>
        <v>1103</v>
      </c>
      <c r="D117" s="26">
        <f t="shared" si="4"/>
        <v>1.9889247724817921E-3</v>
      </c>
    </row>
    <row r="118" spans="1:4" ht="10" customHeight="1" x14ac:dyDescent="0.2">
      <c r="A118" s="16" t="s">
        <v>3796</v>
      </c>
      <c r="B118" s="20" t="s">
        <v>361</v>
      </c>
      <c r="C118" s="38">
        <f>SUMIFS(JB_26BV,JB_B,1,JB_EX,"P-8a",JB_CC,"Electronics",JB_H,"LHA",JB_CE,"Digital Photo Lab",JB_RC,"ALT")</f>
        <v>623</v>
      </c>
      <c r="D118" s="26">
        <f t="shared" si="4"/>
        <v>1.1233908733056723E-3</v>
      </c>
    </row>
    <row r="119" spans="1:4" ht="10" customHeight="1" x14ac:dyDescent="0.2">
      <c r="A119" s="16" t="s">
        <v>3802</v>
      </c>
      <c r="B119" s="20" t="s">
        <v>361</v>
      </c>
      <c r="C119" s="38">
        <f>SUMIFS(JB_26BV,JB_B,1,JB_EX,"P-8a",JB_CC,"Electronics",JB_H,"LHA",JB_CE,"Print Shop",JB_RC,"ALT")</f>
        <v>566</v>
      </c>
      <c r="D119" s="26">
        <f t="shared" si="4"/>
        <v>1.0206087227785082E-3</v>
      </c>
    </row>
    <row r="120" spans="1:4" ht="10" customHeight="1" x14ac:dyDescent="0.2">
      <c r="A120" s="16" t="s">
        <v>3814</v>
      </c>
      <c r="B120" s="20" t="s">
        <v>367</v>
      </c>
      <c r="C120" s="38">
        <f>SUMIFS(JB_26BV,JB_B,1,JB_EX,"P-8a",JB_CC,"Hull, Mechanical, and Electrical",JB_H,"LHA",JB_CE,"Equipment &amp; Engineering",JB_RC,"ALT")</f>
        <v>47605</v>
      </c>
      <c r="D120" s="26">
        <f t="shared" si="4"/>
        <v>8.584112764641498E-2</v>
      </c>
    </row>
    <row r="121" spans="1:4" ht="10" customHeight="1" x14ac:dyDescent="0.2">
      <c r="A121" s="16" t="s">
        <v>3820</v>
      </c>
      <c r="B121" s="20" t="s">
        <v>367</v>
      </c>
      <c r="C121" s="38">
        <f>SUMIFS(JB_26BV,JB_B,1,JB_EX,"P-8a",JB_CC,"Hull, Mechanical, and Electrical",JB_H,"LHA",JB_CE,"Test &amp; Instrumentation",JB_RC,"ALT")</f>
        <v>9464</v>
      </c>
      <c r="D121" s="26">
        <f t="shared" si="4"/>
        <v>1.7065443378755832E-2</v>
      </c>
    </row>
    <row r="122" spans="1:4" ht="10" customHeight="1" x14ac:dyDescent="0.2">
      <c r="A122" s="16" t="s">
        <v>3817</v>
      </c>
      <c r="B122" s="20" t="s">
        <v>367</v>
      </c>
      <c r="C122" s="38">
        <f>SUMIFS(JB_26BV,JB_B,1,JB_EX,"P-8a",JB_CC,"Hull, Mechanical, and Electrical",JB_H,"LHA",JB_CE,"SUPSHIP Material/Services",JB_RC,"ALT")</f>
        <v>4813</v>
      </c>
      <c r="D122" s="26">
        <f t="shared" si="4"/>
        <v>8.6787805348638863E-3</v>
      </c>
    </row>
    <row r="123" spans="1:4" ht="10" customHeight="1" x14ac:dyDescent="0.2">
      <c r="A123" s="21" t="s">
        <v>8404</v>
      </c>
      <c r="B123" s="23"/>
      <c r="C123" s="22">
        <f>SUM(C84:C122)</f>
        <v>554571</v>
      </c>
      <c r="D123" s="27">
        <v>1</v>
      </c>
    </row>
    <row r="124" spans="1:4" ht="10" customHeight="1" x14ac:dyDescent="0.2"/>
    <row r="125" spans="1:4" ht="10" customHeight="1" x14ac:dyDescent="0.2">
      <c r="A125" s="35" t="s">
        <v>8370</v>
      </c>
      <c r="B125" s="28"/>
      <c r="C125" s="28"/>
      <c r="D125" s="28"/>
    </row>
    <row r="126" spans="1:4" ht="10" customHeight="1" x14ac:dyDescent="0.2">
      <c r="A126" s="15" t="s">
        <v>8401</v>
      </c>
      <c r="B126" s="15" t="s">
        <v>15</v>
      </c>
      <c r="C126" s="15" t="s">
        <v>8319</v>
      </c>
      <c r="D126" s="15" t="s">
        <v>8402</v>
      </c>
    </row>
    <row r="127" spans="1:4" ht="10" customHeight="1" x14ac:dyDescent="0.2">
      <c r="A127" s="16" t="s">
        <v>3276</v>
      </c>
      <c r="B127" s="20" t="s">
        <v>370</v>
      </c>
      <c r="C127" s="38">
        <f>SUMIFS(JB_26BV,JB_B,1,JB_EX,"P-8a",JB_CC,"Ordnance",JB_H,"FFG",JB_CE,"MK 41 Vertical Launch System (VLS)- 32 Cell",JB_RC,"ALT")</f>
        <v>53315</v>
      </c>
      <c r="D127" s="26">
        <f t="shared" ref="D127:D144" si="5">IFERROR(C127/C$145,0)</f>
        <v>0.10445094439796956</v>
      </c>
    </row>
    <row r="128" spans="1:4" ht="10" customHeight="1" x14ac:dyDescent="0.2">
      <c r="A128" s="16" t="s">
        <v>3279</v>
      </c>
      <c r="B128" s="20" t="s">
        <v>370</v>
      </c>
      <c r="C128" s="38">
        <f>SUMIFS(JB_26BV,JB_B,1,JB_EX,"P-8a",JB_CC,"Ordnance",JB_H,"FFG",JB_CE,"MK 48 Gun Weapon System (GWS)",JB_RC,"ALT")</f>
        <v>30918</v>
      </c>
      <c r="D128" s="26">
        <f t="shared" si="5"/>
        <v>6.0572339846130037E-2</v>
      </c>
    </row>
    <row r="129" spans="1:4" ht="10" customHeight="1" x14ac:dyDescent="0.2">
      <c r="A129" s="16" t="s">
        <v>3287</v>
      </c>
      <c r="B129" s="20" t="s">
        <v>370</v>
      </c>
      <c r="C129" s="38">
        <f>SUMIFS(JB_26BV,JB_B,1,JB_EX,"P-8a",JB_CC,"Ordnance",JB_H,"FFG",JB_CE,"Other Ordnance",JB_RC,"ALT")</f>
        <v>6751</v>
      </c>
      <c r="D129" s="26">
        <f t="shared" si="5"/>
        <v>1.3226077569740083E-2</v>
      </c>
    </row>
    <row r="130" spans="1:4" ht="10" customHeight="1" x14ac:dyDescent="0.2">
      <c r="A130" s="16" t="s">
        <v>3284</v>
      </c>
      <c r="B130" s="20" t="s">
        <v>370</v>
      </c>
      <c r="C130" s="38">
        <f>SUMIFS(JB_26BV,JB_B,1,JB_EX,"P-8a",JB_CC,"Ordnance",JB_H,"FFG",JB_CE,"MK 53 Decoy Launching System (DLS) (Nulka)- 4 Launcher",JB_RC,"ALT")</f>
        <v>3098</v>
      </c>
      <c r="D130" s="26">
        <f t="shared" si="5"/>
        <v>6.0693805822922197E-3</v>
      </c>
    </row>
    <row r="131" spans="1:4" ht="10" customHeight="1" x14ac:dyDescent="0.2">
      <c r="A131" s="16" t="s">
        <v>3229</v>
      </c>
      <c r="B131" s="20" t="s">
        <v>361</v>
      </c>
      <c r="C131" s="38">
        <f>SUMIFS(JB_26BV,JB_B,1,JB_EX,"P-8a",JB_CC,"Electronics",JB_H,"FFG",JB_CE,"Enterprise Air Surveillance Radar (EASR)",JB_RC,"ALT")</f>
        <v>122605</v>
      </c>
      <c r="D131" s="26">
        <f t="shared" si="5"/>
        <v>0.24019896910650018</v>
      </c>
    </row>
    <row r="132" spans="1:4" ht="10" customHeight="1" x14ac:dyDescent="0.2">
      <c r="A132" s="16" t="s">
        <v>3232</v>
      </c>
      <c r="B132" s="20" t="s">
        <v>361</v>
      </c>
      <c r="C132" s="38">
        <f>SUMIFS(JB_26BV,JB_B,1,JB_EX,"P-8a",JB_CC,"Electronics",JB_H,"FFG",JB_CE,"AEGIS Weapon System (AWS)",JB_RC,"ALT")</f>
        <v>92392</v>
      </c>
      <c r="D132" s="26">
        <f t="shared" si="5"/>
        <v>0.1810078149642165</v>
      </c>
    </row>
    <row r="133" spans="1:4" ht="10" customHeight="1" x14ac:dyDescent="0.2">
      <c r="A133" s="16" t="s">
        <v>3235</v>
      </c>
      <c r="B133" s="20" t="s">
        <v>361</v>
      </c>
      <c r="C133" s="38">
        <f>SUMIFS(JB_26BV,JB_B,1,JB_EX,"P-8a",JB_CC,"Electronics",JB_H,"FFG",JB_CE,"Anti-Submarine Warfare (ASW) Combat Suite",JB_RC,"ALT")</f>
        <v>62571</v>
      </c>
      <c r="D133" s="26">
        <f t="shared" si="5"/>
        <v>0.12258463925584458</v>
      </c>
    </row>
    <row r="134" spans="1:4" ht="10" customHeight="1" x14ac:dyDescent="0.2">
      <c r="A134" s="16" t="s">
        <v>3240</v>
      </c>
      <c r="B134" s="20" t="s">
        <v>361</v>
      </c>
      <c r="C134" s="38">
        <f>SUMIFS(JB_26BV,JB_B,1,JB_EX,"P-8a",JB_CC,"Electronics",JB_H,"FFG",JB_CE,"Tactical COMINT System- Spectral",JB_RC,"ALT")</f>
        <v>39622</v>
      </c>
      <c r="D134" s="26">
        <f t="shared" si="5"/>
        <v>7.7624595684823217E-2</v>
      </c>
    </row>
    <row r="135" spans="1:4" ht="10" customHeight="1" x14ac:dyDescent="0.2">
      <c r="A135" s="16" t="s">
        <v>3249</v>
      </c>
      <c r="B135" s="20" t="s">
        <v>361</v>
      </c>
      <c r="C135" s="38">
        <f>SUMIFS(JB_26BV,JB_B,1,JB_EX,"P-8a",JB_CC,"Electronics",JB_H,"FFG",JB_CE,"External Communication Suite (EXCOMM)",JB_RC,"ALT")</f>
        <v>17197</v>
      </c>
      <c r="D135" s="26">
        <f t="shared" si="5"/>
        <v>3.3691135530561425E-2</v>
      </c>
    </row>
    <row r="136" spans="1:4" ht="10" customHeight="1" x14ac:dyDescent="0.2">
      <c r="A136" s="16" t="s">
        <v>3243</v>
      </c>
      <c r="B136" s="20" t="s">
        <v>361</v>
      </c>
      <c r="C136" s="38">
        <f>SUMIFS(JB_26BV,JB_B,1,JB_EX,"P-8a",JB_CC,"Electronics",JB_H,"FFG",JB_CE,"Cooperative Engagement Capability (CEC)",JB_RC,"ALT")</f>
        <v>14764</v>
      </c>
      <c r="D136" s="26">
        <f t="shared" si="5"/>
        <v>2.892457550579804E-2</v>
      </c>
    </row>
    <row r="137" spans="1:4" ht="10" customHeight="1" x14ac:dyDescent="0.2">
      <c r="A137" s="16" t="s">
        <v>3246</v>
      </c>
      <c r="B137" s="20" t="s">
        <v>361</v>
      </c>
      <c r="C137" s="38">
        <f>SUMIFS(JB_26BV,JB_B,1,JB_EX,"P-8a",JB_CC,"Electronics",JB_H,"FFG",JB_CE,"Identification Friend or Foe (IFF) UPX-29",JB_RC,"ALT")</f>
        <v>11447</v>
      </c>
      <c r="D137" s="26">
        <f t="shared" si="5"/>
        <v>2.2426145747417379E-2</v>
      </c>
    </row>
    <row r="138" spans="1:4" ht="10" customHeight="1" x14ac:dyDescent="0.2">
      <c r="A138" s="16" t="s">
        <v>3253</v>
      </c>
      <c r="B138" s="20" t="s">
        <v>367</v>
      </c>
      <c r="C138" s="38">
        <f>SUMIFS(JB_26BV,JB_B,1,JB_EX,"P-8a",JB_CC,"Hull, Mechanical, and Electrical",JB_H,"FFG",JB_CE,"Aircraft Ship Integrated Securing and Traversing System (ASIST)",JB_RC,"ALT")</f>
        <v>17349</v>
      </c>
      <c r="D138" s="26">
        <f t="shared" si="5"/>
        <v>3.3988923086568021E-2</v>
      </c>
    </row>
    <row r="139" spans="1:4" ht="10" customHeight="1" x14ac:dyDescent="0.2">
      <c r="A139" s="16" t="s">
        <v>1022</v>
      </c>
      <c r="B139" s="20" t="s">
        <v>367</v>
      </c>
      <c r="C139" s="38">
        <f>SUMIFS(JB_26BV,JB_B,1,JB_EX,"P-8a",JB_CC,"Hull, Mechanical, and Electrical",JB_H,"FFG",JB_CE,"Other HM&amp;E",JB_RC,"ALT")</f>
        <v>11772</v>
      </c>
      <c r="D139" s="26">
        <f t="shared" si="5"/>
        <v>2.306286256124726E-2</v>
      </c>
    </row>
    <row r="140" spans="1:4" ht="10" customHeight="1" x14ac:dyDescent="0.2">
      <c r="A140" s="16" t="s">
        <v>3256</v>
      </c>
      <c r="B140" s="20" t="s">
        <v>367</v>
      </c>
      <c r="C140" s="38">
        <f>SUMIFS(JB_26BV,JB_B,1,JB_EX,"P-8a",JB_CC,"Hull, Mechanical, and Electrical",JB_H,"FFG",JB_CE,"Internal Communication (IC) Voice",JB_RC,"ALT")</f>
        <v>7168</v>
      </c>
      <c r="D140" s="26">
        <f t="shared" si="5"/>
        <v>1.4043034220100269E-2</v>
      </c>
    </row>
    <row r="141" spans="1:4" ht="10" customHeight="1" x14ac:dyDescent="0.2">
      <c r="A141" s="16" t="s">
        <v>3265</v>
      </c>
      <c r="B141" s="20" t="s">
        <v>367</v>
      </c>
      <c r="C141" s="38">
        <f>SUMIFS(JB_26BV,JB_B,1,JB_EX,"P-8a",JB_CC,"Hull, Mechanical, and Electrical",JB_H,"FFG",JB_CE,"Interior Wireless Communication System (IWCS)",JB_RC,"ALT")</f>
        <v>5761</v>
      </c>
      <c r="D141" s="26">
        <f t="shared" si="5"/>
        <v>1.1286540198381368E-2</v>
      </c>
    </row>
    <row r="142" spans="1:4" ht="10" customHeight="1" x14ac:dyDescent="0.2">
      <c r="A142" s="16" t="s">
        <v>3262</v>
      </c>
      <c r="B142" s="20" t="s">
        <v>367</v>
      </c>
      <c r="C142" s="38">
        <f>SUMIFS(JB_26BV,JB_B,1,JB_EX,"P-8a",JB_CC,"Hull, Mechanical, and Electrical",JB_H,"FFG",JB_CE,"Unclassified Video System (UVS)",JB_RC,"ALT")</f>
        <v>4853</v>
      </c>
      <c r="D142" s="26">
        <f t="shared" si="5"/>
        <v>9.507651376973578E-3</v>
      </c>
    </row>
    <row r="143" spans="1:4" ht="10" customHeight="1" x14ac:dyDescent="0.2">
      <c r="A143" s="16" t="s">
        <v>3270</v>
      </c>
      <c r="B143" s="20" t="s">
        <v>367</v>
      </c>
      <c r="C143" s="38">
        <f>SUMIFS(JB_26BV,JB_B,1,JB_EX,"P-8a",JB_CC,"Hull, Mechanical, and Electrical",JB_H,"FFG",JB_CE,"Ship Control System-Government (SCS GOV)",JB_RC,"ALT")</f>
        <v>4425</v>
      </c>
      <c r="D143" s="26">
        <f t="shared" si="5"/>
        <v>8.6691443113760727E-3</v>
      </c>
    </row>
    <row r="144" spans="1:4" ht="10" customHeight="1" x14ac:dyDescent="0.2">
      <c r="A144" s="16" t="s">
        <v>3259</v>
      </c>
      <c r="B144" s="20" t="s">
        <v>367</v>
      </c>
      <c r="C144" s="38">
        <f>SUMIFS(JB_26BV,JB_B,1,JB_EX,"P-8a",JB_CC,"Hull, Mechanical, and Electrical",JB_H,"FFG",JB_CE,"Advanced Flight Deck Lighting System (AFDLS)",JB_RC,"ALT")</f>
        <v>4423</v>
      </c>
      <c r="D144" s="26">
        <f t="shared" si="5"/>
        <v>8.6652260540601954E-3</v>
      </c>
    </row>
    <row r="145" spans="1:4" ht="10" customHeight="1" x14ac:dyDescent="0.2">
      <c r="A145" s="21" t="s">
        <v>8405</v>
      </c>
      <c r="B145" s="23"/>
      <c r="C145" s="22">
        <f>SUM(C127:C144)</f>
        <v>510431</v>
      </c>
      <c r="D145" s="27">
        <v>1</v>
      </c>
    </row>
    <row r="146" spans="1:4" ht="10" customHeight="1" x14ac:dyDescent="0.2"/>
    <row r="147" spans="1:4" ht="10" customHeight="1" x14ac:dyDescent="0.2">
      <c r="A147" s="35" t="s">
        <v>8366</v>
      </c>
      <c r="B147" s="28"/>
      <c r="C147" s="28"/>
      <c r="D147" s="28"/>
    </row>
    <row r="148" spans="1:4" ht="10" customHeight="1" x14ac:dyDescent="0.2">
      <c r="A148" s="15" t="s">
        <v>8401</v>
      </c>
      <c r="B148" s="15" t="s">
        <v>15</v>
      </c>
      <c r="C148" s="15" t="s">
        <v>8319</v>
      </c>
      <c r="D148" s="15" t="s">
        <v>8402</v>
      </c>
    </row>
    <row r="149" spans="1:4" ht="10" customHeight="1" x14ac:dyDescent="0.2">
      <c r="A149" s="16" t="s">
        <v>3589</v>
      </c>
      <c r="B149" s="20" t="s">
        <v>370</v>
      </c>
      <c r="C149" s="38">
        <f>SUMIFS(JB_26BV,JB_B,1,JB_EX,"P-8a",JB_CC,"Ordnance",JB_H,"LPD",JB_CE,"EASR",JB_RC,"ALT")</f>
        <v>41004</v>
      </c>
      <c r="D149" s="26">
        <f t="shared" ref="D149:D181" si="6">IFERROR(C149/C$182,0)</f>
        <v>0.11526946528619178</v>
      </c>
    </row>
    <row r="150" spans="1:4" ht="10" customHeight="1" x14ac:dyDescent="0.2">
      <c r="A150" s="16" t="s">
        <v>3580</v>
      </c>
      <c r="B150" s="20" t="s">
        <v>370</v>
      </c>
      <c r="C150" s="38">
        <f>SUMIFS(JB_26BV,JB_B,1,JB_EX,"P-8a",JB_CC,"Ordnance",JB_H,"LPD",JB_CE,"RAM BLOCK II",JB_RC,"ALT")</f>
        <v>19956</v>
      </c>
      <c r="D150" s="26">
        <f t="shared" si="6"/>
        <v>5.6099830486080464E-2</v>
      </c>
    </row>
    <row r="151" spans="1:4" ht="10" customHeight="1" x14ac:dyDescent="0.2">
      <c r="A151" s="16" t="s">
        <v>3601</v>
      </c>
      <c r="B151" s="20" t="s">
        <v>370</v>
      </c>
      <c r="C151" s="38">
        <f>SUMIFS(JB_26BV,JB_B,1,JB_EX,"P-8a",JB_CC,"Ordnance",JB_H,"LPD",JB_CE,"MISCELLANEOUS ORDNANCE",JB_RC,"ALT")</f>
        <v>15509</v>
      </c>
      <c r="D151" s="26">
        <f t="shared" si="6"/>
        <v>4.3598530317128778E-2</v>
      </c>
    </row>
    <row r="152" spans="1:4" ht="10" customHeight="1" x14ac:dyDescent="0.2">
      <c r="A152" s="16" t="s">
        <v>3583</v>
      </c>
      <c r="B152" s="20" t="s">
        <v>370</v>
      </c>
      <c r="C152" s="38">
        <f>SUMIFS(JB_26BV,JB_B,1,JB_EX,"P-8a",JB_CC,"Ordnance",JB_H,"LPD",JB_CE,"MK 46 GUN",JB_RC,"ALT")</f>
        <v>9778</v>
      </c>
      <c r="D152" s="26">
        <f t="shared" si="6"/>
        <v>2.7487680020690256E-2</v>
      </c>
    </row>
    <row r="153" spans="1:4" ht="10" customHeight="1" x14ac:dyDescent="0.2">
      <c r="A153" s="16" t="s">
        <v>3586</v>
      </c>
      <c r="B153" s="20" t="s">
        <v>370</v>
      </c>
      <c r="C153" s="38">
        <f>SUMIFS(JB_26BV,JB_B,1,JB_EX,"P-8a",JB_CC,"Ordnance",JB_H,"LPD",JB_CE,"AN/SPQ-9B Radar Set",JB_RC,"ALT")</f>
        <v>7693</v>
      </c>
      <c r="D153" s="26">
        <f t="shared" si="6"/>
        <v>2.1626377827691771E-2</v>
      </c>
    </row>
    <row r="154" spans="1:4" ht="10" customHeight="1" x14ac:dyDescent="0.2">
      <c r="A154" s="16" t="s">
        <v>3592</v>
      </c>
      <c r="B154" s="20" t="s">
        <v>370</v>
      </c>
      <c r="C154" s="38">
        <f>SUMIFS(JB_26BV,JB_B,1,JB_EX,"P-8a",JB_CC,"Ordnance",JB_H,"LPD",JB_CE,"ASGSI/HOSS/MWS Fit Control &amp; Inst Land Sys",JB_RC,"ALT")</f>
        <v>3808</v>
      </c>
      <c r="D154" s="26">
        <f t="shared" si="6"/>
        <v>1.0704958633543515E-2</v>
      </c>
    </row>
    <row r="155" spans="1:4" ht="10" customHeight="1" x14ac:dyDescent="0.2">
      <c r="A155" s="16" t="s">
        <v>3598</v>
      </c>
      <c r="B155" s="20" t="s">
        <v>370</v>
      </c>
      <c r="C155" s="38">
        <f>SUMIFS(JB_26BV,JB_B,1,JB_EX,"P-8a",JB_CC,"Ordnance",JB_H,"LPD",JB_CE,"Next Generation Surface Search Radar (NGSSR)",JB_RC,"ALT")</f>
        <v>3228</v>
      </c>
      <c r="D155" s="26">
        <f t="shared" si="6"/>
        <v>9.0744764887285886E-3</v>
      </c>
    </row>
    <row r="156" spans="1:4" ht="10" customHeight="1" x14ac:dyDescent="0.2">
      <c r="A156" s="16" t="s">
        <v>3595</v>
      </c>
      <c r="B156" s="20" t="s">
        <v>370</v>
      </c>
      <c r="C156" s="38">
        <f>SUMIFS(JB_26BV,JB_B,1,JB_EX,"P-8a",JB_CC,"Ordnance",JB_H,"LPD",JB_CE,"ORDNANCE HANDLING EQUIPMENT",JB_RC,"ALT")</f>
        <v>496</v>
      </c>
      <c r="D156" s="26">
        <f t="shared" si="6"/>
        <v>1.3943433514279368E-3</v>
      </c>
    </row>
    <row r="157" spans="1:4" ht="10" customHeight="1" x14ac:dyDescent="0.2">
      <c r="A157" s="16" t="s">
        <v>2168</v>
      </c>
      <c r="B157" s="20" t="s">
        <v>361</v>
      </c>
      <c r="C157" s="38">
        <f>SUMIFS(JB_26BV,JB_B,1,JB_EX,"P-8a",JB_CC,"Electronics",JB_H,"LPD",JB_CE,"C4ISR",JB_RC,"ALT")</f>
        <v>83497</v>
      </c>
      <c r="D157" s="26">
        <f t="shared" si="6"/>
        <v>0.23472477180277912</v>
      </c>
    </row>
    <row r="158" spans="1:4" ht="10" customHeight="1" x14ac:dyDescent="0.2">
      <c r="A158" s="16" t="s">
        <v>3506</v>
      </c>
      <c r="B158" s="20" t="s">
        <v>361</v>
      </c>
      <c r="C158" s="38">
        <f>SUMIFS(JB_26BV,JB_B,1,JB_EX,"P-8a",JB_CC,"Electronics",JB_H,"LPD",JB_CE,"Mission Systems",JB_RC,"ALT")</f>
        <v>48271</v>
      </c>
      <c r="D158" s="26">
        <f t="shared" si="6"/>
        <v>0.13569828209027812</v>
      </c>
    </row>
    <row r="159" spans="1:4" ht="10" customHeight="1" x14ac:dyDescent="0.2">
      <c r="A159" s="16" t="s">
        <v>3549</v>
      </c>
      <c r="B159" s="20" t="s">
        <v>361</v>
      </c>
      <c r="C159" s="38">
        <f>SUMIFS(JB_26BV,JB_B,1,JB_EX,"P-8a",JB_CC,"Electronics",JB_H,"LPD",JB_CE,"Miscellaneous Electronics",JB_RC,"ALT")</f>
        <v>34698</v>
      </c>
      <c r="D159" s="26">
        <f t="shared" si="6"/>
        <v>9.7542188725497081E-2</v>
      </c>
    </row>
    <row r="160" spans="1:4" ht="10" customHeight="1" x14ac:dyDescent="0.2">
      <c r="A160" s="16" t="s">
        <v>3511</v>
      </c>
      <c r="B160" s="20" t="s">
        <v>361</v>
      </c>
      <c r="C160" s="38">
        <f>SUMIFS(JB_26BV,JB_B,1,JB_EX,"P-8a",JB_CC,"Electronics",JB_H,"LPD",JB_CE,"Ship Self Defense System (SSDS)",JB_RC,"ALT")</f>
        <v>25090</v>
      </c>
      <c r="D160" s="26">
        <f t="shared" si="6"/>
        <v>7.0532408643804306E-2</v>
      </c>
    </row>
    <row r="161" spans="1:4" ht="10" customHeight="1" x14ac:dyDescent="0.2">
      <c r="A161" s="16" t="s">
        <v>3519</v>
      </c>
      <c r="B161" s="20" t="s">
        <v>361</v>
      </c>
      <c r="C161" s="38">
        <f>SUMIFS(JB_26BV,JB_B,1,JB_EX,"P-8a",JB_CC,"Electronics",JB_H,"LPD",JB_CE,"AN/SLQ-32(V)6 Surface Electronic Warfare Improvement Program (SEWIP)",JB_RC,"ALT")</f>
        <v>14358</v>
      </c>
      <c r="D161" s="26">
        <f t="shared" si="6"/>
        <v>4.0362866612504676E-2</v>
      </c>
    </row>
    <row r="162" spans="1:4" ht="10" customHeight="1" x14ac:dyDescent="0.2">
      <c r="A162" s="16" t="s">
        <v>3243</v>
      </c>
      <c r="B162" s="20" t="s">
        <v>361</v>
      </c>
      <c r="C162" s="38">
        <f>SUMIFS(JB_26BV,JB_B,1,JB_EX,"P-8a",JB_CC,"Electronics",JB_H,"LPD",JB_CE,"Cooperative Engagement Capability (CEC)",JB_RC,"ALT")</f>
        <v>12200</v>
      </c>
      <c r="D162" s="26">
        <f t="shared" si="6"/>
        <v>3.4296348563348449E-2</v>
      </c>
    </row>
    <row r="163" spans="1:4" ht="10" customHeight="1" x14ac:dyDescent="0.2">
      <c r="A163" s="16" t="s">
        <v>3516</v>
      </c>
      <c r="B163" s="20" t="s">
        <v>361</v>
      </c>
      <c r="C163" s="38">
        <f>SUMIFS(JB_26BV,JB_B,1,JB_EX,"P-8a",JB_CC,"Electronics",JB_H,"LPD",JB_CE,"Interrogator System IFF (Identification Friend or Foe)",JB_RC,"ALT")</f>
        <v>6649</v>
      </c>
      <c r="D163" s="26">
        <f t="shared" si="6"/>
        <v>1.8691509967024903E-2</v>
      </c>
    </row>
    <row r="164" spans="1:4" ht="10" customHeight="1" x14ac:dyDescent="0.2">
      <c r="A164" s="16" t="s">
        <v>3552</v>
      </c>
      <c r="B164" s="20" t="s">
        <v>361</v>
      </c>
      <c r="C164" s="38">
        <f>SUMIFS(JB_26BV,JB_B,1,JB_EX,"P-8a",JB_CC,"Electronics",JB_H,"LPD",JB_CE,"IWS CSI",JB_RC,"ALT")</f>
        <v>4649</v>
      </c>
      <c r="D164" s="26">
        <f t="shared" si="6"/>
        <v>1.3069157743525158E-2</v>
      </c>
    </row>
    <row r="165" spans="1:4" ht="10" customHeight="1" x14ac:dyDescent="0.2">
      <c r="A165" s="16" t="s">
        <v>3528</v>
      </c>
      <c r="B165" s="20" t="s">
        <v>361</v>
      </c>
      <c r="C165" s="38">
        <f>SUMIFS(JB_26BV,JB_B,1,JB_EX,"P-8a",JB_CC,"Electronics",JB_H,"LPD",JB_CE,"AN/WSN-7(RLGN)",JB_RC,"ALT")</f>
        <v>4365</v>
      </c>
      <c r="D165" s="26">
        <f t="shared" si="6"/>
        <v>1.2270783727788195E-2</v>
      </c>
    </row>
    <row r="166" spans="1:4" ht="10" customHeight="1" x14ac:dyDescent="0.2">
      <c r="A166" s="16" t="s">
        <v>3522</v>
      </c>
      <c r="B166" s="20" t="s">
        <v>361</v>
      </c>
      <c r="C166" s="38">
        <f>SUMIFS(JB_26BV,JB_B,1,JB_EX,"P-8a",JB_CC,"Electronics",JB_H,"LPD",JB_CE,"HM&amp;E Condition System (HMECS)",JB_RC,"ALT")</f>
        <v>3900</v>
      </c>
      <c r="D166" s="26">
        <f t="shared" si="6"/>
        <v>1.0963586835824504E-2</v>
      </c>
    </row>
    <row r="167" spans="1:4" ht="10" customHeight="1" x14ac:dyDescent="0.2">
      <c r="A167" s="16" t="s">
        <v>3546</v>
      </c>
      <c r="B167" s="20" t="s">
        <v>361</v>
      </c>
      <c r="C167" s="38">
        <f>SUMIFS(JB_26BV,JB_B,1,JB_EX,"P-8a",JB_CC,"Electronics",JB_H,"LPD",JB_CE,"Electronic Charting Display and Information Systems-Navy (ECDIS-N)",JB_RC,"ALT")</f>
        <v>1970</v>
      </c>
      <c r="D167" s="26">
        <f t="shared" si="6"/>
        <v>5.5380169401472498E-3</v>
      </c>
    </row>
    <row r="168" spans="1:4" ht="10" customHeight="1" x14ac:dyDescent="0.2">
      <c r="A168" s="16" t="s">
        <v>3531</v>
      </c>
      <c r="B168" s="20" t="s">
        <v>361</v>
      </c>
      <c r="C168" s="38">
        <f>SUMIFS(JB_26BV,JB_B,1,JB_EX,"P-8a",JB_CC,"Electronics",JB_H,"LPD",JB_CE,"Nulka Decoy Launching System (DLS)",JB_RC,"ALT")</f>
        <v>1596</v>
      </c>
      <c r="D168" s="26">
        <f t="shared" si="6"/>
        <v>4.4866370743527973E-3</v>
      </c>
    </row>
    <row r="169" spans="1:4" ht="10" customHeight="1" x14ac:dyDescent="0.2">
      <c r="A169" s="16" t="s">
        <v>3525</v>
      </c>
      <c r="B169" s="20" t="s">
        <v>361</v>
      </c>
      <c r="C169" s="38">
        <f>SUMIFS(JB_26BV,JB_B,1,JB_EX,"P-8a",JB_CC,"Electronics",JB_H,"LPD",JB_CE,"Advanced Training Domain (ATD)",JB_RC,"ALT")</f>
        <v>1407</v>
      </c>
      <c r="D169" s="26">
        <f t="shared" si="6"/>
        <v>3.9553247892320708E-3</v>
      </c>
    </row>
    <row r="170" spans="1:4" ht="10" customHeight="1" x14ac:dyDescent="0.2">
      <c r="A170" s="16" t="s">
        <v>3534</v>
      </c>
      <c r="B170" s="20" t="s">
        <v>361</v>
      </c>
      <c r="C170" s="38">
        <f>SUMIFS(JB_26BV,JB_B,1,JB_EX,"P-8a",JB_CC,"Electronics",JB_H,"LPD",JB_CE,"Amphibious Assault Direction System (AADS)",JB_RC,"ALT")</f>
        <v>1168</v>
      </c>
      <c r="D170" s="26">
        <f t="shared" si="6"/>
        <v>3.2834536985238516E-3</v>
      </c>
    </row>
    <row r="171" spans="1:4" ht="10" customHeight="1" x14ac:dyDescent="0.2">
      <c r="A171" s="16" t="s">
        <v>3543</v>
      </c>
      <c r="B171" s="20" t="s">
        <v>361</v>
      </c>
      <c r="C171" s="38">
        <f>SUMIFS(JB_26BV,JB_B,1,JB_EX,"P-8a",JB_CC,"Electronics",JB_H,"LPD",JB_CE,"DHYSL",JB_RC,"ALT")</f>
        <v>420</v>
      </c>
      <c r="D171" s="26">
        <f t="shared" si="6"/>
        <v>1.1806939669349466E-3</v>
      </c>
    </row>
    <row r="172" spans="1:4" ht="10" customHeight="1" x14ac:dyDescent="0.2">
      <c r="A172" s="16" t="s">
        <v>3540</v>
      </c>
      <c r="B172" s="20" t="s">
        <v>361</v>
      </c>
      <c r="C172" s="38">
        <f>SUMIFS(JB_26BV,JB_B,1,JB_EX,"P-8a",JB_CC,"Electronics",JB_H,"LPD",JB_CE,"AN/UQN-10",JB_RC,"ALT")</f>
        <v>229</v>
      </c>
      <c r="D172" s="26">
        <f t="shared" si="6"/>
        <v>6.4375932959072086E-4</v>
      </c>
    </row>
    <row r="173" spans="1:4" ht="10" customHeight="1" x14ac:dyDescent="0.2">
      <c r="A173" s="16" t="s">
        <v>3537</v>
      </c>
      <c r="B173" s="20" t="s">
        <v>361</v>
      </c>
      <c r="C173" s="38">
        <f>SUMIFS(JB_26BV,JB_B,1,JB_EX,"P-8a",JB_CC,"Electronics",JB_H,"LPD",JB_CE,"RADIAC",JB_RC,"ALT")</f>
        <v>115</v>
      </c>
      <c r="D173" s="26">
        <f t="shared" si="6"/>
        <v>3.2328525285123537E-4</v>
      </c>
    </row>
    <row r="174" spans="1:4" ht="10" customHeight="1" x14ac:dyDescent="0.2">
      <c r="A174" s="16" t="s">
        <v>3262</v>
      </c>
      <c r="B174" s="20" t="s">
        <v>367</v>
      </c>
      <c r="C174" s="38">
        <f>SUMIFS(JB_26BV,JB_B,1,JB_EX,"P-8a",JB_CC,"Hull, Mechanical, and Electrical",JB_H,"LPD",JB_CE,"Unclassified Video System (UVS)",JB_RC,"ALT")</f>
        <v>2801</v>
      </c>
      <c r="D174" s="26">
        <f t="shared" si="6"/>
        <v>7.8741042890113945E-3</v>
      </c>
    </row>
    <row r="175" spans="1:4" ht="10" customHeight="1" x14ac:dyDescent="0.2">
      <c r="A175" s="16" t="s">
        <v>3559</v>
      </c>
      <c r="B175" s="20" t="s">
        <v>367</v>
      </c>
      <c r="C175" s="38">
        <f>SUMIFS(JB_26BV,JB_B,1,JB_EX,"P-8a",JB_CC,"Hull, Mechanical, and Electrical",JB_H,"LPD",JB_CE,"Forklift Trucks",JB_RC,"ALT")</f>
        <v>2424</v>
      </c>
      <c r="D175" s="26">
        <f t="shared" si="6"/>
        <v>6.8142908948816919E-3</v>
      </c>
    </row>
    <row r="176" spans="1:4" ht="10" customHeight="1" x14ac:dyDescent="0.2">
      <c r="A176" s="16" t="s">
        <v>3562</v>
      </c>
      <c r="B176" s="20" t="s">
        <v>367</v>
      </c>
      <c r="C176" s="38">
        <f>SUMIFS(JB_26BV,JB_B,1,JB_EX,"P-8a",JB_CC,"Hull, Mechanical, and Electrical",JB_H,"LPD",JB_CE,"Chemical Warfare Detectors",JB_RC,"ALT")</f>
        <v>1016</v>
      </c>
      <c r="D176" s="26">
        <f t="shared" si="6"/>
        <v>2.8561549295378708E-3</v>
      </c>
    </row>
    <row r="177" spans="1:4" ht="10" customHeight="1" x14ac:dyDescent="0.2">
      <c r="A177" s="16" t="s">
        <v>3568</v>
      </c>
      <c r="B177" s="20" t="s">
        <v>367</v>
      </c>
      <c r="C177" s="38">
        <f>SUMIFS(JB_26BV,JB_B,1,JB_EX,"P-8a",JB_CC,"Hull, Mechanical, and Electrical",JB_H,"LPD",JB_CE,"Motor Operated Pilot Valve (MOPV)",JB_RC,"ALT")</f>
        <v>839</v>
      </c>
      <c r="D177" s="26">
        <f t="shared" si="6"/>
        <v>2.3585767577581434E-3</v>
      </c>
    </row>
    <row r="178" spans="1:4" ht="10" customHeight="1" x14ac:dyDescent="0.2">
      <c r="A178" s="16" t="s">
        <v>3574</v>
      </c>
      <c r="B178" s="20" t="s">
        <v>367</v>
      </c>
      <c r="C178" s="38">
        <f>SUMIFS(JB_26BV,JB_B,1,JB_EX,"P-8a",JB_CC,"Hull, Mechanical, and Electrical",JB_H,"LPD",JB_CE,"Plastic Waste Processing EQP",JB_RC,"ALT")</f>
        <v>836</v>
      </c>
      <c r="D178" s="26">
        <f t="shared" si="6"/>
        <v>2.3501432294228937E-3</v>
      </c>
    </row>
    <row r="179" spans="1:4" ht="10" customHeight="1" x14ac:dyDescent="0.2">
      <c r="A179" s="16" t="s">
        <v>3556</v>
      </c>
      <c r="B179" s="20" t="s">
        <v>367</v>
      </c>
      <c r="C179" s="38">
        <f>SUMIFS(JB_26BV,JB_B,1,JB_EX,"P-8a",JB_CC,"Hull, Mechanical, and Electrical",JB_H,"LPD",JB_CE,"Boats (Rigid Inflatable Boat, 7 meter)",JB_RC,"ALT")</f>
        <v>722</v>
      </c>
      <c r="D179" s="26">
        <f t="shared" si="6"/>
        <v>2.029669152683408E-3</v>
      </c>
    </row>
    <row r="180" spans="1:4" ht="10" customHeight="1" x14ac:dyDescent="0.2">
      <c r="A180" s="16" t="s">
        <v>3565</v>
      </c>
      <c r="B180" s="20" t="s">
        <v>367</v>
      </c>
      <c r="C180" s="38">
        <f>SUMIFS(JB_26BV,JB_B,1,JB_EX,"P-8a",JB_CC,"Hull, Mechanical, and Electrical",JB_H,"LPD",JB_CE,"Military Payroll System",JB_RC,"ALT")</f>
        <v>686</v>
      </c>
      <c r="D180" s="26">
        <f t="shared" si="6"/>
        <v>1.9284668126604127E-3</v>
      </c>
    </row>
    <row r="181" spans="1:4" ht="10" customHeight="1" x14ac:dyDescent="0.2">
      <c r="A181" s="16" t="s">
        <v>3571</v>
      </c>
      <c r="B181" s="20" t="s">
        <v>367</v>
      </c>
      <c r="C181" s="38">
        <f>SUMIFS(JB_26BV,JB_B,1,JB_EX,"P-8a",JB_CC,"Hull, Mechanical, and Electrical",JB_H,"LPD",JB_CE,"Oily Water Separator",JB_RC,"ALT")</f>
        <v>345</v>
      </c>
      <c r="D181" s="26">
        <f t="shared" si="6"/>
        <v>9.6985575855370611E-4</v>
      </c>
    </row>
    <row r="182" spans="1:4" ht="10" customHeight="1" x14ac:dyDescent="0.2">
      <c r="A182" s="21" t="s">
        <v>8406</v>
      </c>
      <c r="B182" s="23"/>
      <c r="C182" s="22">
        <f>SUM(C149:C181)</f>
        <v>355723</v>
      </c>
      <c r="D182" s="27">
        <v>1</v>
      </c>
    </row>
    <row r="183" spans="1:4" ht="10" customHeight="1" x14ac:dyDescent="0.2"/>
    <row r="184" spans="1:4" ht="10" customHeight="1" x14ac:dyDescent="0.2">
      <c r="A184" s="35" t="s">
        <v>8369</v>
      </c>
      <c r="B184" s="28"/>
      <c r="C184" s="28"/>
      <c r="D184" s="28"/>
    </row>
    <row r="185" spans="1:4" ht="10" customHeight="1" x14ac:dyDescent="0.2">
      <c r="A185" s="15" t="s">
        <v>8401</v>
      </c>
      <c r="B185" s="15" t="s">
        <v>15</v>
      </c>
      <c r="C185" s="15" t="s">
        <v>8319</v>
      </c>
      <c r="D185" s="15" t="s">
        <v>8402</v>
      </c>
    </row>
    <row r="186" spans="1:4" ht="10" customHeight="1" x14ac:dyDescent="0.2">
      <c r="A186" s="16" t="s">
        <v>4210</v>
      </c>
      <c r="B186" s="20" t="s">
        <v>361</v>
      </c>
      <c r="C186" s="38">
        <f>SUMIFS(JB_26BV,JB_B,1,JB_EX,"P-8a",JB_CC,"Electronics",JB_H,"T-AGOS",JB_CE,"Surveillance Towed Array Sensor System (SURTASS)",JB_RC,"ALT")</f>
        <v>89515</v>
      </c>
      <c r="D186" s="26">
        <f>IFERROR(C186/C$188,0)</f>
        <v>0.77179414224498422</v>
      </c>
    </row>
    <row r="187" spans="1:4" ht="10" customHeight="1" x14ac:dyDescent="0.2">
      <c r="A187" s="16" t="s">
        <v>4207</v>
      </c>
      <c r="B187" s="20" t="s">
        <v>361</v>
      </c>
      <c r="C187" s="38">
        <f>SUMIFS(JB_26BV,JB_B,1,JB_EX,"P-8a",JB_CC,"Electronics",JB_H,"T-AGOS",JB_CE,"Command, Control, Communications, Computers and Intelligence (C4I)",JB_RC,"ALT")</f>
        <v>26468</v>
      </c>
      <c r="D187" s="26">
        <f>IFERROR(C187/C$188,0)</f>
        <v>0.22820585775501581</v>
      </c>
    </row>
    <row r="188" spans="1:4" ht="10" customHeight="1" x14ac:dyDescent="0.2">
      <c r="A188" s="21" t="s">
        <v>8407</v>
      </c>
      <c r="B188" s="23"/>
      <c r="C188" s="22">
        <f>SUM(C186:C187)</f>
        <v>115983</v>
      </c>
      <c r="D188" s="27">
        <v>1</v>
      </c>
    </row>
    <row r="189" spans="1:4" ht="10" customHeight="1" x14ac:dyDescent="0.2"/>
    <row r="190" spans="1:4" ht="10" customHeight="1" x14ac:dyDescent="0.2">
      <c r="A190" s="35" t="s">
        <v>8364</v>
      </c>
      <c r="B190" s="28"/>
      <c r="C190" s="28"/>
      <c r="D190" s="28"/>
    </row>
    <row r="191" spans="1:4" ht="10" customHeight="1" x14ac:dyDescent="0.2">
      <c r="A191" s="15" t="s">
        <v>8401</v>
      </c>
      <c r="B191" s="15" t="s">
        <v>15</v>
      </c>
      <c r="C191" s="15" t="s">
        <v>8319</v>
      </c>
      <c r="D191" s="15" t="s">
        <v>8402</v>
      </c>
    </row>
    <row r="192" spans="1:4" ht="10" customHeight="1" x14ac:dyDescent="0.2">
      <c r="A192" s="16" t="s">
        <v>4128</v>
      </c>
      <c r="B192" s="20" t="s">
        <v>361</v>
      </c>
      <c r="C192" s="38">
        <f>SUMIFS(JB_26BV,JB_B,1,JB_EX,"P-8a",JB_CC,"Electronics",JB_H,"T-AO",JB_CE,"Network Management System (NMS) 2.0/Consolidated Afloat Networks and Enterprise Services (CANES) [T-AO 214]",JB_RC,"ALT")</f>
        <v>17829</v>
      </c>
      <c r="D192" s="26">
        <f t="shared" ref="D192:D205" si="7">IFERROR(C192/C$206,0)</f>
        <v>0.27029198629513962</v>
      </c>
    </row>
    <row r="193" spans="1:4" ht="10" customHeight="1" x14ac:dyDescent="0.2">
      <c r="A193" s="16" t="s">
        <v>4149</v>
      </c>
      <c r="B193" s="20" t="s">
        <v>361</v>
      </c>
      <c r="C193" s="38">
        <f>SUMIFS(JB_26BV,JB_B,1,JB_EX,"P-8a",JB_CC,"Electronics",JB_H,"T-AO",JB_CE,"Minor Systems",JB_RC,"ALT")</f>
        <v>7265</v>
      </c>
      <c r="D193" s="26">
        <f t="shared" si="7"/>
        <v>0.11013917103787028</v>
      </c>
    </row>
    <row r="194" spans="1:4" ht="10" customHeight="1" x14ac:dyDescent="0.2">
      <c r="A194" s="16" t="s">
        <v>4125</v>
      </c>
      <c r="B194" s="20" t="s">
        <v>361</v>
      </c>
      <c r="C194" s="38">
        <f>SUMIFS(JB_26BV,JB_B,1,JB_EX,"P-8a",JB_CC,"Electronics",JB_H,"T-AO",JB_CE,"Radio Communication System (RCS) TURNKEY",JB_RC,"ALT")</f>
        <v>6574</v>
      </c>
      <c r="D194" s="26">
        <f t="shared" si="7"/>
        <v>9.966344258815682E-2</v>
      </c>
    </row>
    <row r="195" spans="1:4" ht="10" customHeight="1" x14ac:dyDescent="0.2">
      <c r="A195" s="16" t="s">
        <v>4137</v>
      </c>
      <c r="B195" s="20" t="s">
        <v>361</v>
      </c>
      <c r="C195" s="38">
        <f>SUMIFS(JB_26BV,JB_B,1,JB_EX,"P-8a",JB_CC,"Electronics",JB_H,"T-AO",JB_CE,"AN/SLQ-25 NIXIE",JB_RC,"ALT")</f>
        <v>6213</v>
      </c>
      <c r="D195" s="26">
        <f t="shared" si="7"/>
        <v>9.4190594584760923E-2</v>
      </c>
    </row>
    <row r="196" spans="1:4" ht="10" customHeight="1" x14ac:dyDescent="0.2">
      <c r="A196" s="16" t="s">
        <v>4131</v>
      </c>
      <c r="B196" s="20" t="s">
        <v>361</v>
      </c>
      <c r="C196" s="38">
        <f>SUMIFS(JB_26BV,JB_B,1,JB_EX,"P-8a",JB_CC,"Electronics",JB_H,"T-AO",JB_CE,"Digital Modular Radio (DMR)",JB_RC,"ALT")</f>
        <v>4624</v>
      </c>
      <c r="D196" s="26">
        <f t="shared" si="7"/>
        <v>7.0100967223552954E-2</v>
      </c>
    </row>
    <row r="197" spans="1:4" ht="10" customHeight="1" x14ac:dyDescent="0.2">
      <c r="A197" s="16" t="s">
        <v>4134</v>
      </c>
      <c r="B197" s="20" t="s">
        <v>361</v>
      </c>
      <c r="C197" s="38">
        <f>SUMIFS(JB_26BV,JB_B,1,JB_EX,"P-8a",JB_CC,"Electronics",JB_H,"T-AO",JB_CE,"Commercial Broadband Satellite Program (CBSP)",JB_RC,"ALT")</f>
        <v>4184</v>
      </c>
      <c r="D197" s="26">
        <f t="shared" si="7"/>
        <v>6.3430459961796179E-2</v>
      </c>
    </row>
    <row r="198" spans="1:4" ht="10" customHeight="1" x14ac:dyDescent="0.2">
      <c r="A198" s="16" t="s">
        <v>4143</v>
      </c>
      <c r="B198" s="20" t="s">
        <v>361</v>
      </c>
      <c r="C198" s="38">
        <f>SUMIFS(JB_26BV,JB_B,1,JB_EX,"P-8a",JB_CC,"Electronics",JB_H,"T-AO",JB_CE,"OA-9277A",JB_RC,"ALT")</f>
        <v>1915</v>
      </c>
      <c r="D198" s="26">
        <f t="shared" si="7"/>
        <v>2.9031866832418665E-2</v>
      </c>
    </row>
    <row r="199" spans="1:4" ht="10" customHeight="1" x14ac:dyDescent="0.2">
      <c r="A199" s="16" t="s">
        <v>4146</v>
      </c>
      <c r="B199" s="20" t="s">
        <v>361</v>
      </c>
      <c r="C199" s="38">
        <f>SUMIFS(JB_26BV,JB_B,1,JB_EX,"P-8a",JB_CC,"Electronics",JB_H,"T-AO",JB_CE,"Battle Force Tactical Network (BFTN)/BFTN Resilient Command and Control System Enhancement (BRSE)",JB_RC,"ALT")</f>
        <v>1533</v>
      </c>
      <c r="D199" s="26">
        <f t="shared" si="7"/>
        <v>2.3240653709711651E-2</v>
      </c>
    </row>
    <row r="200" spans="1:4" ht="10" customHeight="1" x14ac:dyDescent="0.2">
      <c r="A200" s="16" t="s">
        <v>4140</v>
      </c>
      <c r="B200" s="20" t="s">
        <v>361</v>
      </c>
      <c r="C200" s="38">
        <f>SUMIFS(JB_26BV,JB_B,1,JB_EX,"P-8a",JB_CC,"Electronics",JB_H,"T-AO",JB_CE,"AN/USQ-155 Tactical Variant Switch (TVS)",JB_RC,"ALT")</f>
        <v>1449</v>
      </c>
      <c r="D200" s="26">
        <f t="shared" si="7"/>
        <v>2.1967193232467177E-2</v>
      </c>
    </row>
    <row r="201" spans="1:4" ht="10" customHeight="1" x14ac:dyDescent="0.2">
      <c r="A201" s="16" t="s">
        <v>4153</v>
      </c>
      <c r="B201" s="20" t="s">
        <v>367</v>
      </c>
      <c r="C201" s="38">
        <f>SUMIFS(JB_26BV,JB_B,1,JB_EX,"P-8a",JB_CC,"Hull, Mechanical, and Electrical",JB_H,"T-AO",JB_CE,"Engineering Services",JB_RC,"ALT")</f>
        <v>10355</v>
      </c>
      <c r="D201" s="26">
        <f t="shared" si="7"/>
        <v>0.15698432430793488</v>
      </c>
    </row>
    <row r="202" spans="1:4" ht="10" customHeight="1" x14ac:dyDescent="0.2">
      <c r="A202" s="16" t="s">
        <v>4156</v>
      </c>
      <c r="B202" s="20" t="s">
        <v>367</v>
      </c>
      <c r="C202" s="38">
        <f>SUMIFS(JB_26BV,JB_B,1,JB_EX,"P-8a",JB_CC,"Hull, Mechanical, and Electrical",JB_H,"T-AO",JB_CE,"Logistics Support Services",JB_RC,"ALT")</f>
        <v>1729</v>
      </c>
      <c r="D202" s="26">
        <f t="shared" si="7"/>
        <v>2.6212061489948757E-2</v>
      </c>
    </row>
    <row r="203" spans="1:4" ht="10" customHeight="1" x14ac:dyDescent="0.2">
      <c r="A203" s="16" t="s">
        <v>4159</v>
      </c>
      <c r="B203" s="20" t="s">
        <v>367</v>
      </c>
      <c r="C203" s="38">
        <f>SUMIFS(JB_26BV,JB_B,1,JB_EX,"P-8a",JB_CC,"Hull, Mechanical, and Electrical",JB_H,"T-AO",JB_CE,"Material Handling Equipment",JB_RC,"ALT")</f>
        <v>1157</v>
      </c>
      <c r="D203" s="26">
        <f t="shared" si="7"/>
        <v>1.754040204966496E-2</v>
      </c>
    </row>
    <row r="204" spans="1:4" ht="10" customHeight="1" x14ac:dyDescent="0.2">
      <c r="A204" s="16" t="s">
        <v>4165</v>
      </c>
      <c r="B204" s="20" t="s">
        <v>367</v>
      </c>
      <c r="C204" s="38">
        <f>SUMIFS(JB_26BV,JB_B,1,JB_EX,"P-8a",JB_CC,"Hull, Mechanical, and Electrical",JB_H,"T-AO",JB_CE,"Improved Point Detection System - Lifecycle Replacement (IPDS-LR)",JB_RC,"ALT")</f>
        <v>660</v>
      </c>
      <c r="D204" s="26">
        <f t="shared" si="7"/>
        <v>1.0005760892635154E-2</v>
      </c>
    </row>
    <row r="205" spans="1:4" ht="10" customHeight="1" x14ac:dyDescent="0.2">
      <c r="A205" s="16" t="s">
        <v>4162</v>
      </c>
      <c r="B205" s="20" t="s">
        <v>367</v>
      </c>
      <c r="C205" s="38">
        <f>SUMIFS(JB_26BV,JB_B,1,JB_EX,"P-8a",JB_CC,"Hull, Mechanical, and Electrical",JB_H,"T-AO",JB_CE,"Shipboard Automated Maintenance Module (SAMM)",JB_RC,"ALT")</f>
        <v>475</v>
      </c>
      <c r="D205" s="26">
        <f t="shared" si="7"/>
        <v>7.201115793941967E-3</v>
      </c>
    </row>
    <row r="206" spans="1:4" ht="10" customHeight="1" x14ac:dyDescent="0.2">
      <c r="A206" s="21" t="s">
        <v>8408</v>
      </c>
      <c r="B206" s="23"/>
      <c r="C206" s="22">
        <f>SUM(C192:C205)</f>
        <v>65962</v>
      </c>
      <c r="D206" s="27">
        <v>1</v>
      </c>
    </row>
    <row r="207" spans="1:4" ht="10" customHeight="1" x14ac:dyDescent="0.2"/>
    <row r="208" spans="1:4" ht="10" customHeight="1" x14ac:dyDescent="0.2"/>
    <row r="209" spans="1:5" ht="10" customHeight="1" x14ac:dyDescent="0.2">
      <c r="A209" s="6" t="s">
        <v>8409</v>
      </c>
      <c r="B209" s="7"/>
      <c r="C209" s="7"/>
      <c r="D209" s="7"/>
      <c r="E209" s="7"/>
    </row>
    <row r="210" spans="1:5" ht="10" customHeight="1" x14ac:dyDescent="0.2">
      <c r="A210" s="20" t="s">
        <v>8410</v>
      </c>
    </row>
    <row r="211" spans="1:5" ht="10" customHeight="1" x14ac:dyDescent="0.2">
      <c r="A211" s="15" t="s">
        <v>8401</v>
      </c>
      <c r="B211" s="15" t="s">
        <v>15</v>
      </c>
      <c r="C211" s="15" t="s">
        <v>8319</v>
      </c>
      <c r="D211" s="15" t="s">
        <v>8411</v>
      </c>
      <c r="E211" s="15" t="s">
        <v>8412</v>
      </c>
    </row>
    <row r="212" spans="1:5" ht="10" customHeight="1" x14ac:dyDescent="0.2">
      <c r="A212" s="16" t="s">
        <v>2894</v>
      </c>
      <c r="B212" s="20" t="s">
        <v>370</v>
      </c>
      <c r="C212" s="38">
        <f>SUMIFS(JB_26BV,JB_B,1,JB_EX,"P-8a",JB_CE,"AN/SPY-6(V)1 (AMDR)",JB_RC,"ALT")</f>
        <v>692876</v>
      </c>
      <c r="D212" s="16">
        <v>1</v>
      </c>
      <c r="E212" s="20" t="s">
        <v>120</v>
      </c>
    </row>
    <row r="213" spans="1:5" ht="10" customHeight="1" x14ac:dyDescent="0.2">
      <c r="A213" s="16" t="s">
        <v>2891</v>
      </c>
      <c r="B213" s="20" t="s">
        <v>370</v>
      </c>
      <c r="C213" s="38">
        <f>SUMIFS(JB_26BV,JB_B,1,JB_EX,"P-8a",JB_CE,"AEGIS WEAPON SYSTEM (MK-7)",JB_RC,"ALT")</f>
        <v>465717</v>
      </c>
      <c r="D213" s="16">
        <v>1</v>
      </c>
      <c r="E213" s="20" t="s">
        <v>120</v>
      </c>
    </row>
    <row r="214" spans="1:5" ht="10" customHeight="1" x14ac:dyDescent="0.2">
      <c r="A214" s="16" t="s">
        <v>2636</v>
      </c>
      <c r="B214" s="20" t="s">
        <v>361</v>
      </c>
      <c r="C214" s="38">
        <f>SUMIFS(JB_26BV,JB_B,1,JB_EX,"P-8a",JB_CE,"VERTICAL LAUNCHING SYSTEM (VLS) MK 57 4-CELL MODULES",JB_RC,"ALT")</f>
        <v>302815</v>
      </c>
      <c r="D214" s="16">
        <v>1</v>
      </c>
      <c r="E214" s="20" t="s">
        <v>120</v>
      </c>
    </row>
    <row r="215" spans="1:5" ht="10" customHeight="1" x14ac:dyDescent="0.2">
      <c r="A215" s="16" t="s">
        <v>2609</v>
      </c>
      <c r="B215" s="20" t="s">
        <v>361</v>
      </c>
      <c r="C215" s="38">
        <f>SUMIFS(JB_26BV,JB_B,1,JB_EX,"P-8a",JB_CE,"MULTI FUNCTION RADAR (MFR)",JB_RC,"ALT")</f>
        <v>297999</v>
      </c>
      <c r="D215" s="16">
        <v>1</v>
      </c>
      <c r="E215" s="20" t="s">
        <v>120</v>
      </c>
    </row>
    <row r="216" spans="1:5" ht="10" customHeight="1" x14ac:dyDescent="0.2">
      <c r="A216" s="16" t="s">
        <v>2615</v>
      </c>
      <c r="B216" s="20" t="s">
        <v>361</v>
      </c>
      <c r="C216" s="38">
        <f>SUMIFS(JB_26BV,JB_B,1,JB_EX,"P-8a",JB_CE,"TOTAL SHIP COMPUTING ENVIRONMENT (TSCE)",JB_RC,"ALT")</f>
        <v>259191</v>
      </c>
      <c r="D216" s="16">
        <v>1</v>
      </c>
      <c r="E216" s="20" t="s">
        <v>120</v>
      </c>
    </row>
    <row r="217" spans="1:5" ht="10" customHeight="1" x14ac:dyDescent="0.2">
      <c r="A217" s="16" t="s">
        <v>2670</v>
      </c>
      <c r="B217" s="20" t="s">
        <v>370</v>
      </c>
      <c r="C217" s="38">
        <f>SUMIFS(JB_26BV,JB_B,1,JB_EX,"P-8a",JB_CE,"ADVANCED GUN SYSTEM (AGS)",JB_RC,"ALT")</f>
        <v>248596</v>
      </c>
      <c r="D217" s="16">
        <v>1</v>
      </c>
      <c r="E217" s="20" t="s">
        <v>120</v>
      </c>
    </row>
    <row r="218" spans="1:5" ht="10" customHeight="1" x14ac:dyDescent="0.2">
      <c r="A218" s="16" t="s">
        <v>2830</v>
      </c>
      <c r="B218" s="20" t="s">
        <v>361</v>
      </c>
      <c r="C218" s="38">
        <f>SUMIFS(JB_26BV,JB_B,1,JB_EX,"P-8a",JB_CE,"AN/SLQ-32 SEWIP V(7)",JB_RC,"ALT")</f>
        <v>247277</v>
      </c>
      <c r="D218" s="16">
        <v>1</v>
      </c>
      <c r="E218" s="20" t="s">
        <v>120</v>
      </c>
    </row>
    <row r="219" spans="1:5" ht="10" customHeight="1" x14ac:dyDescent="0.2">
      <c r="A219" s="16" t="s">
        <v>2897</v>
      </c>
      <c r="B219" s="20" t="s">
        <v>370</v>
      </c>
      <c r="C219" s="38">
        <f>SUMIFS(JB_26BV,JB_B,1,JB_EX,"P-8a",JB_CE,"VLS MK 41",JB_RC,"ALT")</f>
        <v>219986</v>
      </c>
      <c r="D219" s="16">
        <v>1</v>
      </c>
      <c r="E219" s="20" t="s">
        <v>120</v>
      </c>
    </row>
    <row r="220" spans="1:5" ht="10" customHeight="1" x14ac:dyDescent="0.2">
      <c r="A220" s="16" t="s">
        <v>2836</v>
      </c>
      <c r="B220" s="20" t="s">
        <v>361</v>
      </c>
      <c r="C220" s="38">
        <f>SUMIFS(JB_26BV,JB_B,1,JB_EX,"P-8a",JB_CE,"EXCOMM",JB_RC,"ALT")</f>
        <v>194160</v>
      </c>
      <c r="D220" s="16">
        <v>1</v>
      </c>
      <c r="E220" s="20" t="s">
        <v>120</v>
      </c>
    </row>
    <row r="221" spans="1:5" ht="10" customHeight="1" x14ac:dyDescent="0.2">
      <c r="A221" s="16" t="s">
        <v>2924</v>
      </c>
      <c r="B221" s="20" t="s">
        <v>370</v>
      </c>
      <c r="C221" s="38">
        <f>SUMIFS(JB_26BV,JB_B,1,JB_EX,"P-8a",JB_CE,"MISC. ORDNANCE",JB_RC,"ALT")</f>
        <v>178020</v>
      </c>
      <c r="D221" s="16">
        <v>1</v>
      </c>
      <c r="E221" s="20" t="s">
        <v>120</v>
      </c>
    </row>
    <row r="222" spans="1:5" ht="10" customHeight="1" x14ac:dyDescent="0.2">
      <c r="A222" s="16" t="s">
        <v>2827</v>
      </c>
      <c r="B222" s="20" t="s">
        <v>361</v>
      </c>
      <c r="C222" s="38">
        <f>SUMIFS(JB_26BV,JB_B,1,JB_EX,"P-8a",JB_CE,"SQQ 89 ASW",JB_RC,"ALT")</f>
        <v>177416</v>
      </c>
      <c r="D222" s="16">
        <v>1</v>
      </c>
      <c r="E222" s="20" t="s">
        <v>120</v>
      </c>
    </row>
    <row r="223" spans="1:5" ht="10" customHeight="1" x14ac:dyDescent="0.2">
      <c r="A223" s="16" t="s">
        <v>3740</v>
      </c>
      <c r="B223" s="20" t="s">
        <v>361</v>
      </c>
      <c r="C223" s="38">
        <f>SUMIFS(JB_26BV,JB_B,1,JB_EX,"P-8a",JB_CE,"Command, Control, Communication, Computer Intelligence Surveillance and Reconnaissance (C4ISR)",JB_RC,"ALT")</f>
        <v>169701</v>
      </c>
      <c r="D223" s="16">
        <v>1</v>
      </c>
      <c r="E223" s="20" t="s">
        <v>168</v>
      </c>
    </row>
    <row r="224" spans="1:5" ht="10" customHeight="1" x14ac:dyDescent="0.2">
      <c r="A224" s="16" t="s">
        <v>3229</v>
      </c>
      <c r="B224" s="20" t="s">
        <v>370</v>
      </c>
      <c r="C224" s="38">
        <f>SUMIFS(JB_26BV,JB_B,1,JB_EX,"P-8a",JB_CE,"Enterprise Air Surveillance Radar (EASR)",JB_RC,"ALT")</f>
        <v>160867</v>
      </c>
      <c r="D224" s="16">
        <v>2</v>
      </c>
      <c r="E224" s="20" t="s">
        <v>8413</v>
      </c>
    </row>
    <row r="225" spans="1:5" ht="10" customHeight="1" x14ac:dyDescent="0.2">
      <c r="A225" s="16" t="s">
        <v>2645</v>
      </c>
      <c r="B225" s="20" t="s">
        <v>361</v>
      </c>
      <c r="C225" s="38">
        <f>SUMIFS(JB_26BV,JB_B,1,JB_EX,"P-8a",JB_CE,"MISSION SYSTEM ENGR INTEGR &amp; TEST (MSEIT)",JB_RC,"ALT")</f>
        <v>132510</v>
      </c>
      <c r="D225" s="16">
        <v>1</v>
      </c>
      <c r="E225" s="20" t="s">
        <v>120</v>
      </c>
    </row>
    <row r="226" spans="1:5" ht="10" customHeight="1" x14ac:dyDescent="0.2">
      <c r="A226" s="16" t="s">
        <v>2648</v>
      </c>
      <c r="B226" s="20" t="s">
        <v>361</v>
      </c>
      <c r="C226" s="38">
        <f>SUMIFS(JB_26BV,JB_B,1,JB_EX,"P-8a",JB_CE,"MISSION SYSTEM ACTIVATION",JB_RC,"ALT")</f>
        <v>130838</v>
      </c>
      <c r="D226" s="16">
        <v>1</v>
      </c>
      <c r="E226" s="20" t="s">
        <v>120</v>
      </c>
    </row>
    <row r="227" spans="1:5" ht="10" customHeight="1" x14ac:dyDescent="0.2">
      <c r="A227" s="16" t="s">
        <v>2627</v>
      </c>
      <c r="B227" s="20" t="s">
        <v>361</v>
      </c>
      <c r="C227" s="38">
        <f>SUMIFS(JB_26BV,JB_B,1,JB_EX,"P-8a",JB_CE,"SHIP CONTROL SYSTEM (SCS)",JB_RC,"ALT")</f>
        <v>117229</v>
      </c>
      <c r="D227" s="16">
        <v>1</v>
      </c>
      <c r="E227" s="20" t="s">
        <v>120</v>
      </c>
    </row>
    <row r="228" spans="1:5" ht="10" customHeight="1" x14ac:dyDescent="0.2">
      <c r="A228" s="16" t="s">
        <v>2606</v>
      </c>
      <c r="B228" s="20" t="s">
        <v>361</v>
      </c>
      <c r="C228" s="38">
        <f>SUMIFS(JB_26BV,JB_B,1,JB_EX,"P-8a",JB_CE,"INTEGRATED UNDERSEA WARFARE (IUSW) SYSTEM",JB_RC,"ALT")</f>
        <v>105136</v>
      </c>
      <c r="D228" s="16">
        <v>1</v>
      </c>
      <c r="E228" s="20" t="s">
        <v>120</v>
      </c>
    </row>
    <row r="229" spans="1:5" ht="10" customHeight="1" x14ac:dyDescent="0.2">
      <c r="A229" s="16" t="s">
        <v>2868</v>
      </c>
      <c r="B229" s="20" t="s">
        <v>361</v>
      </c>
      <c r="C229" s="38">
        <f>SUMIFS(JB_26BV,JB_B,1,JB_EX,"P-8a",JB_CE,"MISC. ELECTRONICS",JB_RC,"ALT")</f>
        <v>94317</v>
      </c>
      <c r="D229" s="16">
        <v>1</v>
      </c>
      <c r="E229" s="20" t="s">
        <v>120</v>
      </c>
    </row>
    <row r="230" spans="1:5" ht="10" customHeight="1" x14ac:dyDescent="0.2">
      <c r="A230" s="16" t="s">
        <v>3232</v>
      </c>
      <c r="B230" s="20" t="s">
        <v>361</v>
      </c>
      <c r="C230" s="38">
        <f>SUMIFS(JB_26BV,JB_B,1,JB_EX,"P-8a",JB_CE,"AEGIS Weapon System (AWS)",JB_RC,"ALT")</f>
        <v>92392</v>
      </c>
      <c r="D230" s="16">
        <v>1</v>
      </c>
      <c r="E230" s="20" t="s">
        <v>144</v>
      </c>
    </row>
    <row r="231" spans="1:5" ht="10" customHeight="1" x14ac:dyDescent="0.2">
      <c r="A231" s="16" t="s">
        <v>2900</v>
      </c>
      <c r="B231" s="20" t="s">
        <v>370</v>
      </c>
      <c r="C231" s="38">
        <f>SUMIFS(JB_26BV,JB_B,1,JB_EX,"P-8a",JB_CE,"MK 45 Light Weight Gun (LWG)",JB_RC,"ALT")</f>
        <v>90752</v>
      </c>
      <c r="D231" s="16">
        <v>1</v>
      </c>
      <c r="E231" s="20" t="s">
        <v>120</v>
      </c>
    </row>
    <row r="232" spans="1:5" ht="10" customHeight="1" x14ac:dyDescent="0.2">
      <c r="A232" s="16" t="s">
        <v>4210</v>
      </c>
      <c r="B232" s="20" t="s">
        <v>361</v>
      </c>
      <c r="C232" s="38">
        <f>SUMIFS(JB_26BV,JB_B,1,JB_EX,"P-8a",JB_CE,"Surveillance Towed Array Sensor System (SURTASS)",JB_RC,"ALT")</f>
        <v>89515</v>
      </c>
      <c r="D232" s="16">
        <v>1</v>
      </c>
      <c r="E232" s="20" t="s">
        <v>215</v>
      </c>
    </row>
    <row r="233" spans="1:5" ht="10" customHeight="1" x14ac:dyDescent="0.2">
      <c r="A233" s="16" t="s">
        <v>2168</v>
      </c>
      <c r="B233" s="20" t="s">
        <v>361</v>
      </c>
      <c r="C233" s="38">
        <f>SUMIFS(JB_26BV,JB_B,1,JB_EX,"P-8a",JB_CE,"C4ISR",JB_RC,"ALT")</f>
        <v>83497</v>
      </c>
      <c r="D233" s="16">
        <v>1</v>
      </c>
      <c r="E233" s="20" t="s">
        <v>150</v>
      </c>
    </row>
    <row r="234" spans="1:5" ht="10" customHeight="1" x14ac:dyDescent="0.2">
      <c r="A234" s="16" t="s">
        <v>2603</v>
      </c>
      <c r="B234" s="20" t="s">
        <v>361</v>
      </c>
      <c r="C234" s="38">
        <f>SUMIFS(JB_26BV,JB_B,1,JB_EX,"P-8a",JB_CE,"EXTERIOR COMMUNICATIONS (EXCOMMS)",JB_RC,"ALT")</f>
        <v>79962</v>
      </c>
      <c r="D234" s="16">
        <v>1</v>
      </c>
      <c r="E234" s="20" t="s">
        <v>120</v>
      </c>
    </row>
    <row r="235" spans="1:5" ht="10" customHeight="1" x14ac:dyDescent="0.2">
      <c r="A235" s="16" t="s">
        <v>1490</v>
      </c>
      <c r="B235" s="20" t="s">
        <v>361</v>
      </c>
      <c r="C235" s="38">
        <f>SUMIFS(JB_26BV,JB_B,1,JB_EX,"P-8a",JB_CE,"SPECTRAL",JB_RC,"ALT")</f>
        <v>86351</v>
      </c>
      <c r="D235" s="16">
        <v>1</v>
      </c>
      <c r="E235" s="20" t="s">
        <v>120</v>
      </c>
    </row>
    <row r="236" spans="1:5" ht="10" customHeight="1" x14ac:dyDescent="0.2">
      <c r="A236" s="16" t="s">
        <v>3235</v>
      </c>
      <c r="B236" s="20" t="s">
        <v>361</v>
      </c>
      <c r="C236" s="38">
        <f>SUMIFS(JB_26BV,JB_B,1,JB_EX,"P-8a",JB_CE,"Anti-Submarine Warfare (ASW) Combat Suite",JB_RC,"ALT")</f>
        <v>62571</v>
      </c>
      <c r="D236" s="16">
        <v>1</v>
      </c>
      <c r="E236" s="20" t="s">
        <v>144</v>
      </c>
    </row>
    <row r="237" spans="1:5" ht="10" customHeight="1" x14ac:dyDescent="0.2">
      <c r="A237" s="16" t="s">
        <v>2639</v>
      </c>
      <c r="B237" s="20" t="s">
        <v>361</v>
      </c>
      <c r="C237" s="38">
        <f>SUMIFS(JB_26BV,JB_B,1,JB_EX,"P-8a",JB_CE,"DDG 1002 TSCE MODERNIZATION",JB_RC,"ALT")</f>
        <v>56730</v>
      </c>
      <c r="D237" s="16">
        <v>1</v>
      </c>
      <c r="E237" s="20" t="s">
        <v>120</v>
      </c>
    </row>
    <row r="238" spans="1:5" ht="10" customHeight="1" x14ac:dyDescent="0.2">
      <c r="A238" s="16" t="s">
        <v>3276</v>
      </c>
      <c r="B238" s="20" t="s">
        <v>370</v>
      </c>
      <c r="C238" s="38">
        <f>SUMIFS(JB_26BV,JB_B,1,JB_EX,"P-8a",JB_CE,"MK 41 Vertical Launch System (VLS)- 32 Cell",JB_RC,"ALT")</f>
        <v>53315</v>
      </c>
      <c r="D238" s="16">
        <v>1</v>
      </c>
      <c r="E238" s="20" t="s">
        <v>144</v>
      </c>
    </row>
    <row r="239" spans="1:5" ht="10" customHeight="1" x14ac:dyDescent="0.2">
      <c r="A239" s="16" t="s">
        <v>2887</v>
      </c>
      <c r="B239" s="20" t="s">
        <v>367</v>
      </c>
      <c r="C239" s="38">
        <f>SUMIFS(JB_26BV,JB_B,1,JB_EX,"P-8a",JB_CE,"MISC. HM&amp;E",JB_RC,"ALT")</f>
        <v>52611</v>
      </c>
      <c r="D239" s="16">
        <v>1</v>
      </c>
      <c r="E239" s="20" t="s">
        <v>120</v>
      </c>
    </row>
    <row r="240" spans="1:5" ht="10" customHeight="1" x14ac:dyDescent="0.2">
      <c r="A240" s="16" t="s">
        <v>2903</v>
      </c>
      <c r="B240" s="20" t="s">
        <v>370</v>
      </c>
      <c r="C240" s="38">
        <f>SUMIFS(JB_26BV,JB_B,1,JB_EX,"P-8a",JB_CE,"MK 37 TOMAHAWK",JB_RC,"ALT")</f>
        <v>51003</v>
      </c>
      <c r="D240" s="16">
        <v>1</v>
      </c>
      <c r="E240" s="20" t="s">
        <v>120</v>
      </c>
    </row>
    <row r="241" spans="1:5" ht="10" customHeight="1" x14ac:dyDescent="0.2">
      <c r="A241" s="16" t="s">
        <v>2833</v>
      </c>
      <c r="B241" s="20" t="s">
        <v>361</v>
      </c>
      <c r="C241" s="38">
        <f>SUMIFS(JB_26BV,JB_B,1,JB_EX,"P-8a",JB_CE,"USQ 82(V) GEDMS",JB_RC,"ALT")</f>
        <v>48645</v>
      </c>
      <c r="D241" s="16">
        <v>1</v>
      </c>
      <c r="E241" s="20" t="s">
        <v>120</v>
      </c>
    </row>
    <row r="242" spans="1:5" ht="10" customHeight="1" x14ac:dyDescent="0.2">
      <c r="A242" s="21" t="s">
        <v>8414</v>
      </c>
      <c r="B242" s="23"/>
      <c r="C242" s="22">
        <f>SUM(C212:C241)</f>
        <v>5041995</v>
      </c>
      <c r="D242" s="23"/>
      <c r="E242" s="2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8" t="s">
        <v>8415</v>
      </c>
      <c r="B1" s="19"/>
      <c r="C1" s="19"/>
      <c r="D1" s="19"/>
      <c r="E1" s="19"/>
      <c r="F1" s="19"/>
      <c r="G1" s="19"/>
      <c r="H1" s="19"/>
      <c r="I1" s="19"/>
      <c r="J1" s="19"/>
      <c r="K1" s="19"/>
      <c r="L1" s="19"/>
    </row>
    <row r="2" spans="1:12" ht="10" customHeight="1" x14ac:dyDescent="0.2">
      <c r="A2" s="20" t="s">
        <v>8416</v>
      </c>
    </row>
    <row r="3" spans="1:12" ht="10" customHeight="1" x14ac:dyDescent="0.2"/>
    <row r="4" spans="1:12" ht="10" customHeight="1" x14ac:dyDescent="0.2">
      <c r="A4" s="6" t="s">
        <v>8417</v>
      </c>
      <c r="B4" s="7"/>
    </row>
    <row r="5" spans="1:12" ht="10" customHeight="1" x14ac:dyDescent="0.2">
      <c r="A5" s="16" t="s">
        <v>8418</v>
      </c>
      <c r="B5" s="17">
        <f>SUMIFS(JB_26BV,JB_B,2,JB_RC,"ADD")+SUMIFS(JB_26BV,JB_B,3,JB_RC,"ADD")+SUMIFS(JB_26BV,JB_B,4,JB_RC,"ADD")+SUMIFS(JB_26BV,JB_B,5,JB_RC,"ADD")+SUMIFS(JB_26BV,JB_B,6,JB_RC,"ADD")+SUMIFS(JB_26BV,JB_B,7,JB_RC,"ADD")</f>
        <v>167326432</v>
      </c>
    </row>
    <row r="6" spans="1:12" ht="10" customHeight="1" x14ac:dyDescent="0.2">
      <c r="A6" s="16" t="s">
        <v>8419</v>
      </c>
      <c r="B6" s="17">
        <f>-(SUMIFS(JB_26BV,JB_B,2,JB_V,"",JB_RC,"ADD")+SUMIFS(JB_26BV,JB_B,3,JB_V,"",JB_RC,"ADD")+SUMIFS(JB_26BV,JB_B,4,JB_V,"",JB_RC,"ADD")+SUMIFS(JB_26BV,JB_B,5,JB_V,"",JB_RC,"ADD")+SUMIFS(JB_26BV,JB_B,6,JB_V,"",JB_RC,"ADD")+SUMIFS(JB_26BV,JB_B,7,JB_V,"",JB_RC,"ADD"))</f>
        <v>-142637349</v>
      </c>
    </row>
    <row r="7" spans="1:12" ht="10" customHeight="1" x14ac:dyDescent="0.2">
      <c r="A7" s="16" t="s">
        <v>8344</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8345</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21" t="s">
        <v>8420</v>
      </c>
      <c r="B9" s="22">
        <f>B20</f>
        <v>24621788</v>
      </c>
    </row>
    <row r="10" spans="1:12" ht="10" customHeight="1" x14ac:dyDescent="0.2"/>
    <row r="11" spans="1:12" ht="10" customHeight="1" x14ac:dyDescent="0.2"/>
    <row r="12" spans="1:12" ht="10" customHeight="1" x14ac:dyDescent="0.2">
      <c r="A12" s="6" t="s">
        <v>8421</v>
      </c>
      <c r="B12" s="7"/>
      <c r="C12" s="7"/>
    </row>
    <row r="13" spans="1:12" ht="10" customHeight="1" x14ac:dyDescent="0.2">
      <c r="A13" s="15" t="s">
        <v>8318</v>
      </c>
      <c r="B13" s="15" t="s">
        <v>8319</v>
      </c>
      <c r="C13" s="15" t="s">
        <v>8349</v>
      </c>
    </row>
    <row r="14" spans="1:12" ht="10" customHeight="1" x14ac:dyDescent="0.2">
      <c r="A14" s="16" t="s">
        <v>4328</v>
      </c>
      <c r="B14" s="17">
        <f>SUMIFS(JB_26BV,JB_B,2,JB_V,"Auxiliary Ships",JB_RC,"ADD")+SUMIFS(JB_26BV,JB_B,2,JB_V,"Combatant Ships",JB_RC,"ADD")+SUMIFS(JB_26BV,JB_B,2,JB_V,"Cutters",JB_RC,"ADD")+SUMIFS(JB_26BV,JB_B,2,JB_V,"Unmanned Maritime Platforms",JB_RC,"ADD")</f>
        <v>11777059</v>
      </c>
      <c r="C14" s="26">
        <f t="shared" ref="C14:C19" si="0">IFERROR(B14/B$20,0)</f>
        <v>0.4783185932719427</v>
      </c>
    </row>
    <row r="15" spans="1:12" ht="10" customHeight="1" x14ac:dyDescent="0.2">
      <c r="A15" s="16" t="s">
        <v>8422</v>
      </c>
      <c r="B15" s="17">
        <f>SUMIFS(JB_26BV,JB_B,3,JB_V,"Auxiliary Ships",JB_RC,"ADD")+SUMIFS(JB_26BV,JB_B,3,JB_V,"Combatant Ships",JB_RC,"ADD")+SUMIFS(JB_26BV,JB_B,3,JB_V,"Cutters",JB_RC,"ADD")+SUMIFS(JB_26BV,JB_B,3,JB_V,"Unmanned Maritime Platforms",JB_RC,"ADD")</f>
        <v>207938</v>
      </c>
      <c r="C15" s="26">
        <f t="shared" si="0"/>
        <v>8.445284314851545E-3</v>
      </c>
    </row>
    <row r="16" spans="1:12" ht="10" customHeight="1" x14ac:dyDescent="0.2">
      <c r="A16" s="16" t="s">
        <v>8423</v>
      </c>
      <c r="B16" s="17">
        <f>SUMIFS(JB_26BV,JB_B,4,JB_V,"Auxiliary Ships",JB_RC,"ADD")+SUMIFS(JB_26BV,JB_B,4,JB_V,"Combatant Ships",JB_RC,"ADD")+SUMIFS(JB_26BV,JB_B,4,JB_V,"Cutters",JB_RC,"ADD")+SUMIFS(JB_26BV,JB_B,4,JB_V,"Unmanned Maritime Platforms",JB_RC,"ADD")</f>
        <v>10844235</v>
      </c>
      <c r="C16" s="26">
        <f t="shared" si="0"/>
        <v>0.44043247387232803</v>
      </c>
    </row>
    <row r="17" spans="1:4" ht="10" customHeight="1" x14ac:dyDescent="0.2">
      <c r="A17" s="16" t="s">
        <v>8424</v>
      </c>
      <c r="B17" s="17">
        <f>SUMIFS(JB_26BV,JB_B,5,JB_V,"Auxiliary Ships",JB_RC,"ADD")+SUMIFS(JB_26BV,JB_B,5,JB_V,"Combatant Ships",JB_RC,"ADD")+SUMIFS(JB_26BV,JB_B,5,JB_V,"Cutters",JB_RC,"ADD")+SUMIFS(JB_26BV,JB_B,5,JB_V,"Unmanned Maritime Platforms",JB_RC,"ADD")</f>
        <v>1598287</v>
      </c>
      <c r="C17" s="26">
        <f t="shared" si="0"/>
        <v>6.4913522933427906E-2</v>
      </c>
    </row>
    <row r="18" spans="1:4" ht="10" customHeight="1" x14ac:dyDescent="0.2">
      <c r="A18" s="16" t="s">
        <v>8425</v>
      </c>
      <c r="B18" s="17">
        <f>SUMIFS(JB_26BV,JB_B,6,JB_V,"Auxiliary Ships",JB_RC,"ADD")+SUMIFS(JB_26BV,JB_B,6,JB_V,"Combatant Ships",JB_RC,"ADD")+SUMIFS(JB_26BV,JB_B,6,JB_V,"Cutters",JB_RC,"ADD")+SUMIFS(JB_26BV,JB_B,6,JB_V,"Unmanned Maritime Platforms",JB_RC,"ADD")</f>
        <v>156196</v>
      </c>
      <c r="C18" s="26">
        <f t="shared" si="0"/>
        <v>6.3438122365443161E-3</v>
      </c>
    </row>
    <row r="19" spans="1:4" ht="10" customHeight="1" x14ac:dyDescent="0.2">
      <c r="A19" s="16" t="s">
        <v>5517</v>
      </c>
      <c r="B19" s="17">
        <f>SUMIFS(JB_26BV,JB_B,7,JB_V,"Auxiliary Ships",JB_RC,"ADD")+SUMIFS(JB_26BV,JB_B,7,JB_V,"Combatant Ships",JB_RC,"ADD")+SUMIFS(JB_26BV,JB_B,7,JB_V,"Cutters",JB_RC,"ADD")+SUMIFS(JB_26BV,JB_B,7,JB_V,"Unmanned Maritime Platforms",JB_RC,"ADD")</f>
        <v>38073</v>
      </c>
      <c r="C19" s="26">
        <f t="shared" si="0"/>
        <v>1.5463133709054762E-3</v>
      </c>
    </row>
    <row r="20" spans="1:4" ht="10" customHeight="1" x14ac:dyDescent="0.2">
      <c r="A20" s="21" t="s">
        <v>8420</v>
      </c>
      <c r="B20" s="22">
        <f>SUM(B14:B19)</f>
        <v>24621788</v>
      </c>
      <c r="C20" s="27">
        <v>1</v>
      </c>
    </row>
    <row r="21" spans="1:4" ht="10" customHeight="1" x14ac:dyDescent="0.2"/>
    <row r="22" spans="1:4" ht="10" customHeight="1" x14ac:dyDescent="0.2"/>
    <row r="23" spans="1:4" ht="10" customHeight="1" x14ac:dyDescent="0.2">
      <c r="A23" s="6" t="s">
        <v>8426</v>
      </c>
      <c r="B23" s="7"/>
      <c r="C23" s="7"/>
      <c r="D23" s="7"/>
    </row>
    <row r="24" spans="1:4" ht="10" customHeight="1" x14ac:dyDescent="0.2">
      <c r="A24" s="15" t="s">
        <v>20</v>
      </c>
      <c r="B24" s="15" t="s">
        <v>8348</v>
      </c>
      <c r="C24" s="15" t="s">
        <v>8319</v>
      </c>
      <c r="D24" s="15" t="s">
        <v>8349</v>
      </c>
    </row>
    <row r="25" spans="1:4" ht="10" customHeight="1" x14ac:dyDescent="0.2">
      <c r="A25" s="16" t="s">
        <v>52</v>
      </c>
      <c r="B25" s="16" t="s">
        <v>50</v>
      </c>
      <c r="C25" s="17">
        <f>SUMIFS(JB_26BV,JB_B,2,JB_W,"Submarines",JB_RC,"ADD")+SUMIFS(JB_26BV,JB_B,3,JB_W,"Submarines",JB_RC,"ADD")+SUMIFS(JB_26BV,JB_B,4,JB_W,"Submarines",JB_RC,"ADD")+SUMIFS(JB_26BV,JB_B,5,JB_W,"Submarines",JB_RC,"ADD")+SUMIFS(JB_26BV,JB_B,6,JB_W,"Submarines",JB_RC,"ADD")+SUMIFS(JB_26BV,JB_B,7,JB_W,"Submarines",JB_RC,"ADD")</f>
        <v>11566492</v>
      </c>
      <c r="D25" s="26">
        <f t="shared" ref="D25:D52" si="1">IFERROR(C25/C$53,0)</f>
        <v>0.46976653360836346</v>
      </c>
    </row>
    <row r="26" spans="1:4" ht="10" customHeight="1" x14ac:dyDescent="0.2">
      <c r="A26" s="16" t="s">
        <v>119</v>
      </c>
      <c r="B26" s="16" t="s">
        <v>50</v>
      </c>
      <c r="C26"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6" s="26">
        <f t="shared" si="1"/>
        <v>0.24904450481012996</v>
      </c>
    </row>
    <row r="27" spans="1:4" ht="10" customHeight="1" x14ac:dyDescent="0.2">
      <c r="A27" s="16" t="s">
        <v>69</v>
      </c>
      <c r="B27" s="16" t="s">
        <v>50</v>
      </c>
      <c r="C2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7" s="26">
        <f t="shared" si="1"/>
        <v>0.2097122678499222</v>
      </c>
    </row>
    <row r="28" spans="1:4" ht="10" customHeight="1" x14ac:dyDescent="0.2">
      <c r="A28" s="16" t="s">
        <v>149</v>
      </c>
      <c r="B28" s="16" t="s">
        <v>50</v>
      </c>
      <c r="C28"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28" s="26">
        <f t="shared" si="1"/>
        <v>6.3772094861672915E-2</v>
      </c>
    </row>
    <row r="29" spans="1:4" ht="10" customHeight="1" x14ac:dyDescent="0.2">
      <c r="A29" s="16" t="s">
        <v>182</v>
      </c>
      <c r="B29" s="16" t="s">
        <v>50</v>
      </c>
      <c r="C29"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29" s="26">
        <f t="shared" si="1"/>
        <v>2.5073321238896218E-3</v>
      </c>
    </row>
    <row r="30" spans="1:4" ht="10" customHeight="1" x14ac:dyDescent="0.2">
      <c r="A30" s="16" t="s">
        <v>4859</v>
      </c>
      <c r="B30" s="16" t="s">
        <v>50</v>
      </c>
      <c r="C30"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0" s="26">
        <f t="shared" si="1"/>
        <v>1.6833870878914237E-3</v>
      </c>
    </row>
    <row r="31" spans="1:4" ht="10" customHeight="1" x14ac:dyDescent="0.2">
      <c r="A31" s="16" t="s">
        <v>214</v>
      </c>
      <c r="B31" s="16" t="s">
        <v>50</v>
      </c>
      <c r="C31"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1" s="26">
        <f t="shared" si="1"/>
        <v>1.2659113139955555E-3</v>
      </c>
    </row>
    <row r="32" spans="1:4" ht="10" customHeight="1" x14ac:dyDescent="0.2">
      <c r="A32" s="16" t="s">
        <v>4684</v>
      </c>
      <c r="B32" s="16" t="s">
        <v>50</v>
      </c>
      <c r="C32" s="17">
        <f>SUMIFS(JB_26BV,JB_B,2,JB_W,"Mine Warfare",JB_RC,"ADD")+SUMIFS(JB_26BV,JB_B,3,JB_W,"Mine Warfare",JB_RC,"ADD")+SUMIFS(JB_26BV,JB_B,4,JB_W,"Mine Warfare",JB_RC,"ADD")+SUMIFS(JB_26BV,JB_B,5,JB_W,"Mine Warfare",JB_RC,"ADD")+SUMIFS(JB_26BV,JB_B,6,JB_W,"Mine Warfare",JB_RC,"ADD")+SUMIFS(JB_26BV,JB_B,7,JB_W,"Mine Warfare",JB_RC,"ADD")</f>
        <v>24349</v>
      </c>
      <c r="D32" s="26">
        <f t="shared" si="1"/>
        <v>9.8892086959728514E-4</v>
      </c>
    </row>
    <row r="33" spans="1:4" ht="10" customHeight="1" x14ac:dyDescent="0.2">
      <c r="A33" s="16" t="s">
        <v>4676</v>
      </c>
      <c r="B33" s="16" t="s">
        <v>50</v>
      </c>
      <c r="C33"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33" s="26">
        <f t="shared" si="1"/>
        <v>0</v>
      </c>
    </row>
    <row r="34" spans="1:4" ht="10" customHeight="1" x14ac:dyDescent="0.2">
      <c r="A34" s="16" t="s">
        <v>4985</v>
      </c>
      <c r="B34" s="16" t="s">
        <v>50</v>
      </c>
      <c r="C34"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34" s="26">
        <f t="shared" si="1"/>
        <v>0</v>
      </c>
    </row>
    <row r="35" spans="1:4" ht="10" customHeight="1" x14ac:dyDescent="0.2">
      <c r="A35" s="16" t="s">
        <v>202</v>
      </c>
      <c r="B35" s="16" t="s">
        <v>190</v>
      </c>
      <c r="C35"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35" s="26">
        <f t="shared" si="1"/>
        <v>0</v>
      </c>
    </row>
    <row r="36" spans="1:4" ht="10" customHeight="1" x14ac:dyDescent="0.2">
      <c r="A36" s="16" t="s">
        <v>5019</v>
      </c>
      <c r="B36" s="16" t="s">
        <v>50</v>
      </c>
      <c r="C36"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36" s="26">
        <f t="shared" si="1"/>
        <v>0</v>
      </c>
    </row>
    <row r="37" spans="1:4" ht="10" customHeight="1" x14ac:dyDescent="0.2">
      <c r="A37" s="16" t="s">
        <v>226</v>
      </c>
      <c r="B37" s="16" t="s">
        <v>190</v>
      </c>
      <c r="C37"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37" s="26">
        <f t="shared" si="1"/>
        <v>0</v>
      </c>
    </row>
    <row r="38" spans="1:4" ht="10" customHeight="1" x14ac:dyDescent="0.2">
      <c r="A38" s="16" t="s">
        <v>4643</v>
      </c>
      <c r="B38" s="16" t="s">
        <v>50</v>
      </c>
      <c r="C38"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38" s="26">
        <f t="shared" si="1"/>
        <v>0</v>
      </c>
    </row>
    <row r="39" spans="1:4" ht="10" customHeight="1" x14ac:dyDescent="0.2">
      <c r="A39" s="16" t="s">
        <v>5272</v>
      </c>
      <c r="B39" s="16" t="s">
        <v>50</v>
      </c>
      <c r="C39"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39" s="26">
        <f t="shared" si="1"/>
        <v>0</v>
      </c>
    </row>
    <row r="40" spans="1:4" ht="10" customHeight="1" x14ac:dyDescent="0.2">
      <c r="A40" s="16" t="s">
        <v>233</v>
      </c>
      <c r="B40" s="16" t="s">
        <v>190</v>
      </c>
      <c r="C40"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40" s="26">
        <f t="shared" si="1"/>
        <v>0</v>
      </c>
    </row>
    <row r="41" spans="1:4" ht="10" customHeight="1" x14ac:dyDescent="0.2">
      <c r="A41" s="16" t="s">
        <v>5029</v>
      </c>
      <c r="B41" s="16" t="s">
        <v>190</v>
      </c>
      <c r="C41" s="17">
        <f>SUMIFS(JB_26BV,JB_B,2,JB_W,"Hospital Ship",JB_RC,"ADD")+SUMIFS(JB_26BV,JB_B,3,JB_W,"Hospital Ship",JB_RC,"ADD")+SUMIFS(JB_26BV,JB_B,4,JB_W,"Hospital Ship",JB_RC,"ADD")+SUMIFS(JB_26BV,JB_B,5,JB_W,"Hospital Ship",JB_RC,"ADD")+SUMIFS(JB_26BV,JB_B,6,JB_W,"Hospital Ship",JB_RC,"ADD")+SUMIFS(JB_26BV,JB_B,7,JB_W,"Hospital Ship",JB_RC,"ADD")</f>
        <v>0</v>
      </c>
      <c r="D41" s="26">
        <f t="shared" si="1"/>
        <v>0</v>
      </c>
    </row>
    <row r="42" spans="1:4" ht="10" customHeight="1" x14ac:dyDescent="0.2">
      <c r="A42" s="16" t="s">
        <v>5277</v>
      </c>
      <c r="B42" s="16" t="s">
        <v>50</v>
      </c>
      <c r="C42" s="17">
        <f>SUMIFS(JB_26BV,JB_B,2,JB_W,"Crane Ship",JB_RC,"ADD")+SUMIFS(JB_26BV,JB_B,3,JB_W,"Crane Ship",JB_RC,"ADD")+SUMIFS(JB_26BV,JB_B,4,JB_W,"Crane Ship",JB_RC,"ADD")+SUMIFS(JB_26BV,JB_B,5,JB_W,"Crane Ship",JB_RC,"ADD")+SUMIFS(JB_26BV,JB_B,6,JB_W,"Crane Ship",JB_RC,"ADD")+SUMIFS(JB_26BV,JB_B,7,JB_W,"Crane Ship",JB_RC,"ADD")</f>
        <v>0</v>
      </c>
      <c r="D42" s="26">
        <f t="shared" si="1"/>
        <v>0</v>
      </c>
    </row>
    <row r="43" spans="1:4" ht="10" customHeight="1" x14ac:dyDescent="0.2">
      <c r="A43" s="16" t="s">
        <v>4966</v>
      </c>
      <c r="B43" s="16" t="s">
        <v>50</v>
      </c>
      <c r="C43"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43" s="26">
        <f t="shared" si="1"/>
        <v>0</v>
      </c>
    </row>
    <row r="44" spans="1:4" ht="10" customHeight="1" x14ac:dyDescent="0.2">
      <c r="A44" s="16" t="s">
        <v>5416</v>
      </c>
      <c r="B44" s="16" t="s">
        <v>50</v>
      </c>
      <c r="C44"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44" s="26">
        <f t="shared" si="1"/>
        <v>0</v>
      </c>
    </row>
    <row r="45" spans="1:4" ht="10" customHeight="1" x14ac:dyDescent="0.2">
      <c r="A45" s="16" t="s">
        <v>245</v>
      </c>
      <c r="B45" s="16" t="s">
        <v>50</v>
      </c>
      <c r="C45"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45" s="26">
        <f t="shared" si="1"/>
        <v>0</v>
      </c>
    </row>
    <row r="46" spans="1:4" ht="10" customHeight="1" x14ac:dyDescent="0.2">
      <c r="A46" s="16" t="s">
        <v>6811</v>
      </c>
      <c r="B46" s="16" t="s">
        <v>6809</v>
      </c>
      <c r="C46"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6" s="26">
        <f t="shared" si="1"/>
        <v>1.2590474745375925E-3</v>
      </c>
    </row>
    <row r="47" spans="1:4" ht="10" customHeight="1" x14ac:dyDescent="0.2">
      <c r="A47" s="16" t="s">
        <v>8188</v>
      </c>
      <c r="B47" s="16" t="s">
        <v>6809</v>
      </c>
      <c r="C47"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47" s="26">
        <f t="shared" si="1"/>
        <v>0</v>
      </c>
    </row>
    <row r="48" spans="1:4" ht="10" customHeight="1" x14ac:dyDescent="0.2">
      <c r="A48" s="16" t="s">
        <v>8213</v>
      </c>
      <c r="B48" s="16" t="s">
        <v>6809</v>
      </c>
      <c r="C48"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48" s="26">
        <f t="shared" si="1"/>
        <v>0</v>
      </c>
    </row>
    <row r="49" spans="1:11" ht="10" customHeight="1" x14ac:dyDescent="0.2">
      <c r="A49" s="16" t="s">
        <v>8175</v>
      </c>
      <c r="B49" s="16" t="s">
        <v>6809</v>
      </c>
      <c r="C49"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49" s="26">
        <f t="shared" si="1"/>
        <v>0</v>
      </c>
    </row>
    <row r="50" spans="1:11" ht="10" customHeight="1" x14ac:dyDescent="0.2">
      <c r="A50" s="16" t="s">
        <v>8194</v>
      </c>
      <c r="B50" s="16" t="s">
        <v>6809</v>
      </c>
      <c r="C50"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50" s="26">
        <f t="shared" si="1"/>
        <v>0</v>
      </c>
    </row>
    <row r="51" spans="1:11" ht="10" customHeight="1" x14ac:dyDescent="0.2">
      <c r="A51" s="16" t="s">
        <v>8209</v>
      </c>
      <c r="B51" s="16" t="s">
        <v>6809</v>
      </c>
      <c r="C51"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1" s="26">
        <f t="shared" si="1"/>
        <v>0</v>
      </c>
    </row>
    <row r="52" spans="1:11" ht="10" customHeight="1" x14ac:dyDescent="0.2">
      <c r="A52" s="16" t="s">
        <v>8202</v>
      </c>
      <c r="B52" s="16" t="s">
        <v>6809</v>
      </c>
      <c r="C52"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52" s="26">
        <f t="shared" si="1"/>
        <v>0</v>
      </c>
    </row>
    <row r="53" spans="1:11" ht="10" customHeight="1" x14ac:dyDescent="0.2">
      <c r="A53" s="21" t="s">
        <v>8420</v>
      </c>
      <c r="B53" s="21"/>
      <c r="C53" s="22">
        <f>SUM(C25:C52)</f>
        <v>24621788</v>
      </c>
      <c r="D53" s="27">
        <v>1</v>
      </c>
    </row>
    <row r="54" spans="1:11" ht="10" customHeight="1" x14ac:dyDescent="0.2"/>
    <row r="55" spans="1:11" ht="10" customHeight="1" x14ac:dyDescent="0.2"/>
    <row r="56" spans="1:11" ht="10" customHeight="1" x14ac:dyDescent="0.2">
      <c r="A56" s="6" t="s">
        <v>8427</v>
      </c>
      <c r="B56" s="7"/>
      <c r="C56" s="7"/>
      <c r="D56" s="7"/>
      <c r="E56" s="7"/>
      <c r="F56" s="7"/>
      <c r="G56" s="7"/>
      <c r="H56" s="7"/>
      <c r="I56" s="7"/>
      <c r="J56" s="7"/>
      <c r="K56" s="7"/>
    </row>
    <row r="57" spans="1:11" ht="10" customHeight="1" x14ac:dyDescent="0.2">
      <c r="A57" s="28"/>
      <c r="B57" s="29" t="s">
        <v>50</v>
      </c>
      <c r="C57" s="28"/>
      <c r="D57" s="28"/>
      <c r="E57" s="28"/>
      <c r="F57" s="28"/>
      <c r="G57" s="28"/>
      <c r="H57" s="28"/>
      <c r="I57" s="28"/>
      <c r="J57" s="29" t="s">
        <v>6809</v>
      </c>
      <c r="K57" s="30"/>
    </row>
    <row r="58" spans="1:11" ht="10" customHeight="1" x14ac:dyDescent="0.2">
      <c r="A58" s="15" t="s">
        <v>8318</v>
      </c>
      <c r="B58" s="31" t="s">
        <v>52</v>
      </c>
      <c r="C58" s="15" t="s">
        <v>119</v>
      </c>
      <c r="D58" s="15" t="s">
        <v>69</v>
      </c>
      <c r="E58" s="15" t="s">
        <v>149</v>
      </c>
      <c r="F58" s="15" t="s">
        <v>182</v>
      </c>
      <c r="G58" s="15" t="s">
        <v>4859</v>
      </c>
      <c r="H58" s="15" t="s">
        <v>214</v>
      </c>
      <c r="I58" s="15" t="s">
        <v>4684</v>
      </c>
      <c r="J58" s="31" t="s">
        <v>6811</v>
      </c>
      <c r="K58" s="31" t="s">
        <v>8327</v>
      </c>
    </row>
    <row r="59" spans="1:11" ht="10" customHeight="1" x14ac:dyDescent="0.2">
      <c r="A59" s="16" t="s">
        <v>4328</v>
      </c>
      <c r="B59" s="32">
        <f>IFERROR((SUMIFS(JB_26BV,JB_B,2,JB_W,"Submarines",JB_RC,"ADD"))/B$65,0)</f>
        <v>0.54625213936948214</v>
      </c>
      <c r="C59" s="26">
        <f>IFERROR((SUMIFS(JB_26BV,JB_B,2,JB_W,"Surface Combatants",JB_RC,"ADD"))/C$65,0)</f>
        <v>0.26936061309335196</v>
      </c>
      <c r="D59" s="26">
        <f>IFERROR((SUMIFS(JB_26BV,JB_B,2,JB_W,"Aircraft Carriers",JB_RC,"ADD"))/D$65,0)</f>
        <v>0.60086364050987984</v>
      </c>
      <c r="E59" s="26">
        <f>IFERROR((SUMIFS(JB_26BV,JB_B,2,JB_W,"Amphibious Warfare Ships",JB_RC,"ADD"))/E$65,0)</f>
        <v>0.40471142535615273</v>
      </c>
      <c r="F59" s="26">
        <f>IFERROR((SUMIFS(JB_26BV,JB_B,2,JB_W,"Expeditionary &amp; Seabasing Ships",JB_RC,"ADD"))/F$65,0)</f>
        <v>0.38328338867741152</v>
      </c>
      <c r="G59" s="26">
        <f>IFERROR((SUMIFS(JB_26BV,JB_B,2,JB_W,"Command Ships",JB_RC,"ADD"))/G$65,0)</f>
        <v>0.53493534066782478</v>
      </c>
      <c r="H59" s="26">
        <f>IFERROR((SUMIFS(JB_26BV,JB_B,2,JB_W,"Surveillance Ships",JB_RC,"ADD"))/H$65,0)</f>
        <v>0</v>
      </c>
      <c r="I59" s="26">
        <f>IFERROR((SUMIFS(JB_26BV,JB_B,2,JB_W,"Mine Warfare",JB_RC,"ADD"))/I$65,0)</f>
        <v>0.95613782906895561</v>
      </c>
      <c r="J59" s="32">
        <f>IFERROR((SUMIFS(JB_26BV,JB_B,2,JB_W,"National Security Cutters",JB_RC,"ADD"))/J$65,0)</f>
        <v>0</v>
      </c>
      <c r="K59" s="32">
        <f>IFERROR((SUMIFS(JB_26BV,JB_B,2,JB_V,"Auxiliary Ships",JB_RC,"ADD")+SUMIFS(JB_26BV,JB_B,2,JB_V,"Combatant Ships",JB_RC,"ADD")+SUMIFS(JB_26BV,JB_B,2,JB_V,"Cutters",JB_RC,"ADD")+SUMIFS(JB_26BV,JB_B,2,JB_V,"Unmanned Maritime Platforms",JB_RC,"ADD"))/K$65,0)</f>
        <v>0.4783185932719427</v>
      </c>
    </row>
    <row r="60" spans="1:11" ht="10" customHeight="1" x14ac:dyDescent="0.2">
      <c r="A60" s="16" t="s">
        <v>8422</v>
      </c>
      <c r="B60" s="32">
        <f>IFERROR((SUMIFS(JB_26BV,JB_B,3,JB_W,"Submarines",JB_RC,"ADD"))/B$65,0)</f>
        <v>0</v>
      </c>
      <c r="C60" s="26">
        <f>IFERROR((SUMIFS(JB_26BV,JB_B,3,JB_W,"Surface Combatants",JB_RC,"ADD"))/C$65,0)</f>
        <v>3.3736572927146324E-2</v>
      </c>
      <c r="D60" s="26">
        <f>IFERROR((SUMIFS(JB_26BV,JB_B,3,JB_W,"Aircraft Carriers",JB_RC,"ADD"))/D$65,0)</f>
        <v>0</v>
      </c>
      <c r="E60" s="26">
        <f>IFERROR((SUMIFS(JB_26BV,JB_B,3,JB_W,"Amphibious Warfare Ships",JB_RC,"ADD"))/E$65,0)</f>
        <v>0</v>
      </c>
      <c r="F60" s="26">
        <f>IFERROR((SUMIFS(JB_26BV,JB_B,3,JB_W,"Expeditionary &amp; Seabasing Ships",JB_RC,"ADD"))/F$65,0)</f>
        <v>0</v>
      </c>
      <c r="G60" s="26">
        <f>IFERROR((SUMIFS(JB_26BV,JB_B,3,JB_W,"Command Ships",JB_RC,"ADD"))/G$65,0)</f>
        <v>0</v>
      </c>
      <c r="H60" s="26">
        <f>IFERROR((SUMIFS(JB_26BV,JB_B,3,JB_W,"Surveillance Ships",JB_RC,"ADD"))/H$65,0)</f>
        <v>0</v>
      </c>
      <c r="I60" s="26">
        <f>IFERROR((SUMIFS(JB_26BV,JB_B,3,JB_W,"Mine Warfare",JB_RC,"ADD"))/I$65,0)</f>
        <v>4.3862170931044393E-2</v>
      </c>
      <c r="J60" s="32">
        <f>IFERROR((SUMIFS(JB_26BV,JB_B,3,JB_W,"National Security Cutters",JB_RC,"ADD"))/J$65,0)</f>
        <v>0</v>
      </c>
      <c r="K60" s="32">
        <f>IFERROR((SUMIFS(JB_26BV,JB_B,3,JB_V,"Auxiliary Ships",JB_RC,"ADD")+SUMIFS(JB_26BV,JB_B,3,JB_V,"Combatant Ships",JB_RC,"ADD")+SUMIFS(JB_26BV,JB_B,3,JB_V,"Cutters",JB_RC,"ADD")+SUMIFS(JB_26BV,JB_B,3,JB_V,"Unmanned Maritime Platforms",JB_RC,"ADD"))/K$65,0)</f>
        <v>8.445284314851545E-3</v>
      </c>
    </row>
    <row r="61" spans="1:11" ht="10" customHeight="1" x14ac:dyDescent="0.2">
      <c r="A61" s="16" t="s">
        <v>8423</v>
      </c>
      <c r="B61" s="32">
        <f>IFERROR((SUMIFS(JB_26BV,JB_B,4,JB_W,"Submarines",JB_RC,"ADD"))/B$65,0)</f>
        <v>0.4407659643044754</v>
      </c>
      <c r="C61" s="26">
        <f>IFERROR((SUMIFS(JB_26BV,JB_B,4,JB_W,"Surface Combatants",JB_RC,"ADD"))/C$65,0)</f>
        <v>0.69591764146994062</v>
      </c>
      <c r="D61" s="26">
        <f>IFERROR((SUMIFS(JB_26BV,JB_B,4,JB_W,"Aircraft Carriers",JB_RC,"ADD"))/D$65,0)</f>
        <v>9.3333366902353471E-2</v>
      </c>
      <c r="E61" s="26">
        <f>IFERROR((SUMIFS(JB_26BV,JB_B,4,JB_W,"Amphibious Warfare Ships",JB_RC,"ADD"))/E$65,0)</f>
        <v>0.59528857464384721</v>
      </c>
      <c r="F61" s="26">
        <f>IFERROR((SUMIFS(JB_26BV,JB_B,4,JB_W,"Expeditionary &amp; Seabasing Ships",JB_RC,"ADD"))/F$65,0)</f>
        <v>0</v>
      </c>
      <c r="G61" s="26">
        <f>IFERROR((SUMIFS(JB_26BV,JB_B,4,JB_W,"Command Ships",JB_RC,"ADD"))/G$65,0)</f>
        <v>0</v>
      </c>
      <c r="H61" s="26">
        <f>IFERROR((SUMIFS(JB_26BV,JB_B,4,JB_W,"Surveillance Ships",JB_RC,"ADD"))/H$65,0)</f>
        <v>1</v>
      </c>
      <c r="I61" s="26">
        <f>IFERROR((SUMIFS(JB_26BV,JB_B,4,JB_W,"Mine Warfare",JB_RC,"ADD"))/I$65,0)</f>
        <v>0</v>
      </c>
      <c r="J61" s="32">
        <f>IFERROR((SUMIFS(JB_26BV,JB_B,4,JB_W,"National Security Cutters",JB_RC,"ADD"))/J$65,0)</f>
        <v>1</v>
      </c>
      <c r="K61" s="32">
        <f>IFERROR((SUMIFS(JB_26BV,JB_B,4,JB_V,"Auxiliary Ships",JB_RC,"ADD")+SUMIFS(JB_26BV,JB_B,4,JB_V,"Combatant Ships",JB_RC,"ADD")+SUMIFS(JB_26BV,JB_B,4,JB_V,"Cutters",JB_RC,"ADD")+SUMIFS(JB_26BV,JB_B,4,JB_V,"Unmanned Maritime Platforms",JB_RC,"ADD"))/K$65,0)</f>
        <v>0.44043247387232803</v>
      </c>
    </row>
    <row r="62" spans="1:11" ht="10" customHeight="1" x14ac:dyDescent="0.2">
      <c r="A62" s="16" t="s">
        <v>8424</v>
      </c>
      <c r="B62" s="32">
        <f>IFERROR((SUMIFS(JB_26BV,JB_B,5,JB_W,"Submarines",JB_RC,"ADD"))/B$65,0)</f>
        <v>0</v>
      </c>
      <c r="C62" s="26">
        <f>IFERROR((SUMIFS(JB_26BV,JB_B,5,JB_W,"Surface Combatants",JB_RC,"ADD"))/C$65,0)</f>
        <v>0</v>
      </c>
      <c r="D62" s="26">
        <f>IFERROR((SUMIFS(JB_26BV,JB_B,5,JB_W,"Aircraft Carriers",JB_RC,"ADD"))/D$65,0)</f>
        <v>0.30580299258776666</v>
      </c>
      <c r="E62" s="26">
        <f>IFERROR((SUMIFS(JB_26BV,JB_B,5,JB_W,"Amphibious Warfare Ships",JB_RC,"ADD"))/E$65,0)</f>
        <v>0</v>
      </c>
      <c r="F62" s="26">
        <f>IFERROR((SUMIFS(JB_26BV,JB_B,5,JB_W,"Expeditionary &amp; Seabasing Ships",JB_RC,"ADD"))/F$65,0)</f>
        <v>0</v>
      </c>
      <c r="G62" s="26">
        <f>IFERROR((SUMIFS(JB_26BV,JB_B,5,JB_W,"Command Ships",JB_RC,"ADD"))/G$65,0)</f>
        <v>0.46506465933217528</v>
      </c>
      <c r="H62" s="26">
        <f>IFERROR((SUMIFS(JB_26BV,JB_B,5,JB_W,"Surveillance Ships",JB_RC,"ADD"))/H$65,0)</f>
        <v>0</v>
      </c>
      <c r="I62" s="26">
        <f>IFERROR((SUMIFS(JB_26BV,JB_B,5,JB_W,"Mine Warfare",JB_RC,"ADD"))/I$65,0)</f>
        <v>0</v>
      </c>
      <c r="J62" s="32">
        <f>IFERROR((SUMIFS(JB_26BV,JB_B,5,JB_W,"National Security Cutters",JB_RC,"ADD"))/J$65,0)</f>
        <v>0</v>
      </c>
      <c r="K62" s="32">
        <f>IFERROR((SUMIFS(JB_26BV,JB_B,5,JB_V,"Auxiliary Ships",JB_RC,"ADD")+SUMIFS(JB_26BV,JB_B,5,JB_V,"Combatant Ships",JB_RC,"ADD")+SUMIFS(JB_26BV,JB_B,5,JB_V,"Cutters",JB_RC,"ADD")+SUMIFS(JB_26BV,JB_B,5,JB_V,"Unmanned Maritime Platforms",JB_RC,"ADD"))/K$65,0)</f>
        <v>6.4913522933427906E-2</v>
      </c>
    </row>
    <row r="63" spans="1:11" ht="10" customHeight="1" x14ac:dyDescent="0.2">
      <c r="A63" s="16" t="s">
        <v>8425</v>
      </c>
      <c r="B63" s="32">
        <f>IFERROR((SUMIFS(JB_26BV,JB_B,6,JB_W,"Submarines",JB_RC,"ADD"))/B$65,0)</f>
        <v>1.2981896326042503E-2</v>
      </c>
      <c r="C63" s="26">
        <f>IFERROR((SUMIFS(JB_26BV,JB_B,6,JB_W,"Surface Combatants",JB_RC,"ADD"))/C$65,0)</f>
        <v>9.8517250956103321E-4</v>
      </c>
      <c r="D63" s="26">
        <f>IFERROR((SUMIFS(JB_26BV,JB_B,6,JB_W,"Aircraft Carriers",JB_RC,"ADD"))/D$65,0)</f>
        <v>0</v>
      </c>
      <c r="E63" s="26">
        <f>IFERROR((SUMIFS(JB_26BV,JB_B,6,JB_W,"Amphibious Warfare Ships",JB_RC,"ADD"))/E$65,0)</f>
        <v>0</v>
      </c>
      <c r="F63" s="26">
        <f>IFERROR((SUMIFS(JB_26BV,JB_B,6,JB_W,"Expeditionary &amp; Seabasing Ships",JB_RC,"ADD"))/F$65,0)</f>
        <v>0</v>
      </c>
      <c r="G63" s="26">
        <f>IFERROR((SUMIFS(JB_26BV,JB_B,6,JB_W,"Command Ships",JB_RC,"ADD"))/G$65,0)</f>
        <v>0</v>
      </c>
      <c r="H63" s="26">
        <f>IFERROR((SUMIFS(JB_26BV,JB_B,6,JB_W,"Surveillance Ships",JB_RC,"ADD"))/H$65,0)</f>
        <v>0</v>
      </c>
      <c r="I63" s="26">
        <f>IFERROR((SUMIFS(JB_26BV,JB_B,6,JB_W,"Mine Warfare",JB_RC,"ADD"))/I$65,0)</f>
        <v>0</v>
      </c>
      <c r="J63" s="32">
        <f>IFERROR((SUMIFS(JB_26BV,JB_B,6,JB_W,"National Security Cutters",JB_RC,"ADD"))/J$65,0)</f>
        <v>0</v>
      </c>
      <c r="K63" s="32">
        <f>IFERROR((SUMIFS(JB_26BV,JB_B,6,JB_V,"Auxiliary Ships",JB_RC,"ADD")+SUMIFS(JB_26BV,JB_B,6,JB_V,"Combatant Ships",JB_RC,"ADD")+SUMIFS(JB_26BV,JB_B,6,JB_V,"Cutters",JB_RC,"ADD")+SUMIFS(JB_26BV,JB_B,6,JB_V,"Unmanned Maritime Platforms",JB_RC,"ADD"))/K$65,0)</f>
        <v>6.3438122365443161E-3</v>
      </c>
    </row>
    <row r="64" spans="1:11" ht="10" customHeight="1" x14ac:dyDescent="0.2">
      <c r="A64" s="16" t="s">
        <v>5517</v>
      </c>
      <c r="B64" s="32">
        <f>IFERROR((SUMIFS(JB_26BV,JB_B,7,JB_W,"Submarines",JB_RC,"ADD"))/B$65,0)</f>
        <v>0</v>
      </c>
      <c r="C64" s="26">
        <f>IFERROR((SUMIFS(JB_26BV,JB_B,7,JB_W,"Surface Combatants",JB_RC,"ADD"))/C$65,0)</f>
        <v>0</v>
      </c>
      <c r="D64" s="26">
        <f>IFERROR((SUMIFS(JB_26BV,JB_B,7,JB_W,"Aircraft Carriers",JB_RC,"ADD"))/D$65,0)</f>
        <v>0</v>
      </c>
      <c r="E64" s="26">
        <f>IFERROR((SUMIFS(JB_26BV,JB_B,7,JB_W,"Amphibious Warfare Ships",JB_RC,"ADD"))/E$65,0)</f>
        <v>0</v>
      </c>
      <c r="F64" s="26">
        <f>IFERROR((SUMIFS(JB_26BV,JB_B,7,JB_W,"Expeditionary &amp; Seabasing Ships",JB_RC,"ADD"))/F$65,0)</f>
        <v>0.61671661132258848</v>
      </c>
      <c r="G64" s="26">
        <f>IFERROR((SUMIFS(JB_26BV,JB_B,7,JB_W,"Command Ships",JB_RC,"ADD"))/G$65,0)</f>
        <v>0</v>
      </c>
      <c r="H64" s="26">
        <f>IFERROR((SUMIFS(JB_26BV,JB_B,7,JB_W,"Surveillance Ships",JB_RC,"ADD"))/H$65,0)</f>
        <v>0</v>
      </c>
      <c r="I64" s="26">
        <f>IFERROR((SUMIFS(JB_26BV,JB_B,7,JB_W,"Mine Warfare",JB_RC,"ADD"))/I$65,0)</f>
        <v>0</v>
      </c>
      <c r="J64" s="32">
        <f>IFERROR((SUMIFS(JB_26BV,JB_B,7,JB_W,"National Security Cutters",JB_RC,"ADD"))/J$65,0)</f>
        <v>0</v>
      </c>
      <c r="K64" s="32">
        <f>IFERROR((SUMIFS(JB_26BV,JB_B,7,JB_V,"Auxiliary Ships",JB_RC,"ADD")+SUMIFS(JB_26BV,JB_B,7,JB_V,"Combatant Ships",JB_RC,"ADD")+SUMIFS(JB_26BV,JB_B,7,JB_V,"Cutters",JB_RC,"ADD")+SUMIFS(JB_26BV,JB_B,7,JB_V,"Unmanned Maritime Platforms",JB_RC,"ADD"))/K$65,0)</f>
        <v>1.5463133709054762E-3</v>
      </c>
    </row>
    <row r="65" spans="1:11" ht="10" customHeight="1" x14ac:dyDescent="0.2">
      <c r="A65" s="21" t="s">
        <v>8355</v>
      </c>
      <c r="B65" s="33">
        <f>SUMIFS(JB_26BV,JB_B,2,JB_W,"Submarines",JB_RC,"ADD")+SUMIFS(JB_26BV,JB_B,3,JB_W,"Submarines",JB_RC,"ADD")+SUMIFS(JB_26BV,JB_B,4,JB_W,"Submarines",JB_RC,"ADD")+SUMIFS(JB_26BV,JB_B,5,JB_W,"Submarines",JB_RC,"ADD")+SUMIFS(JB_26BV,JB_B,6,JB_W,"Submarines",JB_RC,"ADD")+SUMIFS(JB_26BV,JB_B,7,JB_W,"Submarines",JB_RC,"ADD")</f>
        <v>11566492</v>
      </c>
      <c r="C65" s="22">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5" s="22">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5" s="22">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5" s="22">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5" s="22">
        <f>SUMIFS(JB_26BV,JB_B,2,JB_W,"Command Ships",JB_RC,"ADD")+SUMIFS(JB_26BV,JB_B,3,JB_W,"Command Ships",JB_RC,"ADD")+SUMIFS(JB_26BV,JB_B,4,JB_W,"Command Ships",JB_RC,"ADD")+SUMIFS(JB_26BV,JB_B,5,JB_W,"Command Ships",JB_RC,"ADD")+SUMIFS(JB_26BV,JB_B,6,JB_W,"Command Ships",JB_RC,"ADD")+SUMIFS(JB_26BV,JB_B,7,JB_W,"Command Ships",JB_RC,"ADD")</f>
        <v>41448</v>
      </c>
      <c r="H65" s="22">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5" s="22">
        <f>SUMIFS(JB_26BV,JB_B,2,JB_W,"Mine Warfare",JB_RC,"ADD")+SUMIFS(JB_26BV,JB_B,3,JB_W,"Mine Warfare",JB_RC,"ADD")+SUMIFS(JB_26BV,JB_B,4,JB_W,"Mine Warfare",JB_RC,"ADD")+SUMIFS(JB_26BV,JB_B,5,JB_W,"Mine Warfare",JB_RC,"ADD")+SUMIFS(JB_26BV,JB_B,6,JB_W,"Mine Warfare",JB_RC,"ADD")+SUMIFS(JB_26BV,JB_B,7,JB_W,"Mine Warfare",JB_RC,"ADD")</f>
        <v>24349</v>
      </c>
      <c r="J65" s="33">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5" s="33">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8" t="s">
        <v>8428</v>
      </c>
      <c r="B1" s="19"/>
      <c r="C1" s="19"/>
      <c r="D1" s="19"/>
      <c r="E1" s="19"/>
      <c r="F1" s="19"/>
      <c r="G1" s="19"/>
      <c r="H1" s="19"/>
      <c r="I1" s="19"/>
      <c r="J1" s="19"/>
    </row>
    <row r="2" spans="1:10" ht="10" customHeight="1" x14ac:dyDescent="0.2">
      <c r="A2" s="20" t="s">
        <v>8429</v>
      </c>
    </row>
    <row r="3" spans="1:10" ht="10" customHeight="1" x14ac:dyDescent="0.2"/>
    <row r="4" spans="1:10" ht="10" customHeight="1" x14ac:dyDescent="0.2">
      <c r="A4" s="6" t="s">
        <v>8430</v>
      </c>
      <c r="B4" s="7"/>
    </row>
    <row r="5" spans="1:10" ht="10" customHeight="1" x14ac:dyDescent="0.2">
      <c r="A5" s="16" t="s">
        <v>8420</v>
      </c>
      <c r="B5" s="38">
        <f>'FY26 MRO TAM'!B20</f>
        <v>24621788</v>
      </c>
    </row>
    <row r="6" spans="1:10" ht="10" customHeight="1" x14ac:dyDescent="0.2">
      <c r="A6" s="16" t="s">
        <v>8380</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0" ht="10" customHeight="1" x14ac:dyDescent="0.2">
      <c r="A7" s="16" t="s">
        <v>8381</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0" ht="10" customHeight="1" x14ac:dyDescent="0.2">
      <c r="A8" s="16" t="s">
        <v>8382</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0" ht="10" customHeight="1" x14ac:dyDescent="0.2">
      <c r="A9" s="16" t="s">
        <v>8431</v>
      </c>
      <c r="B9" s="17">
        <f>-(B5+B6+B7+B8-B10)</f>
        <v>-271328</v>
      </c>
    </row>
    <row r="10" spans="1:10" ht="10" customHeight="1" x14ac:dyDescent="0.2">
      <c r="A10" s="21" t="s">
        <v>8432</v>
      </c>
      <c r="B10" s="22">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7620477</v>
      </c>
    </row>
    <row r="11" spans="1:10" ht="10" customHeight="1" x14ac:dyDescent="0.2"/>
    <row r="12" spans="1:10" ht="10" customHeight="1" x14ac:dyDescent="0.2"/>
    <row r="13" spans="1:10" ht="10" customHeight="1" x14ac:dyDescent="0.2">
      <c r="A13" s="6" t="s">
        <v>8433</v>
      </c>
      <c r="B13" s="7"/>
      <c r="C13" s="7"/>
      <c r="D13" s="7"/>
      <c r="E13" s="7"/>
      <c r="F13" s="7"/>
    </row>
    <row r="14" spans="1:10" ht="10" customHeight="1" x14ac:dyDescent="0.2">
      <c r="A14" s="15" t="s">
        <v>20</v>
      </c>
      <c r="B14" s="15" t="s">
        <v>8348</v>
      </c>
      <c r="C14" s="15" t="s">
        <v>8434</v>
      </c>
      <c r="D14" s="15" t="s">
        <v>8435</v>
      </c>
      <c r="E14" s="15" t="s">
        <v>8355</v>
      </c>
      <c r="F14" s="15" t="s">
        <v>8385</v>
      </c>
    </row>
    <row r="15" spans="1:10" ht="10" customHeight="1" x14ac:dyDescent="0.2">
      <c r="A15" s="16" t="s">
        <v>119</v>
      </c>
      <c r="B15" s="16" t="s">
        <v>50</v>
      </c>
      <c r="C15" s="17">
        <f>SUMIFS(JB_26BV,JB_B,2,JB_W,"Surface Combatants",JB_RC,"ADD")</f>
        <v>1651698</v>
      </c>
      <c r="D15" s="17">
        <f>SUMIFS(JB_26BV,JB_B,4,JB_W,"Surface Combatants",JB_RC,"ADD")</f>
        <v>4267312</v>
      </c>
      <c r="E15" s="17">
        <f t="shared" ref="E15:E39" si="0">C15+D15</f>
        <v>5919010</v>
      </c>
      <c r="F15" s="26">
        <f t="shared" ref="F15:F39" si="1">IFERROR(E15/E$40,0)</f>
        <v>0.77672434415850866</v>
      </c>
    </row>
    <row r="16" spans="1:10" ht="10" customHeight="1" x14ac:dyDescent="0.2">
      <c r="A16" s="16" t="s">
        <v>149</v>
      </c>
      <c r="B16" s="16" t="s">
        <v>50</v>
      </c>
      <c r="C16" s="17">
        <f>SUMIFS(JB_26BV,JB_B,2,JB_W,"Amphibious Warfare Ships",JB_RC,"ADD")</f>
        <v>635471</v>
      </c>
      <c r="D16" s="17">
        <f>SUMIFS(JB_26BV,JB_B,4,JB_W,"Amphibious Warfare Ships",JB_RC,"ADD")</f>
        <v>934712</v>
      </c>
      <c r="E16" s="17">
        <f t="shared" si="0"/>
        <v>1570183</v>
      </c>
      <c r="F16" s="26">
        <f t="shared" si="1"/>
        <v>0.20604786288312399</v>
      </c>
    </row>
    <row r="17" spans="1:6" ht="10" customHeight="1" x14ac:dyDescent="0.2">
      <c r="A17" s="16" t="s">
        <v>214</v>
      </c>
      <c r="B17" s="16" t="s">
        <v>50</v>
      </c>
      <c r="C17" s="17">
        <f>SUMIFS(JB_26BV,JB_B,2,JB_W,"Surveillance Ships",JB_RC,"ADD")</f>
        <v>0</v>
      </c>
      <c r="D17" s="17">
        <f>SUMIFS(JB_26BV,JB_B,4,JB_W,"Surveillance Ships",JB_RC,"ADD")</f>
        <v>31169</v>
      </c>
      <c r="E17" s="17">
        <f t="shared" si="0"/>
        <v>31169</v>
      </c>
      <c r="F17" s="26">
        <f t="shared" si="1"/>
        <v>4.0901639096870184E-3</v>
      </c>
    </row>
    <row r="18" spans="1:6" ht="10" customHeight="1" x14ac:dyDescent="0.2">
      <c r="A18" s="16" t="s">
        <v>182</v>
      </c>
      <c r="B18" s="16" t="s">
        <v>50</v>
      </c>
      <c r="C18" s="17">
        <f>SUMIFS(JB_26BV,JB_B,2,JB_W,"Expeditionary &amp; Seabasing Ships",JB_RC,"ADD")</f>
        <v>23662</v>
      </c>
      <c r="D18" s="17">
        <f>SUMIFS(JB_26BV,JB_B,4,JB_W,"Expeditionary &amp; Seabasing Ships",JB_RC,"ADD")</f>
        <v>0</v>
      </c>
      <c r="E18" s="17">
        <f t="shared" si="0"/>
        <v>23662</v>
      </c>
      <c r="F18" s="26">
        <f t="shared" si="1"/>
        <v>3.1050549722806066E-3</v>
      </c>
    </row>
    <row r="19" spans="1:6" ht="10" customHeight="1" x14ac:dyDescent="0.2">
      <c r="A19" s="16" t="s">
        <v>4684</v>
      </c>
      <c r="B19" s="16" t="s">
        <v>50</v>
      </c>
      <c r="C19" s="17">
        <f>SUMIFS(JB_26BV,JB_B,2,JB_W,"Mine Warfare",JB_RC,"ADD")</f>
        <v>23281</v>
      </c>
      <c r="D19" s="17">
        <f>SUMIFS(JB_26BV,JB_B,4,JB_W,"Mine Warfare",JB_RC,"ADD")</f>
        <v>0</v>
      </c>
      <c r="E19" s="17">
        <f t="shared" si="0"/>
        <v>23281</v>
      </c>
      <c r="F19" s="26">
        <f t="shared" si="1"/>
        <v>3.0550581020059504E-3</v>
      </c>
    </row>
    <row r="20" spans="1:6" ht="10" customHeight="1" x14ac:dyDescent="0.2">
      <c r="A20" s="16" t="s">
        <v>4859</v>
      </c>
      <c r="B20" s="16" t="s">
        <v>50</v>
      </c>
      <c r="C20" s="17">
        <f>SUMIFS(JB_26BV,JB_B,2,JB_W,"Command Ships",JB_RC,"ADD")</f>
        <v>22172</v>
      </c>
      <c r="D20" s="17">
        <f>SUMIFS(JB_26BV,JB_B,4,JB_W,"Command Ships",JB_RC,"ADD")</f>
        <v>0</v>
      </c>
      <c r="E20" s="17">
        <f t="shared" si="0"/>
        <v>22172</v>
      </c>
      <c r="F20" s="26">
        <f t="shared" si="1"/>
        <v>2.9095291541461248E-3</v>
      </c>
    </row>
    <row r="21" spans="1:6" ht="10" customHeight="1" x14ac:dyDescent="0.2">
      <c r="A21" s="16" t="s">
        <v>5272</v>
      </c>
      <c r="B21" s="16" t="s">
        <v>50</v>
      </c>
      <c r="C21" s="17">
        <f>SUMIFS(JB_26BV,JB_B,2,JB_W,"Aviation Logistics Support Ship",JB_RC,"ADD")</f>
        <v>0</v>
      </c>
      <c r="D21" s="17">
        <f>SUMIFS(JB_26BV,JB_B,4,JB_W,"Aviation Logistics Support Ship",JB_RC,"ADD")</f>
        <v>0</v>
      </c>
      <c r="E21" s="17">
        <f t="shared" si="0"/>
        <v>0</v>
      </c>
      <c r="F21" s="26">
        <f t="shared" si="1"/>
        <v>0</v>
      </c>
    </row>
    <row r="22" spans="1:6" ht="10" customHeight="1" x14ac:dyDescent="0.2">
      <c r="A22" s="16" t="s">
        <v>233</v>
      </c>
      <c r="B22" s="16" t="s">
        <v>190</v>
      </c>
      <c r="C22" s="17">
        <f>SUMIFS(JB_26BV,JB_B,2,JB_W,"Research, Survey &amp; Instrumentation Ships",JB_RC,"ADD")</f>
        <v>0</v>
      </c>
      <c r="D22" s="17">
        <f>SUMIFS(JB_26BV,JB_B,4,JB_W,"Research, Survey &amp; Instrumentation Ships",JB_RC,"ADD")</f>
        <v>0</v>
      </c>
      <c r="E22" s="17">
        <f t="shared" si="0"/>
        <v>0</v>
      </c>
      <c r="F22" s="26">
        <f t="shared" si="1"/>
        <v>0</v>
      </c>
    </row>
    <row r="23" spans="1:6" ht="10" customHeight="1" x14ac:dyDescent="0.2">
      <c r="A23" s="16" t="s">
        <v>5029</v>
      </c>
      <c r="B23" s="16" t="s">
        <v>190</v>
      </c>
      <c r="C23" s="17">
        <f>SUMIFS(JB_26BV,JB_B,2,JB_W,"Hospital Ship",JB_RC,"ADD")</f>
        <v>0</v>
      </c>
      <c r="D23" s="17">
        <f>SUMIFS(JB_26BV,JB_B,4,JB_W,"Hospital Ship",JB_RC,"ADD")</f>
        <v>0</v>
      </c>
      <c r="E23" s="17">
        <f t="shared" si="0"/>
        <v>0</v>
      </c>
      <c r="F23" s="26">
        <f t="shared" si="1"/>
        <v>0</v>
      </c>
    </row>
    <row r="24" spans="1:6" ht="10" customHeight="1" x14ac:dyDescent="0.2">
      <c r="A24" s="16" t="s">
        <v>4985</v>
      </c>
      <c r="B24" s="16" t="s">
        <v>50</v>
      </c>
      <c r="C24" s="17">
        <f>SUMIFS(JB_26BV,JB_B,2,JB_W,"High Speed Transport",JB_RC,"ADD")</f>
        <v>0</v>
      </c>
      <c r="D24" s="17">
        <f>SUMIFS(JB_26BV,JB_B,4,JB_W,"High Speed Transport",JB_RC,"ADD")</f>
        <v>0</v>
      </c>
      <c r="E24" s="17">
        <f t="shared" si="0"/>
        <v>0</v>
      </c>
      <c r="F24" s="26">
        <f t="shared" si="1"/>
        <v>0</v>
      </c>
    </row>
    <row r="25" spans="1:6" ht="10" customHeight="1" x14ac:dyDescent="0.2">
      <c r="A25" s="16" t="s">
        <v>5277</v>
      </c>
      <c r="B25" s="16" t="s">
        <v>50</v>
      </c>
      <c r="C25" s="17">
        <f>SUMIFS(JB_26BV,JB_B,2,JB_W,"Crane Ship",JB_RC,"ADD")</f>
        <v>0</v>
      </c>
      <c r="D25" s="17">
        <f>SUMIFS(JB_26BV,JB_B,4,JB_W,"Crane Ship",JB_RC,"ADD")</f>
        <v>0</v>
      </c>
      <c r="E25" s="17">
        <f t="shared" si="0"/>
        <v>0</v>
      </c>
      <c r="F25" s="26">
        <f t="shared" si="1"/>
        <v>0</v>
      </c>
    </row>
    <row r="26" spans="1:6" ht="10" customHeight="1" x14ac:dyDescent="0.2">
      <c r="A26" s="16" t="s">
        <v>4966</v>
      </c>
      <c r="B26" s="16" t="s">
        <v>50</v>
      </c>
      <c r="C26" s="17">
        <f>SUMIFS(JB_26BV,JB_B,2,JB_W,"Material Support Ships",JB_RC,"ADD")</f>
        <v>0</v>
      </c>
      <c r="D26" s="17">
        <f>SUMIFS(JB_26BV,JB_B,4,JB_W,"Material Support Ships",JB_RC,"ADD")</f>
        <v>0</v>
      </c>
      <c r="E26" s="17">
        <f t="shared" si="0"/>
        <v>0</v>
      </c>
      <c r="F26" s="26">
        <f t="shared" si="1"/>
        <v>0</v>
      </c>
    </row>
    <row r="27" spans="1:6" ht="10" customHeight="1" x14ac:dyDescent="0.2">
      <c r="A27" s="16" t="s">
        <v>5416</v>
      </c>
      <c r="B27" s="16" t="s">
        <v>50</v>
      </c>
      <c r="C27" s="17">
        <f>SUMIFS(JB_26BV,JB_B,2,JB_W,"Unmanned Surface Vehicles",JB_RC,"ADD")</f>
        <v>0</v>
      </c>
      <c r="D27" s="17">
        <f>SUMIFS(JB_26BV,JB_B,4,JB_W,"Unmanned Surface Vehicles",JB_RC,"ADD")</f>
        <v>0</v>
      </c>
      <c r="E27" s="17">
        <f t="shared" si="0"/>
        <v>0</v>
      </c>
      <c r="F27" s="26">
        <f t="shared" si="1"/>
        <v>0</v>
      </c>
    </row>
    <row r="28" spans="1:6" ht="10" customHeight="1" x14ac:dyDescent="0.2">
      <c r="A28" s="16" t="s">
        <v>202</v>
      </c>
      <c r="B28" s="16" t="s">
        <v>190</v>
      </c>
      <c r="C28" s="17">
        <f>SUMIFS(JB_26BV,JB_B,2,JB_W,"Combat Logistics Ships",JB_RC,"ADD")</f>
        <v>0</v>
      </c>
      <c r="D28" s="17">
        <f>SUMIFS(JB_26BV,JB_B,4,JB_W,"Combat Logistics Ships",JB_RC,"ADD")</f>
        <v>0</v>
      </c>
      <c r="E28" s="17">
        <f t="shared" si="0"/>
        <v>0</v>
      </c>
      <c r="F28" s="26">
        <f t="shared" si="1"/>
        <v>0</v>
      </c>
    </row>
    <row r="29" spans="1:6" ht="10" customHeight="1" x14ac:dyDescent="0.2">
      <c r="A29" s="16" t="s">
        <v>5019</v>
      </c>
      <c r="B29" s="16" t="s">
        <v>50</v>
      </c>
      <c r="C29" s="17">
        <f>SUMIFS(JB_26BV,JB_B,2,JB_W,"Submarine Escort Ship",JB_RC,"ADD")</f>
        <v>0</v>
      </c>
      <c r="D29" s="17">
        <f>SUMIFS(JB_26BV,JB_B,4,JB_W,"Submarine Escort Ship",JB_RC,"ADD")</f>
        <v>0</v>
      </c>
      <c r="E29" s="17">
        <f t="shared" si="0"/>
        <v>0</v>
      </c>
      <c r="F29" s="26">
        <f t="shared" si="1"/>
        <v>0</v>
      </c>
    </row>
    <row r="30" spans="1:6" ht="10" customHeight="1" x14ac:dyDescent="0.2">
      <c r="A30" s="16" t="s">
        <v>226</v>
      </c>
      <c r="B30" s="16" t="s">
        <v>190</v>
      </c>
      <c r="C30" s="17">
        <f>SUMIFS(JB_26BV,JB_B,2,JB_W,"Salvage Ships &amp; Fleet Ocean Tugs",JB_RC,"ADD")</f>
        <v>0</v>
      </c>
      <c r="D30" s="17">
        <f>SUMIFS(JB_26BV,JB_B,4,JB_W,"Salvage Ships &amp; Fleet Ocean Tugs",JB_RC,"ADD")</f>
        <v>0</v>
      </c>
      <c r="E30" s="17">
        <f t="shared" si="0"/>
        <v>0</v>
      </c>
      <c r="F30" s="26">
        <f t="shared" si="1"/>
        <v>0</v>
      </c>
    </row>
    <row r="31" spans="1:6" ht="10" customHeight="1" x14ac:dyDescent="0.2">
      <c r="A31" s="16" t="s">
        <v>245</v>
      </c>
      <c r="B31" s="16" t="s">
        <v>50</v>
      </c>
      <c r="C31" s="17">
        <f>SUMIFS(JB_26BV,JB_B,2,JB_W,"Cargo &amp; Vehicle Cargo Ships",JB_RC,"ADD")</f>
        <v>0</v>
      </c>
      <c r="D31" s="17">
        <f>SUMIFS(JB_26BV,JB_B,4,JB_W,"Cargo &amp; Vehicle Cargo Ships",JB_RC,"ADD")</f>
        <v>0</v>
      </c>
      <c r="E31" s="17">
        <f t="shared" si="0"/>
        <v>0</v>
      </c>
      <c r="F31" s="26">
        <f t="shared" si="1"/>
        <v>0</v>
      </c>
    </row>
    <row r="32" spans="1:6" ht="10" customHeight="1" x14ac:dyDescent="0.2">
      <c r="A32" s="16" t="s">
        <v>4643</v>
      </c>
      <c r="B32" s="16" t="s">
        <v>50</v>
      </c>
      <c r="C32" s="17">
        <f>SUMIFS(JB_26BV,JB_B,2,JB_W,"General Auxiliary",JB_RC,"ADD")</f>
        <v>0</v>
      </c>
      <c r="D32" s="17">
        <f>SUMIFS(JB_26BV,JB_B,4,JB_W,"General Auxiliary",JB_RC,"ADD")</f>
        <v>0</v>
      </c>
      <c r="E32" s="17">
        <f t="shared" si="0"/>
        <v>0</v>
      </c>
      <c r="F32" s="26">
        <f t="shared" si="1"/>
        <v>0</v>
      </c>
    </row>
    <row r="33" spans="1:9" ht="10" customHeight="1" x14ac:dyDescent="0.2">
      <c r="A33" s="16" t="s">
        <v>6811</v>
      </c>
      <c r="B33" s="16" t="s">
        <v>6809</v>
      </c>
      <c r="C33" s="17">
        <f>SUMIFS(JB_26BV,JB_B,2,JB_W,"National Security Cutters",JB_RC,"ADD")</f>
        <v>0</v>
      </c>
      <c r="D33" s="17">
        <f>SUMIFS(JB_26BV,JB_B,4,JB_W,"National Security Cutters",JB_RC,"ADD")</f>
        <v>31000</v>
      </c>
      <c r="E33" s="17">
        <f t="shared" si="0"/>
        <v>31000</v>
      </c>
      <c r="F33" s="26">
        <f t="shared" si="1"/>
        <v>4.0679868202476042E-3</v>
      </c>
    </row>
    <row r="34" spans="1:9" ht="10" customHeight="1" x14ac:dyDescent="0.2">
      <c r="A34" s="16" t="s">
        <v>8213</v>
      </c>
      <c r="B34" s="16" t="s">
        <v>6809</v>
      </c>
      <c r="C34" s="17">
        <f>SUMIFS(JB_26BV,JB_B,2,JB_W,"Waterways Commerce Cutters",JB_RC,"ADD")</f>
        <v>0</v>
      </c>
      <c r="D34" s="17">
        <f>SUMIFS(JB_26BV,JB_B,4,JB_W,"Waterways Commerce Cutters",JB_RC,"ADD")</f>
        <v>0</v>
      </c>
      <c r="E34" s="17">
        <f t="shared" si="0"/>
        <v>0</v>
      </c>
      <c r="F34" s="26">
        <f t="shared" si="1"/>
        <v>0</v>
      </c>
    </row>
    <row r="35" spans="1:9" ht="10" customHeight="1" x14ac:dyDescent="0.2">
      <c r="A35" s="16" t="s">
        <v>8175</v>
      </c>
      <c r="B35" s="16" t="s">
        <v>6809</v>
      </c>
      <c r="C35" s="17">
        <f>SUMIFS(JB_26BV,JB_B,2,JB_W,"Coastal Buoy Tenders",JB_RC,"ADD")</f>
        <v>0</v>
      </c>
      <c r="D35" s="17">
        <f>SUMIFS(JB_26BV,JB_B,4,JB_W,"Coastal Buoy Tenders",JB_RC,"ADD")</f>
        <v>0</v>
      </c>
      <c r="E35" s="17">
        <f t="shared" si="0"/>
        <v>0</v>
      </c>
      <c r="F35" s="26">
        <f t="shared" si="1"/>
        <v>0</v>
      </c>
    </row>
    <row r="36" spans="1:9" ht="10" customHeight="1" x14ac:dyDescent="0.2">
      <c r="A36" s="16" t="s">
        <v>8194</v>
      </c>
      <c r="B36" s="16" t="s">
        <v>6809</v>
      </c>
      <c r="C36" s="17">
        <f>SUMIFS(JB_26BV,JB_B,2,JB_W,"Fast Response Cutters",JB_RC,"ADD")</f>
        <v>0</v>
      </c>
      <c r="D36" s="17">
        <f>SUMIFS(JB_26BV,JB_B,4,JB_W,"Fast Response Cutters",JB_RC,"ADD")</f>
        <v>0</v>
      </c>
      <c r="E36" s="17">
        <f t="shared" si="0"/>
        <v>0</v>
      </c>
      <c r="F36" s="26">
        <f t="shared" si="1"/>
        <v>0</v>
      </c>
    </row>
    <row r="37" spans="1:9" ht="10" customHeight="1" x14ac:dyDescent="0.2">
      <c r="A37" s="16" t="s">
        <v>8188</v>
      </c>
      <c r="B37" s="16" t="s">
        <v>6809</v>
      </c>
      <c r="C37" s="17">
        <f>SUMIFS(JB_26BV,JB_B,2,JB_W,"Offshore Patrol Cutter",JB_RC,"ADD")</f>
        <v>0</v>
      </c>
      <c r="D37" s="17">
        <f>SUMIFS(JB_26BV,JB_B,4,JB_W,"Offshore Patrol Cutter",JB_RC,"ADD")</f>
        <v>0</v>
      </c>
      <c r="E37" s="17">
        <f t="shared" si="0"/>
        <v>0</v>
      </c>
      <c r="F37" s="26">
        <f t="shared" si="1"/>
        <v>0</v>
      </c>
    </row>
    <row r="38" spans="1:9" ht="10" customHeight="1" x14ac:dyDescent="0.2">
      <c r="A38" s="16" t="s">
        <v>8209</v>
      </c>
      <c r="B38" s="16" t="s">
        <v>6809</v>
      </c>
      <c r="C38" s="17">
        <f>SUMIFS(JB_26BV,JB_B,2,JB_W,"Icebreakers, Great Lakes",JB_RC,"ADD")</f>
        <v>0</v>
      </c>
      <c r="D38" s="17">
        <f>SUMIFS(JB_26BV,JB_B,4,JB_W,"Icebreakers, Great Lakes",JB_RC,"ADD")</f>
        <v>0</v>
      </c>
      <c r="E38" s="17">
        <f t="shared" si="0"/>
        <v>0</v>
      </c>
      <c r="F38" s="26">
        <f t="shared" si="1"/>
        <v>0</v>
      </c>
    </row>
    <row r="39" spans="1:9" ht="10" customHeight="1" x14ac:dyDescent="0.2">
      <c r="A39" s="16" t="s">
        <v>8202</v>
      </c>
      <c r="B39" s="16" t="s">
        <v>6809</v>
      </c>
      <c r="C39" s="17">
        <f>SUMIFS(JB_26BV,JB_B,2,JB_W,"Icebreakers, Oceangoing",JB_RC,"ADD")</f>
        <v>0</v>
      </c>
      <c r="D39" s="17">
        <f>SUMIFS(JB_26BV,JB_B,4,JB_W,"Icebreakers, Oceangoing",JB_RC,"ADD")</f>
        <v>0</v>
      </c>
      <c r="E39" s="17">
        <f t="shared" si="0"/>
        <v>0</v>
      </c>
      <c r="F39" s="26">
        <f t="shared" si="1"/>
        <v>0</v>
      </c>
    </row>
    <row r="40" spans="1:9" ht="10" customHeight="1" x14ac:dyDescent="0.2">
      <c r="A40" s="21" t="s">
        <v>8432</v>
      </c>
      <c r="B40" s="21"/>
      <c r="C40" s="22">
        <f>SUM(C15:C39)</f>
        <v>2356284</v>
      </c>
      <c r="D40" s="22">
        <f>SUM(D15:D39)</f>
        <v>5264193</v>
      </c>
      <c r="E40" s="22">
        <f>SUM(E15:E39)</f>
        <v>7620477</v>
      </c>
      <c r="F40" s="27">
        <v>1</v>
      </c>
    </row>
    <row r="41" spans="1:9" ht="10" customHeight="1" x14ac:dyDescent="0.2"/>
    <row r="42" spans="1:9" ht="10" customHeight="1" x14ac:dyDescent="0.2"/>
    <row r="43" spans="1:9" ht="10" customHeight="1" x14ac:dyDescent="0.2">
      <c r="A43" s="6" t="s">
        <v>8436</v>
      </c>
      <c r="B43" s="7"/>
      <c r="C43" s="7"/>
      <c r="D43" s="7"/>
      <c r="E43" s="7"/>
      <c r="F43" s="7"/>
      <c r="G43" s="7"/>
      <c r="H43" s="7"/>
      <c r="I43" s="7"/>
    </row>
    <row r="44" spans="1:9" ht="10" customHeight="1" x14ac:dyDescent="0.2">
      <c r="A44" s="28"/>
      <c r="B44" s="29" t="s">
        <v>50</v>
      </c>
      <c r="C44" s="28"/>
      <c r="D44" s="28"/>
      <c r="E44" s="28"/>
      <c r="F44" s="28"/>
      <c r="G44" s="28"/>
      <c r="H44" s="29" t="s">
        <v>6809</v>
      </c>
      <c r="I44" s="30"/>
    </row>
    <row r="45" spans="1:9" ht="10" customHeight="1" x14ac:dyDescent="0.2">
      <c r="A45" s="15" t="s">
        <v>8318</v>
      </c>
      <c r="B45" s="31" t="s">
        <v>119</v>
      </c>
      <c r="C45" s="15" t="s">
        <v>149</v>
      </c>
      <c r="D45" s="15" t="s">
        <v>182</v>
      </c>
      <c r="E45" s="15" t="s">
        <v>4859</v>
      </c>
      <c r="F45" s="15" t="s">
        <v>214</v>
      </c>
      <c r="G45" s="15" t="s">
        <v>4684</v>
      </c>
      <c r="H45" s="31" t="s">
        <v>6811</v>
      </c>
      <c r="I45" s="31" t="s">
        <v>8327</v>
      </c>
    </row>
    <row r="46" spans="1:9" ht="10" customHeight="1" x14ac:dyDescent="0.2">
      <c r="A46" s="16" t="s">
        <v>4328</v>
      </c>
      <c r="B46" s="32">
        <f>IFERROR((SUMIFS(JB_26BV,JB_B,2,JB_W,"Surface Combatants",JB_RC,"ADD"))/B$48,0)</f>
        <v>0.27904970594744727</v>
      </c>
      <c r="C46" s="26">
        <f>IFERROR((SUMIFS(JB_26BV,JB_B,2,JB_W,"Amphibious Warfare Ships",JB_RC,"ADD"))/C$48,0)</f>
        <v>0.40471142535615273</v>
      </c>
      <c r="D46" s="26">
        <f>IFERROR((SUMIFS(JB_26BV,JB_B,2,JB_W,"Expeditionary &amp; Seabasing Ships",JB_RC,"ADD"))/D$48,0)</f>
        <v>1</v>
      </c>
      <c r="E46" s="26">
        <f>IFERROR((SUMIFS(JB_26BV,JB_B,2,JB_W,"Command Ships",JB_RC,"ADD"))/E$48,0)</f>
        <v>1</v>
      </c>
      <c r="F46" s="26">
        <f>IFERROR((SUMIFS(JB_26BV,JB_B,2,JB_W,"Surveillance Ships",JB_RC,"ADD"))/F$48,0)</f>
        <v>0</v>
      </c>
      <c r="G46" s="26">
        <f>IFERROR((SUMIFS(JB_26BV,JB_B,2,JB_W,"Mine Warfare",JB_RC,"ADD"))/G$48,0)</f>
        <v>1</v>
      </c>
      <c r="H46" s="32">
        <f>IFERROR((SUMIFS(JB_26BV,JB_B,2,JB_W,"National Security Cutters",JB_RC,"ADD"))/H$48,0)</f>
        <v>0</v>
      </c>
      <c r="I46" s="32">
        <f>IFERROR(1-I47,0)</f>
        <v>0.30920426634710663</v>
      </c>
    </row>
    <row r="47" spans="1:9" ht="10" customHeight="1" x14ac:dyDescent="0.2">
      <c r="A47" s="16" t="s">
        <v>8423</v>
      </c>
      <c r="B47" s="32">
        <f>IFERROR((SUMIFS(JB_26BV,JB_B,4,JB_W,"Surface Combatants",JB_RC,"ADD"))/B$48,0)</f>
        <v>0.72095029405255273</v>
      </c>
      <c r="C47" s="26">
        <f>IFERROR((SUMIFS(JB_26BV,JB_B,4,JB_W,"Amphibious Warfare Ships",JB_RC,"ADD"))/C$48,0)</f>
        <v>0.59528857464384721</v>
      </c>
      <c r="D47" s="26">
        <f>IFERROR((SUMIFS(JB_26BV,JB_B,4,JB_W,"Expeditionary &amp; Seabasing Ships",JB_RC,"ADD"))/D$48,0)</f>
        <v>0</v>
      </c>
      <c r="E47" s="26">
        <f>IFERROR((SUMIFS(JB_26BV,JB_B,4,JB_W,"Command Ships",JB_RC,"ADD"))/E$48,0)</f>
        <v>0</v>
      </c>
      <c r="F47" s="26">
        <f>IFERROR((SUMIFS(JB_26BV,JB_B,4,JB_W,"Surveillance Ships",JB_RC,"ADD"))/F$48,0)</f>
        <v>1</v>
      </c>
      <c r="G47" s="26">
        <f>IFERROR((SUMIFS(JB_26BV,JB_B,4,JB_W,"Mine Warfare",JB_RC,"ADD"))/G$48,0)</f>
        <v>0</v>
      </c>
      <c r="H47" s="32">
        <f>IFERROR((SUMIFS(JB_26BV,JB_B,4,JB_W,"National Security Cutters",JB_RC,"ADD"))/H$48,0)</f>
        <v>1</v>
      </c>
      <c r="I47" s="32">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0.69079573365289337</v>
      </c>
    </row>
    <row r="48" spans="1:9" ht="10" customHeight="1" x14ac:dyDescent="0.2">
      <c r="A48" s="21" t="s">
        <v>8355</v>
      </c>
      <c r="B48" s="33">
        <f>SUMIFS(JB_26BV,JB_B,2,JB_W,"Surface Combatants",JB_RC,"ADD")+SUMIFS(JB_26BV,JB_B,4,JB_W,"Surface Combatants",JB_RC,"ADD")</f>
        <v>5919010</v>
      </c>
      <c r="C48" s="22">
        <f>SUMIFS(JB_26BV,JB_B,2,JB_W,"Amphibious Warfare Ships",JB_RC,"ADD")+SUMIFS(JB_26BV,JB_B,4,JB_W,"Amphibious Warfare Ships",JB_RC,"ADD")</f>
        <v>1570183</v>
      </c>
      <c r="D48" s="22">
        <f>SUMIFS(JB_26BV,JB_B,2,JB_W,"Expeditionary &amp; Seabasing Ships",JB_RC,"ADD")+SUMIFS(JB_26BV,JB_B,4,JB_W,"Expeditionary &amp; Seabasing Ships",JB_RC,"ADD")</f>
        <v>23662</v>
      </c>
      <c r="E48" s="22">
        <f>SUMIFS(JB_26BV,JB_B,2,JB_W,"Command Ships",JB_RC,"ADD")+SUMIFS(JB_26BV,JB_B,4,JB_W,"Command Ships",JB_RC,"ADD")</f>
        <v>22172</v>
      </c>
      <c r="F48" s="22">
        <f>SUMIFS(JB_26BV,JB_B,2,JB_W,"Surveillance Ships",JB_RC,"ADD")+SUMIFS(JB_26BV,JB_B,4,JB_W,"Surveillance Ships",JB_RC,"ADD")</f>
        <v>31169</v>
      </c>
      <c r="G48" s="22">
        <f>SUMIFS(JB_26BV,JB_B,2,JB_W,"Mine Warfare",JB_RC,"ADD")+SUMIFS(JB_26BV,JB_B,4,JB_W,"Mine Warfare",JB_RC,"ADD")</f>
        <v>23281</v>
      </c>
      <c r="H48" s="33">
        <f>SUMIFS(JB_26BV,JB_B,2,JB_W,"National Security Cutters",JB_RC,"ADD")+SUMIFS(JB_26BV,JB_B,4,JB_W,"National Security Cutters",JB_RC,"ADD")</f>
        <v>31000</v>
      </c>
      <c r="I48" s="33">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8" t="s">
        <v>8437</v>
      </c>
      <c r="B1" s="19"/>
      <c r="C1" s="19"/>
      <c r="D1" s="19"/>
      <c r="E1" s="19"/>
      <c r="F1" s="19"/>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8" t="s">
        <v>8315</v>
      </c>
      <c r="B1" s="19"/>
      <c r="C1" s="19"/>
    </row>
    <row r="2" spans="1:3" ht="10" customHeight="1" x14ac:dyDescent="0.2">
      <c r="A2" s="20" t="s">
        <v>8438</v>
      </c>
    </row>
    <row r="3" spans="1:3" ht="10" customHeight="1" x14ac:dyDescent="0.2"/>
    <row r="4" spans="1:3" ht="10" customHeight="1" x14ac:dyDescent="0.2">
      <c r="A4" s="6" t="s">
        <v>8439</v>
      </c>
      <c r="B4" s="7"/>
    </row>
    <row r="5" spans="1:3" ht="10" customHeight="1" x14ac:dyDescent="0.2">
      <c r="A5" s="15" t="s">
        <v>8318</v>
      </c>
      <c r="B5" s="15" t="s">
        <v>8440</v>
      </c>
    </row>
    <row r="6" spans="1:3" ht="10" customHeight="1" x14ac:dyDescent="0.2">
      <c r="A6" s="16" t="s">
        <v>8320</v>
      </c>
      <c r="B6" s="17">
        <f>SUMIFS(JB_27BV,JB_B,1,JB_RC,"ADD")</f>
        <v>61800680</v>
      </c>
    </row>
    <row r="7" spans="1:3" ht="10" customHeight="1" x14ac:dyDescent="0.2">
      <c r="A7" s="16" t="s">
        <v>8321</v>
      </c>
      <c r="B7" s="17">
        <f>SUMIFS(JB_27BV,JB_B,2,JB_RC,"ADD")</f>
        <v>0</v>
      </c>
    </row>
    <row r="8" spans="1:3" ht="10" customHeight="1" x14ac:dyDescent="0.2">
      <c r="A8" s="16" t="s">
        <v>8322</v>
      </c>
      <c r="B8" s="17">
        <f>SUMIFS(JB_27BV,JB_B,3,JB_RC,"ADD")</f>
        <v>0</v>
      </c>
    </row>
    <row r="9" spans="1:3" ht="10" customHeight="1" x14ac:dyDescent="0.2">
      <c r="A9" s="16" t="s">
        <v>8323</v>
      </c>
      <c r="B9" s="17">
        <f>SUMIFS(JB_27BV,JB_B,4,JB_RC,"ADD")</f>
        <v>26947767</v>
      </c>
    </row>
    <row r="10" spans="1:3" ht="10" customHeight="1" x14ac:dyDescent="0.2">
      <c r="A10" s="16" t="s">
        <v>8324</v>
      </c>
      <c r="B10" s="17">
        <f>SUMIFS(JB_27BV,JB_B,5,JB_RC,"ADD")</f>
        <v>4540736</v>
      </c>
    </row>
    <row r="11" spans="1:3" ht="10" customHeight="1" x14ac:dyDescent="0.2">
      <c r="A11" s="16" t="s">
        <v>8325</v>
      </c>
      <c r="B11" s="17">
        <f>SUMIFS(JB_27BV,JB_B,6,JB_RC,"ADD")</f>
        <v>3540796</v>
      </c>
    </row>
    <row r="12" spans="1:3" ht="10" customHeight="1" x14ac:dyDescent="0.2">
      <c r="A12" s="16" t="s">
        <v>8326</v>
      </c>
      <c r="B12" s="17">
        <f>SUMIFS(JB_27BV,JB_B,7,JB_RC,"ADD")</f>
        <v>646857</v>
      </c>
    </row>
    <row r="13" spans="1:3" ht="10" customHeight="1" x14ac:dyDescent="0.2">
      <c r="A13" s="21" t="s">
        <v>8327</v>
      </c>
      <c r="B13" s="22">
        <f>SUM(B6:B12)</f>
        <v>97476836</v>
      </c>
    </row>
    <row r="14" spans="1:3" ht="10" customHeight="1" x14ac:dyDescent="0.2"/>
    <row r="15" spans="1:3" ht="10" customHeight="1" x14ac:dyDescent="0.2"/>
    <row r="16" spans="1:3" ht="10" customHeight="1" x14ac:dyDescent="0.2">
      <c r="A16" s="6" t="s">
        <v>8441</v>
      </c>
      <c r="B16" s="7"/>
      <c r="C16" s="7"/>
    </row>
    <row r="17" spans="1:3" ht="10" customHeight="1" x14ac:dyDescent="0.2">
      <c r="A17" s="15" t="s">
        <v>8329</v>
      </c>
      <c r="B17" s="15" t="s">
        <v>8440</v>
      </c>
      <c r="C17" s="15" t="s">
        <v>8330</v>
      </c>
    </row>
    <row r="18" spans="1:3" ht="10" customHeight="1" x14ac:dyDescent="0.2">
      <c r="A18" s="16" t="s">
        <v>51</v>
      </c>
      <c r="B18" s="17">
        <f>SUMIFS(JB_27BV,JB_V,"Combatant Ships",JB_RC,"ADD")</f>
        <v>74026722</v>
      </c>
      <c r="C18" s="20" t="s">
        <v>8331</v>
      </c>
    </row>
    <row r="19" spans="1:3" ht="10" customHeight="1" x14ac:dyDescent="0.2">
      <c r="A19" s="16" t="s">
        <v>232</v>
      </c>
      <c r="B19" s="17">
        <f>SUMIFS(JB_27BV,JB_V,"Auxiliary Ships",JB_RC,"ADD")</f>
        <v>1230000</v>
      </c>
      <c r="C19" s="20" t="s">
        <v>8331</v>
      </c>
    </row>
    <row r="20" spans="1:3" ht="10" customHeight="1" x14ac:dyDescent="0.2">
      <c r="A20" s="16" t="s">
        <v>6810</v>
      </c>
      <c r="B20" s="17">
        <f>SUMIFS(JB_27BV,JB_V,"Cutters",JB_RC,"ADD")</f>
        <v>0</v>
      </c>
      <c r="C20" s="20" t="s">
        <v>8331</v>
      </c>
    </row>
    <row r="21" spans="1:3" ht="10" customHeight="1" x14ac:dyDescent="0.2">
      <c r="A21" s="16" t="s">
        <v>4675</v>
      </c>
      <c r="B21" s="17">
        <f>SUMIFS(JB_27BV,JB_V,"Unmanned Maritime Platforms",JB_RC,"ADD")</f>
        <v>417887</v>
      </c>
      <c r="C21" s="20" t="s">
        <v>8331</v>
      </c>
    </row>
    <row r="22" spans="1:3" ht="10" customHeight="1" x14ac:dyDescent="0.2">
      <c r="A22" s="16" t="s">
        <v>239</v>
      </c>
      <c r="B22" s="17">
        <f>SUMIFS(JB_27BV,JB_V,"Combatant Crafts",JB_RC,"ADD")</f>
        <v>794408</v>
      </c>
      <c r="C22" s="20" t="s">
        <v>8332</v>
      </c>
    </row>
    <row r="23" spans="1:3" ht="10" customHeight="1" x14ac:dyDescent="0.2">
      <c r="A23" s="16" t="s">
        <v>304</v>
      </c>
      <c r="B23" s="17">
        <f>SUMIFS(JB_27BV,JB_V,"Support Crafts",JB_RC,"ADD")</f>
        <v>355500</v>
      </c>
      <c r="C23" s="20" t="s">
        <v>8333</v>
      </c>
    </row>
    <row r="24" spans="1:3" ht="10" customHeight="1" x14ac:dyDescent="0.2">
      <c r="A24" s="16" t="s">
        <v>8198</v>
      </c>
      <c r="B24" s="17">
        <f>SUMIFS(JB_27BV,JB_V,"Boats",JB_RC,"ADD")</f>
        <v>0</v>
      </c>
      <c r="C24" s="20" t="s">
        <v>8334</v>
      </c>
    </row>
    <row r="25" spans="1:3" ht="10" customHeight="1" x14ac:dyDescent="0.2">
      <c r="A25" s="16" t="s">
        <v>8335</v>
      </c>
      <c r="B25" s="17">
        <f>SUMIFS(JB_27BV,JB_V,"",JB_RC,"ADD")</f>
        <v>23513809</v>
      </c>
      <c r="C25" s="20" t="s">
        <v>8336</v>
      </c>
    </row>
    <row r="26" spans="1:3" ht="10" customHeight="1" x14ac:dyDescent="0.2">
      <c r="A26" s="21" t="s">
        <v>8327</v>
      </c>
      <c r="B26" s="22">
        <f>SUM(B18:B25)</f>
        <v>100338326</v>
      </c>
      <c r="C26" s="23"/>
    </row>
    <row r="27" spans="1:3" ht="10" customHeight="1" x14ac:dyDescent="0.2">
      <c r="A27" s="24" t="s">
        <v>8337</v>
      </c>
      <c r="B27" s="25">
        <f>B18+B19+B20+B21</f>
        <v>75674609</v>
      </c>
    </row>
    <row r="28" spans="1:3" ht="10" customHeight="1" x14ac:dyDescent="0.2"/>
    <row r="29" spans="1:3" ht="10" customHeight="1" x14ac:dyDescent="0.2"/>
    <row r="30" spans="1:3" ht="10" customHeight="1" x14ac:dyDescent="0.2">
      <c r="A30" s="6" t="s">
        <v>8442</v>
      </c>
      <c r="B30" s="7"/>
    </row>
    <row r="31" spans="1:3" ht="10" customHeight="1" x14ac:dyDescent="0.2">
      <c r="A31" s="15" t="s">
        <v>8</v>
      </c>
      <c r="B31" s="15" t="s">
        <v>8440</v>
      </c>
    </row>
    <row r="32" spans="1:3" ht="10" customHeight="1" x14ac:dyDescent="0.2">
      <c r="A32" s="16" t="s">
        <v>44</v>
      </c>
      <c r="B32" s="17">
        <f>SUMIFS(JB_27BV,JB_A,"SCN",JB_RC,"ADD")</f>
        <v>65825017</v>
      </c>
    </row>
    <row r="33" spans="1:2" ht="10" customHeight="1" x14ac:dyDescent="0.2">
      <c r="A33" s="16" t="s">
        <v>7935</v>
      </c>
      <c r="B33" s="17">
        <f>SUMIFS(JB_27BV,JB_A,"WPN",JB_RC,"ADD")</f>
        <v>16149250</v>
      </c>
    </row>
    <row r="34" spans="1:2" ht="10" customHeight="1" x14ac:dyDescent="0.2">
      <c r="A34" s="16" t="s">
        <v>6461</v>
      </c>
      <c r="B34" s="17">
        <f>SUMIFS(JB_27BV,JB_A,"OPN_BA2",JB_RC,"ADD")</f>
        <v>5388598</v>
      </c>
    </row>
    <row r="35" spans="1:2" ht="10" customHeight="1" x14ac:dyDescent="0.2">
      <c r="A35" s="16" t="s">
        <v>6258</v>
      </c>
      <c r="B35" s="17">
        <f>SUMIFS(JB_27BV,JB_A,"OPN_BA1",JB_RC,"ADD")</f>
        <v>7523206</v>
      </c>
    </row>
    <row r="36" spans="1:2" ht="10" customHeight="1" x14ac:dyDescent="0.2">
      <c r="A36" s="16" t="s">
        <v>7153</v>
      </c>
      <c r="B36" s="17">
        <f>SUMIFS(JB_27BV,JB_A,"OPN_BA4",JB_RC,"ADD")</f>
        <v>2249429</v>
      </c>
    </row>
    <row r="37" spans="1:2" ht="10" customHeight="1" x14ac:dyDescent="0.2">
      <c r="A37" s="16" t="s">
        <v>6836</v>
      </c>
      <c r="B37" s="17">
        <f>SUMIFS(JB_27BV,JB_A,"OPN_BA3",JB_RC,"ADD")</f>
        <v>1665190</v>
      </c>
    </row>
    <row r="38" spans="1:2" ht="10" customHeight="1" x14ac:dyDescent="0.2">
      <c r="A38" s="16" t="s">
        <v>7790</v>
      </c>
      <c r="B38" s="17">
        <f>SUMIFS(JB_27BV,JB_A,"OPN_BA5-8",JB_RC,"ADD")</f>
        <v>1537636</v>
      </c>
    </row>
    <row r="39" spans="1:2" ht="10" customHeight="1" x14ac:dyDescent="0.2">
      <c r="A39" s="16" t="s">
        <v>4317</v>
      </c>
      <c r="B39" s="17">
        <f>SUMIFS(JB_27BV,JB_A,"NWCF",JB_RC,"ADD")</f>
        <v>0</v>
      </c>
    </row>
    <row r="40" spans="1:2" ht="10" customHeight="1" x14ac:dyDescent="0.2">
      <c r="A40" s="16" t="s">
        <v>4712</v>
      </c>
      <c r="B40" s="17">
        <f>SUMIFS(JB_27BV,JB_A,"OMN",JB_RC,"ADD")</f>
        <v>0</v>
      </c>
    </row>
    <row r="41" spans="1:2" ht="10" customHeight="1" x14ac:dyDescent="0.2">
      <c r="A41" s="16" t="s">
        <v>5448</v>
      </c>
      <c r="B41" s="17">
        <f>SUMIFS(JB_27BV,JB_A,"OMN_Vol2",JB_RC,"ADD")</f>
        <v>0</v>
      </c>
    </row>
    <row r="42" spans="1:2" ht="10" customHeight="1" x14ac:dyDescent="0.2">
      <c r="A42" s="16" t="s">
        <v>6809</v>
      </c>
      <c r="B42" s="17">
        <f>SUMIFS(JB_27BV,JB_A,"USCG",JB_RC,"ADD")</f>
        <v>0</v>
      </c>
    </row>
    <row r="43" spans="1:2" ht="10" customHeight="1" x14ac:dyDescent="0.2">
      <c r="A43" s="21" t="s">
        <v>8327</v>
      </c>
      <c r="B43" s="22">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72"/>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4" width="12" customWidth="1"/>
  </cols>
  <sheetData>
    <row r="1" spans="1:15" ht="10" customHeight="1" x14ac:dyDescent="0.2">
      <c r="A1" s="18" t="s">
        <v>8443</v>
      </c>
      <c r="B1" s="19"/>
      <c r="C1" s="19"/>
      <c r="D1" s="19"/>
      <c r="E1" s="19"/>
      <c r="F1" s="19"/>
      <c r="G1" s="19"/>
      <c r="H1" s="19"/>
      <c r="I1" s="19"/>
      <c r="J1" s="19"/>
      <c r="K1" s="19"/>
      <c r="L1" s="19"/>
      <c r="M1" s="19"/>
      <c r="N1" s="19"/>
      <c r="O1" s="19"/>
    </row>
    <row r="2" spans="1:15" ht="10" customHeight="1" x14ac:dyDescent="0.2">
      <c r="A2" s="20" t="s">
        <v>8340</v>
      </c>
    </row>
    <row r="3" spans="1:15" ht="10" customHeight="1" x14ac:dyDescent="0.2"/>
    <row r="4" spans="1:15" ht="10" customHeight="1" x14ac:dyDescent="0.2">
      <c r="A4" s="6" t="s">
        <v>8341</v>
      </c>
      <c r="B4" s="7"/>
    </row>
    <row r="5" spans="1:15" ht="10" customHeight="1" x14ac:dyDescent="0.2">
      <c r="A5" s="16" t="s">
        <v>8342</v>
      </c>
      <c r="B5" s="17">
        <f>SUMIFS(JB_27BV,JB_B,1,JB_RC,"ADD")</f>
        <v>61800680</v>
      </c>
    </row>
    <row r="6" spans="1:15" ht="10" customHeight="1" x14ac:dyDescent="0.2">
      <c r="A6" s="16" t="s">
        <v>8343</v>
      </c>
      <c r="B6" s="17">
        <f>-SUMIFS(JB_27BV,JB_B,1,JB_V,"",JB_RC,"ADD")</f>
        <v>-3628085</v>
      </c>
    </row>
    <row r="7" spans="1:15" ht="10" customHeight="1" x14ac:dyDescent="0.2">
      <c r="A7" s="16" t="s">
        <v>8344</v>
      </c>
      <c r="B7" s="17">
        <f>-SUMIFS(JB_27BV,JB_B,1,JB_V,"Combatant Crafts",JB_RC,"ADD")</f>
        <v>-733895</v>
      </c>
    </row>
    <row r="8" spans="1:15" ht="10" customHeight="1" x14ac:dyDescent="0.2">
      <c r="A8" s="16" t="s">
        <v>8345</v>
      </c>
      <c r="B8" s="17">
        <f>-SUMIFS(JB_27BV,JB_B,1,JB_V,"Support Crafts",JB_RC,"ADD")</f>
        <v>-355500</v>
      </c>
    </row>
    <row r="9" spans="1:15" ht="10" customHeight="1" x14ac:dyDescent="0.2">
      <c r="A9" s="21" t="s">
        <v>8346</v>
      </c>
      <c r="B9" s="22">
        <f>SUMIFS(JB_27BV,JB_B,1,JB_V,"Auxiliary Ships",JB_RC,"ADD")+SUMIFS(JB_27BV,JB_B,1,JB_V,"Combatant Ships",JB_RC,"ADD")+SUMIFS(JB_27BV,JB_B,1,JB_V,"Cutters",JB_RC,"ADD")+SUMIFS(JB_27BV,JB_B,1,JB_V,"Unmanned Maritime Platforms",JB_RC,"ADD")</f>
        <v>57083200</v>
      </c>
    </row>
    <row r="10" spans="1:15" ht="10" customHeight="1" x14ac:dyDescent="0.2"/>
    <row r="11" spans="1:15" ht="10" customHeight="1" x14ac:dyDescent="0.2"/>
    <row r="12" spans="1:15" ht="10" customHeight="1" x14ac:dyDescent="0.2">
      <c r="A12" s="6" t="s">
        <v>8347</v>
      </c>
      <c r="B12" s="7"/>
      <c r="C12" s="7"/>
      <c r="D12" s="7"/>
    </row>
    <row r="13" spans="1:15" ht="10" customHeight="1" x14ac:dyDescent="0.2">
      <c r="A13" s="15" t="s">
        <v>20</v>
      </c>
      <c r="B13" s="15" t="s">
        <v>8348</v>
      </c>
      <c r="C13" s="15" t="s">
        <v>8440</v>
      </c>
      <c r="D13" s="15" t="s">
        <v>8349</v>
      </c>
    </row>
    <row r="14" spans="1:15" ht="10" customHeight="1" x14ac:dyDescent="0.2">
      <c r="A14" s="16" t="s">
        <v>52</v>
      </c>
      <c r="B14" s="16" t="s">
        <v>50</v>
      </c>
      <c r="C14" s="17">
        <f>SUMIFS(JB_27BV,JB_B,1,JB_W,"Submarines",JB_RC,"ADD")</f>
        <v>29188808</v>
      </c>
      <c r="D14" s="26">
        <f t="shared" ref="D14:D41" si="0">IFERROR(C14/C$42,0)</f>
        <v>0.51133797684782911</v>
      </c>
    </row>
    <row r="15" spans="1:15" ht="10" customHeight="1" x14ac:dyDescent="0.2">
      <c r="A15" s="16" t="s">
        <v>149</v>
      </c>
      <c r="B15" s="16" t="s">
        <v>50</v>
      </c>
      <c r="C15" s="17">
        <f>SUMIFS(JB_27BV,JB_B,1,JB_W,"Amphibious Warfare Ships",JB_RC,"ADD")</f>
        <v>6400969</v>
      </c>
      <c r="D15" s="26">
        <f t="shared" si="0"/>
        <v>0.11213402542254114</v>
      </c>
    </row>
    <row r="16" spans="1:15" ht="10" customHeight="1" x14ac:dyDescent="0.2">
      <c r="A16" s="16" t="s">
        <v>119</v>
      </c>
      <c r="B16" s="16" t="s">
        <v>50</v>
      </c>
      <c r="C16" s="17">
        <f>SUMIFS(JB_27BV,JB_B,1,JB_W,"Surface Combatants",JB_RC,"ADD")</f>
        <v>5857134</v>
      </c>
      <c r="D16" s="26">
        <f t="shared" si="0"/>
        <v>0.10260696667320683</v>
      </c>
    </row>
    <row r="17" spans="1:4" ht="10" customHeight="1" x14ac:dyDescent="0.2">
      <c r="A17" s="16" t="s">
        <v>4966</v>
      </c>
      <c r="B17" s="16" t="s">
        <v>50</v>
      </c>
      <c r="C17" s="17">
        <f>SUMIFS(JB_27BV,JB_B,1,JB_W,"Material Support Ships",JB_RC,"ADD")</f>
        <v>4444000</v>
      </c>
      <c r="D17" s="26">
        <f t="shared" si="0"/>
        <v>7.7851276732909161E-2</v>
      </c>
    </row>
    <row r="18" spans="1:4" ht="10" customHeight="1" x14ac:dyDescent="0.2">
      <c r="A18" s="16" t="s">
        <v>69</v>
      </c>
      <c r="B18" s="16" t="s">
        <v>50</v>
      </c>
      <c r="C18" s="17">
        <f>SUMIFS(JB_27BV,JB_B,1,JB_W,"Aircraft Carriers",JB_RC,"ADD")</f>
        <v>4067355</v>
      </c>
      <c r="D18" s="26">
        <f t="shared" si="0"/>
        <v>7.1253100737169603E-2</v>
      </c>
    </row>
    <row r="19" spans="1:4" ht="10" customHeight="1" x14ac:dyDescent="0.2">
      <c r="A19" s="16" t="s">
        <v>202</v>
      </c>
      <c r="B19" s="16" t="s">
        <v>190</v>
      </c>
      <c r="C19" s="17">
        <f>SUMIFS(JB_27BV,JB_B,1,JB_W,"Combat Logistics Ships",JB_RC,"ADD")</f>
        <v>2678883</v>
      </c>
      <c r="D19" s="26">
        <f t="shared" si="0"/>
        <v>4.6929446842503574E-2</v>
      </c>
    </row>
    <row r="20" spans="1:4" ht="10" customHeight="1" x14ac:dyDescent="0.2">
      <c r="A20" s="16" t="s">
        <v>182</v>
      </c>
      <c r="B20" s="16" t="s">
        <v>50</v>
      </c>
      <c r="C20" s="17">
        <f>SUMIFS(JB_27BV,JB_B,1,JB_W,"Expeditionary &amp; Seabasing Ships",JB_RC,"ADD")</f>
        <v>1887500</v>
      </c>
      <c r="D20" s="26">
        <f t="shared" si="0"/>
        <v>3.3065770664573814E-2</v>
      </c>
    </row>
    <row r="21" spans="1:4" ht="10" customHeight="1" x14ac:dyDescent="0.2">
      <c r="A21" s="16" t="s">
        <v>214</v>
      </c>
      <c r="B21" s="16" t="s">
        <v>50</v>
      </c>
      <c r="C21" s="17">
        <f>SUMIFS(JB_27BV,JB_B,1,JB_W,"Surveillance Ships",JB_RC,"ADD")</f>
        <v>910664</v>
      </c>
      <c r="D21" s="26">
        <f t="shared" si="0"/>
        <v>1.5953275219328978E-2</v>
      </c>
    </row>
    <row r="22" spans="1:4" ht="10" customHeight="1" x14ac:dyDescent="0.2">
      <c r="A22" s="16" t="s">
        <v>5029</v>
      </c>
      <c r="B22" s="16" t="s">
        <v>190</v>
      </c>
      <c r="C22" s="17">
        <f>SUMIFS(JB_27BV,JB_B,1,JB_W,"Hospital Ship",JB_RC,"ADD")</f>
        <v>650000</v>
      </c>
      <c r="D22" s="26">
        <f t="shared" si="0"/>
        <v>1.1386887910979061E-2</v>
      </c>
    </row>
    <row r="23" spans="1:4" ht="10" customHeight="1" x14ac:dyDescent="0.2">
      <c r="A23" s="16" t="s">
        <v>245</v>
      </c>
      <c r="B23" s="16" t="s">
        <v>50</v>
      </c>
      <c r="C23" s="17">
        <f>SUMIFS(JB_27BV,JB_B,1,JB_W,"Cargo &amp; Vehicle Cargo Ships",JB_RC,"ADD")</f>
        <v>580000</v>
      </c>
      <c r="D23" s="26">
        <f t="shared" si="0"/>
        <v>1.0160607674412086E-2</v>
      </c>
    </row>
    <row r="24" spans="1:4" ht="10" customHeight="1" x14ac:dyDescent="0.2">
      <c r="A24" s="16" t="s">
        <v>4676</v>
      </c>
      <c r="B24" s="16" t="s">
        <v>50</v>
      </c>
      <c r="C24" s="17">
        <f>SUMIFS(JB_27BV,JB_B,1,JB_W,"Unmanned Undersea Vehicles",JB_RC,"ADD")</f>
        <v>246757</v>
      </c>
      <c r="D24" s="26">
        <f t="shared" si="0"/>
        <v>4.3227604619222471E-3</v>
      </c>
    </row>
    <row r="25" spans="1:4" ht="10" customHeight="1" x14ac:dyDescent="0.2">
      <c r="A25" s="16" t="s">
        <v>5416</v>
      </c>
      <c r="B25" s="16" t="s">
        <v>50</v>
      </c>
      <c r="C25" s="17">
        <f>SUMIFS(JB_27BV,JB_B,1,JB_W,"Unmanned Surface Vehicles",JB_RC,"ADD")</f>
        <v>171130</v>
      </c>
      <c r="D25" s="26">
        <f t="shared" si="0"/>
        <v>2.9979048126243797E-3</v>
      </c>
    </row>
    <row r="26" spans="1:4" ht="10" customHeight="1" x14ac:dyDescent="0.2">
      <c r="A26" s="16" t="s">
        <v>4985</v>
      </c>
      <c r="B26" s="16" t="s">
        <v>50</v>
      </c>
      <c r="C26" s="17">
        <f>SUMIFS(JB_27BV,JB_B,1,JB_W,"High Speed Transport",JB_RC,"ADD")</f>
        <v>0</v>
      </c>
      <c r="D26" s="26">
        <f t="shared" si="0"/>
        <v>0</v>
      </c>
    </row>
    <row r="27" spans="1:4" ht="10" customHeight="1" x14ac:dyDescent="0.2">
      <c r="A27" s="16" t="s">
        <v>5019</v>
      </c>
      <c r="B27" s="16" t="s">
        <v>50</v>
      </c>
      <c r="C27" s="17">
        <f>SUMIFS(JB_27BV,JB_B,1,JB_W,"Submarine Escort Ship",JB_RC,"ADD")</f>
        <v>0</v>
      </c>
      <c r="D27" s="26">
        <f t="shared" si="0"/>
        <v>0</v>
      </c>
    </row>
    <row r="28" spans="1:4" ht="10" customHeight="1" x14ac:dyDescent="0.2">
      <c r="A28" s="16" t="s">
        <v>226</v>
      </c>
      <c r="B28" s="16" t="s">
        <v>190</v>
      </c>
      <c r="C28" s="17">
        <f>SUMIFS(JB_27BV,JB_B,1,JB_W,"Salvage Ships &amp; Fleet Ocean Tugs",JB_RC,"ADD")</f>
        <v>0</v>
      </c>
      <c r="D28" s="26">
        <f t="shared" si="0"/>
        <v>0</v>
      </c>
    </row>
    <row r="29" spans="1:4" ht="10" customHeight="1" x14ac:dyDescent="0.2">
      <c r="A29" s="16" t="s">
        <v>4643</v>
      </c>
      <c r="B29" s="16" t="s">
        <v>50</v>
      </c>
      <c r="C29" s="17">
        <f>SUMIFS(JB_27BV,JB_B,1,JB_W,"General Auxiliary",JB_RC,"ADD")</f>
        <v>0</v>
      </c>
      <c r="D29" s="26">
        <f t="shared" si="0"/>
        <v>0</v>
      </c>
    </row>
    <row r="30" spans="1:4" ht="10" customHeight="1" x14ac:dyDescent="0.2">
      <c r="A30" s="16" t="s">
        <v>4859</v>
      </c>
      <c r="B30" s="16" t="s">
        <v>50</v>
      </c>
      <c r="C30" s="17">
        <f>SUMIFS(JB_27BV,JB_B,1,JB_W,"Command Ships",JB_RC,"ADD")</f>
        <v>0</v>
      </c>
      <c r="D30" s="26">
        <f t="shared" si="0"/>
        <v>0</v>
      </c>
    </row>
    <row r="31" spans="1:4" ht="10" customHeight="1" x14ac:dyDescent="0.2">
      <c r="A31" s="16" t="s">
        <v>5272</v>
      </c>
      <c r="B31" s="16" t="s">
        <v>50</v>
      </c>
      <c r="C31" s="17">
        <f>SUMIFS(JB_27BV,JB_B,1,JB_W,"Aviation Logistics Support Ship",JB_RC,"ADD")</f>
        <v>0</v>
      </c>
      <c r="D31" s="26">
        <f t="shared" si="0"/>
        <v>0</v>
      </c>
    </row>
    <row r="32" spans="1:4" ht="10" customHeight="1" x14ac:dyDescent="0.2">
      <c r="A32" s="16" t="s">
        <v>4684</v>
      </c>
      <c r="B32" s="16" t="s">
        <v>50</v>
      </c>
      <c r="C32" s="17">
        <f>SUMIFS(JB_27BV,JB_B,1,JB_W,"Mine Warfare",JB_RC,"ADD")</f>
        <v>0</v>
      </c>
      <c r="D32" s="26">
        <f t="shared" si="0"/>
        <v>0</v>
      </c>
    </row>
    <row r="33" spans="1:14" ht="10" customHeight="1" x14ac:dyDescent="0.2">
      <c r="A33" s="16" t="s">
        <v>233</v>
      </c>
      <c r="B33" s="16" t="s">
        <v>190</v>
      </c>
      <c r="C33" s="17">
        <f>SUMIFS(JB_27BV,JB_B,1,JB_W,"Research, Survey &amp; Instrumentation Ships",JB_RC,"ADD")</f>
        <v>0</v>
      </c>
      <c r="D33" s="26">
        <f t="shared" si="0"/>
        <v>0</v>
      </c>
    </row>
    <row r="34" spans="1:14" ht="10" customHeight="1" x14ac:dyDescent="0.2">
      <c r="A34" s="16" t="s">
        <v>5277</v>
      </c>
      <c r="B34" s="16" t="s">
        <v>50</v>
      </c>
      <c r="C34" s="17">
        <f>SUMIFS(JB_27BV,JB_B,1,JB_W,"Crane Ship",JB_RC,"ADD")</f>
        <v>0</v>
      </c>
      <c r="D34" s="26">
        <f t="shared" si="0"/>
        <v>0</v>
      </c>
    </row>
    <row r="35" spans="1:14" ht="10" customHeight="1" x14ac:dyDescent="0.2">
      <c r="A35" s="16" t="s">
        <v>6811</v>
      </c>
      <c r="B35" s="16" t="s">
        <v>6809</v>
      </c>
      <c r="C35" s="17">
        <f>SUMIFS(JB_27BV,JB_B,1,JB_W,"National Security Cutters",JB_RC,"ADD")</f>
        <v>0</v>
      </c>
      <c r="D35" s="26">
        <f t="shared" si="0"/>
        <v>0</v>
      </c>
    </row>
    <row r="36" spans="1:14" ht="10" customHeight="1" x14ac:dyDescent="0.2">
      <c r="A36" s="16" t="s">
        <v>8188</v>
      </c>
      <c r="B36" s="16" t="s">
        <v>6809</v>
      </c>
      <c r="C36" s="17">
        <f>SUMIFS(JB_27BV,JB_B,1,JB_W,"Offshore Patrol Cutter",JB_RC,"ADD")</f>
        <v>0</v>
      </c>
      <c r="D36" s="26">
        <f t="shared" si="0"/>
        <v>0</v>
      </c>
    </row>
    <row r="37" spans="1:14" ht="10" customHeight="1" x14ac:dyDescent="0.2">
      <c r="A37" s="16" t="s">
        <v>8213</v>
      </c>
      <c r="B37" s="16" t="s">
        <v>6809</v>
      </c>
      <c r="C37" s="17">
        <f>SUMIFS(JB_27BV,JB_B,1,JB_W,"Waterways Commerce Cutters",JB_RC,"ADD")</f>
        <v>0</v>
      </c>
      <c r="D37" s="26">
        <f t="shared" si="0"/>
        <v>0</v>
      </c>
    </row>
    <row r="38" spans="1:14" ht="10" customHeight="1" x14ac:dyDescent="0.2">
      <c r="A38" s="16" t="s">
        <v>8175</v>
      </c>
      <c r="B38" s="16" t="s">
        <v>6809</v>
      </c>
      <c r="C38" s="17">
        <f>SUMIFS(JB_27BV,JB_B,1,JB_W,"Coastal Buoy Tenders",JB_RC,"ADD")</f>
        <v>0</v>
      </c>
      <c r="D38" s="26">
        <f t="shared" si="0"/>
        <v>0</v>
      </c>
    </row>
    <row r="39" spans="1:14" ht="10" customHeight="1" x14ac:dyDescent="0.2">
      <c r="A39" s="16" t="s">
        <v>8194</v>
      </c>
      <c r="B39" s="16" t="s">
        <v>6809</v>
      </c>
      <c r="C39" s="17">
        <f>SUMIFS(JB_27BV,JB_B,1,JB_W,"Fast Response Cutters",JB_RC,"ADD")</f>
        <v>0</v>
      </c>
      <c r="D39" s="26">
        <f t="shared" si="0"/>
        <v>0</v>
      </c>
    </row>
    <row r="40" spans="1:14" ht="10" customHeight="1" x14ac:dyDescent="0.2">
      <c r="A40" s="16" t="s">
        <v>8209</v>
      </c>
      <c r="B40" s="16" t="s">
        <v>6809</v>
      </c>
      <c r="C40" s="17">
        <f>SUMIFS(JB_27BV,JB_B,1,JB_W,"Icebreakers, Great Lakes",JB_RC,"ADD")</f>
        <v>0</v>
      </c>
      <c r="D40" s="26">
        <f t="shared" si="0"/>
        <v>0</v>
      </c>
    </row>
    <row r="41" spans="1:14" ht="10" customHeight="1" x14ac:dyDescent="0.2">
      <c r="A41" s="16" t="s">
        <v>8202</v>
      </c>
      <c r="B41" s="16" t="s">
        <v>6809</v>
      </c>
      <c r="C41" s="17">
        <f>SUMIFS(JB_27BV,JB_B,1,JB_W,"Icebreakers, Oceangoing",JB_RC,"ADD")</f>
        <v>0</v>
      </c>
      <c r="D41" s="26">
        <f t="shared" si="0"/>
        <v>0</v>
      </c>
    </row>
    <row r="42" spans="1:14" ht="10" customHeight="1" x14ac:dyDescent="0.2">
      <c r="A42" s="21" t="s">
        <v>8346</v>
      </c>
      <c r="B42" s="21"/>
      <c r="C42" s="22">
        <f>SUM(C14:C41)</f>
        <v>57083200</v>
      </c>
      <c r="D42" s="27">
        <v>1</v>
      </c>
    </row>
    <row r="43" spans="1:14" ht="10" customHeight="1" x14ac:dyDescent="0.2"/>
    <row r="44" spans="1:14" ht="10" customHeight="1" x14ac:dyDescent="0.2"/>
    <row r="45" spans="1:14" ht="10" customHeight="1" x14ac:dyDescent="0.2">
      <c r="A45" s="6" t="s">
        <v>8350</v>
      </c>
      <c r="B45" s="7"/>
      <c r="C45" s="7"/>
      <c r="D45" s="7"/>
      <c r="E45" s="7"/>
      <c r="F45" s="7"/>
      <c r="G45" s="7"/>
      <c r="H45" s="7"/>
      <c r="I45" s="7"/>
      <c r="J45" s="7"/>
      <c r="K45" s="7"/>
      <c r="L45" s="7"/>
      <c r="M45" s="7"/>
      <c r="N45" s="7"/>
    </row>
    <row r="46" spans="1:14" ht="10" customHeight="1" x14ac:dyDescent="0.2">
      <c r="A46" s="28"/>
      <c r="B46" s="29" t="s">
        <v>50</v>
      </c>
      <c r="C46" s="28"/>
      <c r="D46" s="28"/>
      <c r="E46" s="28"/>
      <c r="F46" s="28"/>
      <c r="G46" s="28"/>
      <c r="H46" s="28"/>
      <c r="I46" s="28"/>
      <c r="J46" s="28"/>
      <c r="K46" s="28"/>
      <c r="L46" s="28"/>
      <c r="M46" s="28"/>
      <c r="N46" s="30"/>
    </row>
    <row r="47" spans="1:14" ht="10" customHeight="1" x14ac:dyDescent="0.2">
      <c r="A47" s="15" t="s">
        <v>8351</v>
      </c>
      <c r="B47" s="31" t="s">
        <v>52</v>
      </c>
      <c r="C47" s="15" t="s">
        <v>149</v>
      </c>
      <c r="D47" s="15" t="s">
        <v>119</v>
      </c>
      <c r="E47" s="15" t="s">
        <v>4966</v>
      </c>
      <c r="F47" s="15" t="s">
        <v>69</v>
      </c>
      <c r="G47" s="15" t="s">
        <v>202</v>
      </c>
      <c r="H47" s="15" t="s">
        <v>182</v>
      </c>
      <c r="I47" s="15" t="s">
        <v>214</v>
      </c>
      <c r="J47" s="15" t="s">
        <v>5029</v>
      </c>
      <c r="K47" s="15" t="s">
        <v>245</v>
      </c>
      <c r="L47" s="15" t="s">
        <v>4676</v>
      </c>
      <c r="M47" s="15" t="s">
        <v>5416</v>
      </c>
      <c r="N47" s="31" t="s">
        <v>8327</v>
      </c>
    </row>
    <row r="48" spans="1:14" ht="10" customHeight="1" x14ac:dyDescent="0.2">
      <c r="A48" s="16" t="s">
        <v>8352</v>
      </c>
      <c r="B48" s="32">
        <f>IFERROR((SUMIFS(JB_27BV,JB_B,1,JB_W,"Submarines",JB_F,"Full ship DD&amp;C",JB_RC,"ADD")+SUMIFS(JB_27BV,JB_B,1,JB_W,"Submarines",JB_F,"Full ship DD&amp;C / LLTM",JB_RC,"ADD")+SUMIFS(JB_27BV,JB_B,1,JB_W,"Submarines",JB_F,"Full vessel procurement",JB_RC,"ADD"))/B$51,0)</f>
        <v>0.63846896385765395</v>
      </c>
      <c r="C48" s="26">
        <f>IFERROR((SUMIFS(JB_27BV,JB_B,1,JB_W,"Amphibious Warfare Ships",JB_F,"Full ship DD&amp;C",JB_RC,"ADD")+SUMIFS(JB_27BV,JB_B,1,JB_W,"Amphibious Warfare Ships",JB_F,"Full ship DD&amp;C / LLTM",JB_RC,"ADD")+SUMIFS(JB_27BV,JB_B,1,JB_W,"Amphibious Warfare Ships",JB_F,"Full vessel procurement",JB_RC,"ADD"))/C$51,0)</f>
        <v>0.94439123201502773</v>
      </c>
      <c r="D48" s="26">
        <f>IFERROR((SUMIFS(JB_27BV,JB_B,1,JB_W,"Surface Combatants",JB_F,"Full ship DD&amp;C",JB_RC,"ADD")+SUMIFS(JB_27BV,JB_B,1,JB_W,"Surface Combatants",JB_F,"Full ship DD&amp;C / LLTM",JB_RC,"ADD")+SUMIFS(JB_27BV,JB_B,1,JB_W,"Surface Combatants",JB_F,"Full vessel procurement",JB_RC,"ADD"))/D$51,0)</f>
        <v>0.81332508356476052</v>
      </c>
      <c r="E48" s="26">
        <f>IFERROR((SUMIFS(JB_27BV,JB_B,1,JB_W,"Material Support Ships",JB_F,"Full ship DD&amp;C",JB_RC,"ADD")+SUMIFS(JB_27BV,JB_B,1,JB_W,"Material Support Ships",JB_F,"Full ship DD&amp;C / LLTM",JB_RC,"ADD")+SUMIFS(JB_27BV,JB_B,1,JB_W,"Material Support Ships",JB_F,"Full vessel procurement",JB_RC,"ADD"))/E$51,0)</f>
        <v>1</v>
      </c>
      <c r="F48" s="26">
        <f>IFERROR((SUMIFS(JB_27BV,JB_B,1,JB_W,"Aircraft Carriers",JB_F,"Full ship DD&amp;C",JB_RC,"ADD")+SUMIFS(JB_27BV,JB_B,1,JB_W,"Aircraft Carriers",JB_F,"Full ship DD&amp;C / LLTM",JB_RC,"ADD")+SUMIFS(JB_27BV,JB_B,1,JB_W,"Aircraft Carriers",JB_F,"Full vessel procurement",JB_RC,"ADD"))/F$51,0)</f>
        <v>0.52289239567237189</v>
      </c>
      <c r="G48" s="26">
        <f>IFERROR((SUMIFS(JB_27BV,JB_B,1,JB_W,"Combat Logistics Ships",JB_F,"Full ship DD&amp;C",JB_RC,"ADD")+SUMIFS(JB_27BV,JB_B,1,JB_W,"Combat Logistics Ships",JB_F,"Full ship DD&amp;C / LLTM",JB_RC,"ADD")+SUMIFS(JB_27BV,JB_B,1,JB_W,"Combat Logistics Ships",JB_F,"Full vessel procurement",JB_RC,"ADD"))/G$51,0)</f>
        <v>1</v>
      </c>
      <c r="H48" s="26">
        <f>IFERROR((SUMIFS(JB_27BV,JB_B,1,JB_W,"Expeditionary &amp; Seabasing Ships",JB_F,"Full ship DD&amp;C",JB_RC,"ADD")+SUMIFS(JB_27BV,JB_B,1,JB_W,"Expeditionary &amp; Seabasing Ships",JB_F,"Full ship DD&amp;C / LLTM",JB_RC,"ADD")+SUMIFS(JB_27BV,JB_B,1,JB_W,"Expeditionary &amp; Seabasing Ships",JB_F,"Full vessel procurement",JB_RC,"ADD"))/H$51,0)</f>
        <v>1</v>
      </c>
      <c r="I48" s="26">
        <f>IFERROR((SUMIFS(JB_27BV,JB_B,1,JB_W,"Surveillance Ships",JB_F,"Full ship DD&amp;C",JB_RC,"ADD")+SUMIFS(JB_27BV,JB_B,1,JB_W,"Surveillance Ships",JB_F,"Full ship DD&amp;C / LLTM",JB_RC,"ADD")+SUMIFS(JB_27BV,JB_B,1,JB_W,"Surveillance Ships",JB_F,"Full vessel procurement",JB_RC,"ADD"))/I$51,0)</f>
        <v>1</v>
      </c>
      <c r="J48" s="26">
        <f>IFERROR((SUMIFS(JB_27BV,JB_B,1,JB_W,"Hospital Ship",JB_F,"Full ship DD&amp;C",JB_RC,"ADD")+SUMIFS(JB_27BV,JB_B,1,JB_W,"Hospital Ship",JB_F,"Full ship DD&amp;C / LLTM",JB_RC,"ADD")+SUMIFS(JB_27BV,JB_B,1,JB_W,"Hospital Ship",JB_F,"Full vessel procurement",JB_RC,"ADD"))/J$51,0)</f>
        <v>1</v>
      </c>
      <c r="K48" s="26">
        <f>IFERROR((SUMIFS(JB_27BV,JB_B,1,JB_W,"Cargo &amp; Vehicle Cargo Ships",JB_F,"Full ship DD&amp;C",JB_RC,"ADD")+SUMIFS(JB_27BV,JB_B,1,JB_W,"Cargo &amp; Vehicle Cargo Ships",JB_F,"Full ship DD&amp;C / LLTM",JB_RC,"ADD")+SUMIFS(JB_27BV,JB_B,1,JB_W,"Cargo &amp; Vehicle Cargo Ships",JB_F,"Full vessel procurement",JB_RC,"ADD"))/K$51,0)</f>
        <v>1</v>
      </c>
      <c r="L48" s="26">
        <f>IFERROR((SUMIFS(JB_27BV,JB_B,1,JB_W,"Unmanned Undersea Vehicles",JB_F,"Full ship DD&amp;C",JB_RC,"ADD")+SUMIFS(JB_27BV,JB_B,1,JB_W,"Unmanned Undersea Vehicles",JB_F,"Full ship DD&amp;C / LLTM",JB_RC,"ADD")+SUMIFS(JB_27BV,JB_B,1,JB_W,"Unmanned Undersea Vehicles",JB_F,"Full vessel procurement",JB_RC,"ADD"))/L$51,0)</f>
        <v>1</v>
      </c>
      <c r="M48" s="26">
        <f>IFERROR((SUMIFS(JB_27BV,JB_B,1,JB_W,"Unmanned Surface Vehicles",JB_F,"Full ship DD&amp;C",JB_RC,"ADD")+SUMIFS(JB_27BV,JB_B,1,JB_W,"Unmanned Surface Vehicles",JB_F,"Full ship DD&amp;C / LLTM",JB_RC,"ADD")+SUMIFS(JB_27BV,JB_B,1,JB_W,"Unmanned Surface Vehicles",JB_F,"Full vessel procurement",JB_RC,"ADD"))/M$51,0)</f>
        <v>1</v>
      </c>
      <c r="N48" s="32">
        <f>IFERROR(1-N49,0)</f>
        <v>0.75738613112089026</v>
      </c>
    </row>
    <row r="49" spans="1:14" ht="10" customHeight="1" x14ac:dyDescent="0.2">
      <c r="A49" s="16" t="s">
        <v>8353</v>
      </c>
      <c r="B49" s="32">
        <f>IFERROR((SUMIFS(JB_27BV,JB_B,1,JB_W,"Submarines",JB_F,"Advance procurement / LLTM",JB_RC,"ADD"))/B$51,0)</f>
        <v>0.36153103614234605</v>
      </c>
      <c r="C49" s="26">
        <f>IFERROR((SUMIFS(JB_27BV,JB_B,1,JB_W,"Amphibious Warfare Ships",JB_F,"Advance procurement / LLTM",JB_RC,"ADD"))/C$51,0)</f>
        <v>5.5608767984972274E-2</v>
      </c>
      <c r="D49" s="26">
        <f>IFERROR((SUMIFS(JB_27BV,JB_B,1,JB_W,"Surface Combatants",JB_F,"Advance procurement / LLTM",JB_RC,"ADD"))/D$51,0)</f>
        <v>0.17073196549711855</v>
      </c>
      <c r="E49" s="26">
        <f>IFERROR((SUMIFS(JB_27BV,JB_B,1,JB_W,"Material Support Ships",JB_F,"Advance procurement / LLTM",JB_RC,"ADD"))/E$51,0)</f>
        <v>0</v>
      </c>
      <c r="F49" s="26">
        <f>IFERROR((SUMIFS(JB_27BV,JB_B,1,JB_W,"Aircraft Carriers",JB_F,"Advance procurement / LLTM",JB_RC,"ADD"))/F$51,0)</f>
        <v>0.47710760432762817</v>
      </c>
      <c r="G49" s="26">
        <f>IFERROR((SUMIFS(JB_27BV,JB_B,1,JB_W,"Combat Logistics Ships",JB_F,"Advance procurement / LLTM",JB_RC,"ADD"))/G$51,0)</f>
        <v>0</v>
      </c>
      <c r="H49" s="26">
        <f>IFERROR((SUMIFS(JB_27BV,JB_B,1,JB_W,"Expeditionary &amp; Seabasing Ships",JB_F,"Advance procurement / LLTM",JB_RC,"ADD"))/H$51,0)</f>
        <v>0</v>
      </c>
      <c r="I49" s="26">
        <f>IFERROR((SUMIFS(JB_27BV,JB_B,1,JB_W,"Surveillance Ships",JB_F,"Advance procurement / LLTM",JB_RC,"ADD"))/I$51,0)</f>
        <v>0</v>
      </c>
      <c r="J49" s="26">
        <f>IFERROR((SUMIFS(JB_27BV,JB_B,1,JB_W,"Hospital Ship",JB_F,"Advance procurement / LLTM",JB_RC,"ADD"))/J$51,0)</f>
        <v>0</v>
      </c>
      <c r="K49" s="26">
        <f>IFERROR((SUMIFS(JB_27BV,JB_B,1,JB_W,"Cargo &amp; Vehicle Cargo Ships",JB_F,"Advance procurement / LLTM",JB_RC,"ADD"))/K$51,0)</f>
        <v>0</v>
      </c>
      <c r="L49" s="26">
        <f>IFERROR((SUMIFS(JB_27BV,JB_B,1,JB_W,"Unmanned Undersea Vehicles",JB_F,"Advance procurement / LLTM",JB_RC,"ADD"))/L$51,0)</f>
        <v>0</v>
      </c>
      <c r="M49" s="26">
        <f>IFERROR((SUMIFS(JB_27BV,JB_B,1,JB_W,"Unmanned Surface Vehicles",JB_F,"Advance procurement / LLTM",JB_RC,"ADD"))/M$51,0)</f>
        <v>0</v>
      </c>
      <c r="N49" s="32">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0.2426138688791098</v>
      </c>
    </row>
    <row r="50" spans="1:14" ht="10" customHeight="1" x14ac:dyDescent="0.2">
      <c r="A50" s="16" t="s">
        <v>8354</v>
      </c>
      <c r="B50" s="32">
        <f t="shared" ref="B50:N50" si="1">IFERROR(1-B48-B49,0)</f>
        <v>0</v>
      </c>
      <c r="C50" s="26">
        <f t="shared" si="1"/>
        <v>0</v>
      </c>
      <c r="D50" s="26">
        <f t="shared" si="1"/>
        <v>1.5942950938120926E-2</v>
      </c>
      <c r="E50" s="26">
        <f t="shared" si="1"/>
        <v>0</v>
      </c>
      <c r="F50" s="26">
        <f t="shared" si="1"/>
        <v>-5.5511151231257827E-17</v>
      </c>
      <c r="G50" s="26">
        <f t="shared" si="1"/>
        <v>0</v>
      </c>
      <c r="H50" s="26">
        <f t="shared" si="1"/>
        <v>0</v>
      </c>
      <c r="I50" s="26">
        <f t="shared" si="1"/>
        <v>0</v>
      </c>
      <c r="J50" s="26">
        <f t="shared" si="1"/>
        <v>0</v>
      </c>
      <c r="K50" s="26">
        <f t="shared" si="1"/>
        <v>0</v>
      </c>
      <c r="L50" s="26">
        <f t="shared" si="1"/>
        <v>0</v>
      </c>
      <c r="M50" s="26">
        <f t="shared" si="1"/>
        <v>0</v>
      </c>
      <c r="N50" s="32">
        <f t="shared" si="1"/>
        <v>-5.5511151231257827E-17</v>
      </c>
    </row>
    <row r="51" spans="1:14" ht="10" customHeight="1" x14ac:dyDescent="0.2">
      <c r="A51" s="21" t="s">
        <v>8355</v>
      </c>
      <c r="B51" s="33">
        <f>SUMIFS(JB_27BV,JB_B,1,JB_W,"Submarines",JB_RC,"ADD")</f>
        <v>29188808</v>
      </c>
      <c r="C51" s="22">
        <f>SUMIFS(JB_27BV,JB_B,1,JB_W,"Amphibious Warfare Ships",JB_RC,"ADD")</f>
        <v>6400969</v>
      </c>
      <c r="D51" s="22">
        <f>SUMIFS(JB_27BV,JB_B,1,JB_W,"Surface Combatants",JB_RC,"ADD")</f>
        <v>5857134</v>
      </c>
      <c r="E51" s="22">
        <f>SUMIFS(JB_27BV,JB_B,1,JB_W,"Material Support Ships",JB_RC,"ADD")</f>
        <v>4444000</v>
      </c>
      <c r="F51" s="22">
        <f>SUMIFS(JB_27BV,JB_B,1,JB_W,"Aircraft Carriers",JB_RC,"ADD")</f>
        <v>4067355</v>
      </c>
      <c r="G51" s="22">
        <f>SUMIFS(JB_27BV,JB_B,1,JB_W,"Combat Logistics Ships",JB_RC,"ADD")</f>
        <v>2678883</v>
      </c>
      <c r="H51" s="22">
        <f>SUMIFS(JB_27BV,JB_B,1,JB_W,"Expeditionary &amp; Seabasing Ships",JB_RC,"ADD")</f>
        <v>1887500</v>
      </c>
      <c r="I51" s="22">
        <f>SUMIFS(JB_27BV,JB_B,1,JB_W,"Surveillance Ships",JB_RC,"ADD")</f>
        <v>910664</v>
      </c>
      <c r="J51" s="22">
        <f>SUMIFS(JB_27BV,JB_B,1,JB_W,"Hospital Ship",JB_RC,"ADD")</f>
        <v>650000</v>
      </c>
      <c r="K51" s="22">
        <f>SUMIFS(JB_27BV,JB_B,1,JB_W,"Cargo &amp; Vehicle Cargo Ships",JB_RC,"ADD")</f>
        <v>580000</v>
      </c>
      <c r="L51" s="22">
        <f>SUMIFS(JB_27BV,JB_B,1,JB_W,"Unmanned Undersea Vehicles",JB_RC,"ADD")</f>
        <v>246757</v>
      </c>
      <c r="M51" s="22">
        <f>SUMIFS(JB_27BV,JB_B,1,JB_W,"Unmanned Surface Vehicles",JB_RC,"ADD")</f>
        <v>171130</v>
      </c>
      <c r="N51" s="33">
        <f>SUM(B51:M51)</f>
        <v>57083200</v>
      </c>
    </row>
    <row r="52" spans="1:14" ht="10" customHeight="1" x14ac:dyDescent="0.2"/>
    <row r="53" spans="1:14" ht="10" customHeight="1" x14ac:dyDescent="0.2"/>
    <row r="54" spans="1:14" ht="10" customHeight="1" x14ac:dyDescent="0.2">
      <c r="A54" s="6" t="s">
        <v>8444</v>
      </c>
      <c r="B54" s="7"/>
      <c r="C54" s="7"/>
      <c r="D54" s="7"/>
    </row>
    <row r="55" spans="1:14" ht="10" customHeight="1" x14ac:dyDescent="0.2">
      <c r="A55" s="20" t="s">
        <v>8357</v>
      </c>
    </row>
    <row r="56" spans="1:14" ht="10" customHeight="1" x14ac:dyDescent="0.2">
      <c r="A56" s="15" t="s">
        <v>8358</v>
      </c>
      <c r="B56" s="15" t="s">
        <v>8348</v>
      </c>
      <c r="C56" s="15" t="s">
        <v>8440</v>
      </c>
      <c r="D56" s="15" t="s">
        <v>8349</v>
      </c>
    </row>
    <row r="57" spans="1:14" ht="10" customHeight="1" x14ac:dyDescent="0.2">
      <c r="A57" s="16" t="s">
        <v>8360</v>
      </c>
      <c r="B57" s="16" t="s">
        <v>50</v>
      </c>
      <c r="C57" s="17">
        <f>SUMIFS(JB_27BV,JB_B,1,JB_H,"SSBN",JB_RC,"ADD")</f>
        <v>15202874</v>
      </c>
      <c r="D57" s="26">
        <f t="shared" ref="D57:D71" si="2">IFERROR(C57/C$72,0)</f>
        <v>0.27471852998437651</v>
      </c>
    </row>
    <row r="58" spans="1:14" ht="10" customHeight="1" x14ac:dyDescent="0.2">
      <c r="A58" s="16" t="s">
        <v>8359</v>
      </c>
      <c r="B58" s="16" t="s">
        <v>50</v>
      </c>
      <c r="C58" s="17">
        <f>SUMIFS(JB_27BV,JB_B,1,JB_H,"SSN",JB_RC,"ADD")</f>
        <v>13985934</v>
      </c>
      <c r="D58" s="26">
        <f t="shared" si="2"/>
        <v>0.2527282163187376</v>
      </c>
    </row>
    <row r="59" spans="1:14" ht="10" customHeight="1" x14ac:dyDescent="0.2">
      <c r="A59" s="16" t="s">
        <v>8445</v>
      </c>
      <c r="B59" s="16" t="s">
        <v>50</v>
      </c>
      <c r="C59" s="17">
        <f>SUMIFS(JB_27BV,JB_B,1,JB_H,"AS",JB_RC,"ADD")</f>
        <v>4444000</v>
      </c>
      <c r="D59" s="26">
        <f t="shared" si="2"/>
        <v>8.0303839080069286E-2</v>
      </c>
    </row>
    <row r="60" spans="1:14" ht="10" customHeight="1" x14ac:dyDescent="0.2">
      <c r="A60" s="16" t="s">
        <v>8362</v>
      </c>
      <c r="B60" s="16" t="s">
        <v>50</v>
      </c>
      <c r="C60" s="17">
        <f>SUMIFS(JB_27BV,JB_B,1,JB_H,"CVN",JB_RC,"ADD")</f>
        <v>4067355</v>
      </c>
      <c r="D60" s="26">
        <f t="shared" si="2"/>
        <v>7.349779959530045E-2</v>
      </c>
    </row>
    <row r="61" spans="1:14" ht="10" customHeight="1" x14ac:dyDescent="0.2">
      <c r="A61" s="16" t="s">
        <v>8368</v>
      </c>
      <c r="B61" s="16" t="s">
        <v>50</v>
      </c>
      <c r="C61" s="17">
        <f>SUMIFS(JB_27BV,JB_B,1,JB_H,"LHA",JB_RC,"ADD")</f>
        <v>3852319</v>
      </c>
      <c r="D61" s="26">
        <f t="shared" si="2"/>
        <v>6.9612062344980519E-2</v>
      </c>
    </row>
    <row r="62" spans="1:14" ht="10" customHeight="1" x14ac:dyDescent="0.2">
      <c r="A62" s="16" t="s">
        <v>8361</v>
      </c>
      <c r="B62" s="16" t="s">
        <v>50</v>
      </c>
      <c r="C62" s="17">
        <f>SUMIFS(JB_27BV,JB_B,1,JB_H,"DDG",JB_RC,"ADD")</f>
        <v>3334754</v>
      </c>
      <c r="D62" s="26">
        <f t="shared" si="2"/>
        <v>6.0259574389652876E-2</v>
      </c>
    </row>
    <row r="63" spans="1:14" ht="10" customHeight="1" x14ac:dyDescent="0.2">
      <c r="A63" s="16" t="s">
        <v>8366</v>
      </c>
      <c r="B63" s="16" t="s">
        <v>50</v>
      </c>
      <c r="C63" s="17">
        <f>SUMIFS(JB_27BV,JB_B,1,JB_H,"LPD",JB_RC,"ADD")</f>
        <v>2548650</v>
      </c>
      <c r="D63" s="26">
        <f t="shared" si="2"/>
        <v>4.6054540835152695E-2</v>
      </c>
    </row>
    <row r="64" spans="1:14" ht="10" customHeight="1" x14ac:dyDescent="0.2">
      <c r="A64" s="16" t="s">
        <v>8364</v>
      </c>
      <c r="B64" s="16" t="s">
        <v>190</v>
      </c>
      <c r="C64" s="17">
        <f>SUMIFS(JB_27BV,JB_B,1,JB_H,"T-AO",JB_RC,"ADD")</f>
        <v>2228883</v>
      </c>
      <c r="D64" s="26">
        <f t="shared" si="2"/>
        <v>4.027629652572054E-2</v>
      </c>
    </row>
    <row r="65" spans="1:4" ht="10" customHeight="1" x14ac:dyDescent="0.2">
      <c r="A65" s="16" t="s">
        <v>8363</v>
      </c>
      <c r="B65" s="16" t="s">
        <v>50</v>
      </c>
      <c r="C65" s="17">
        <f>SUMIFS(JB_27BV,JB_B,1,JB_H,"LSM",JB_RC,"ADD")</f>
        <v>1887500</v>
      </c>
      <c r="D65" s="26">
        <f t="shared" si="2"/>
        <v>3.4107447404057328E-2</v>
      </c>
    </row>
    <row r="66" spans="1:4" ht="10" customHeight="1" x14ac:dyDescent="0.2">
      <c r="A66" s="16" t="s">
        <v>8370</v>
      </c>
      <c r="B66" s="16" t="s">
        <v>50</v>
      </c>
      <c r="C66" s="17">
        <f>SUMIFS(JB_27BV,JB_B,1,JB_H,"FFG",JB_RC,"ADD")</f>
        <v>1429000</v>
      </c>
      <c r="D66" s="26">
        <f t="shared" si="2"/>
        <v>2.5822274087628039E-2</v>
      </c>
    </row>
    <row r="67" spans="1:4" ht="10" customHeight="1" x14ac:dyDescent="0.2">
      <c r="A67" s="16" t="s">
        <v>8369</v>
      </c>
      <c r="B67" s="16" t="s">
        <v>190</v>
      </c>
      <c r="C67" s="17">
        <f>SUMIFS(JB_27BV,JB_B,1,JB_H,"T-AGOS",JB_RC,"ADD")</f>
        <v>710664</v>
      </c>
      <c r="D67" s="26">
        <f t="shared" si="2"/>
        <v>1.284181986858649E-2</v>
      </c>
    </row>
    <row r="68" spans="1:4" ht="10" customHeight="1" x14ac:dyDescent="0.2">
      <c r="A68" s="16" t="s">
        <v>8446</v>
      </c>
      <c r="B68" s="16" t="s">
        <v>190</v>
      </c>
      <c r="C68" s="17">
        <f>SUMIFS(JB_27BV,JB_B,1,JB_H,"T-AH",JB_RC,"ADD")</f>
        <v>650000</v>
      </c>
      <c r="D68" s="26">
        <f t="shared" si="2"/>
        <v>1.174561102656279E-2</v>
      </c>
    </row>
    <row r="69" spans="1:4" ht="10" customHeight="1" x14ac:dyDescent="0.2">
      <c r="A69" s="16" t="s">
        <v>8367</v>
      </c>
      <c r="B69" s="16" t="s">
        <v>190</v>
      </c>
      <c r="C69" s="17">
        <f>SUMIFS(JB_27BV,JB_B,1,JB_H,"T-AK / T-AKR",JB_RC,"ADD")</f>
        <v>580000</v>
      </c>
      <c r="D69" s="26">
        <f t="shared" si="2"/>
        <v>1.0480699069856029E-2</v>
      </c>
    </row>
    <row r="70" spans="1:4" ht="10" customHeight="1" x14ac:dyDescent="0.2">
      <c r="A70" s="16" t="s">
        <v>8371</v>
      </c>
      <c r="B70" s="16" t="s">
        <v>50</v>
      </c>
      <c r="C70" s="17">
        <f>SUMIFS(JB_27BV,JB_B,1,JB_H,"UUV",JB_RC,"ADD")</f>
        <v>246757</v>
      </c>
      <c r="D70" s="26">
        <f t="shared" si="2"/>
        <v>4.4589411385870066E-3</v>
      </c>
    </row>
    <row r="71" spans="1:4" ht="10" customHeight="1" x14ac:dyDescent="0.2">
      <c r="A71" s="16" t="s">
        <v>8365</v>
      </c>
      <c r="B71" s="16" t="s">
        <v>50</v>
      </c>
      <c r="C71" s="17">
        <f>SUMIFS(JB_27BV,JB_B,1,JB_H,"MUSV",JB_RC,"ADD")</f>
        <v>171130</v>
      </c>
      <c r="D71" s="26">
        <f t="shared" si="2"/>
        <v>3.0923483307318312E-3</v>
      </c>
    </row>
    <row r="72" spans="1:4" ht="10" customHeight="1" x14ac:dyDescent="0.2">
      <c r="A72" s="21" t="s">
        <v>8346</v>
      </c>
      <c r="B72" s="21"/>
      <c r="C72" s="22">
        <f>SUM(C57:C71)</f>
        <v>55339820</v>
      </c>
      <c r="D72" s="27">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18" t="s">
        <v>8447</v>
      </c>
      <c r="B1" s="19"/>
      <c r="C1" s="19"/>
      <c r="D1" s="19"/>
      <c r="E1" s="19"/>
      <c r="F1" s="19"/>
      <c r="G1" s="19"/>
      <c r="H1" s="19"/>
      <c r="I1" s="19"/>
      <c r="J1" s="19"/>
      <c r="K1" s="19"/>
      <c r="L1" s="19"/>
    </row>
    <row r="2" spans="1:12" ht="10" customHeight="1" x14ac:dyDescent="0.2">
      <c r="A2" s="20" t="s">
        <v>8378</v>
      </c>
    </row>
    <row r="3" spans="1:12" ht="10" customHeight="1" x14ac:dyDescent="0.2"/>
    <row r="4" spans="1:12" ht="10" customHeight="1" x14ac:dyDescent="0.2">
      <c r="A4" s="6" t="s">
        <v>8379</v>
      </c>
      <c r="B4" s="7"/>
    </row>
    <row r="5" spans="1:12" ht="10" customHeight="1" x14ac:dyDescent="0.2">
      <c r="A5" s="16" t="s">
        <v>8346</v>
      </c>
      <c r="B5" s="17">
        <f>SUMIFS(JB_27BV,JB_B,1,JB_V,"Auxiliary Ships",JB_RC,"ADD")+SUMIFS(JB_27BV,JB_B,1,JB_V,"Combatant Ships",JB_RC,"ADD")+SUMIFS(JB_27BV,JB_B,1,JB_V,"Cutters",JB_RC,"ADD")+SUMIFS(JB_27BV,JB_B,1,JB_V,"Unmanned Maritime Platforms",JB_RC,"ADD")</f>
        <v>57083200</v>
      </c>
    </row>
    <row r="6" spans="1:12" ht="10" customHeight="1" x14ac:dyDescent="0.2">
      <c r="A6" s="16" t="s">
        <v>8380</v>
      </c>
      <c r="B6" s="17">
        <f>-SUMIFS(JB_27BV,JB_B,1,JB_W,"Submarines",JB_RC,"ADD")</f>
        <v>-29188808</v>
      </c>
    </row>
    <row r="7" spans="1:12" ht="10" customHeight="1" x14ac:dyDescent="0.2">
      <c r="A7" s="16" t="s">
        <v>8381</v>
      </c>
      <c r="B7" s="17">
        <f>-SUMIFS(JB_27BV,JB_B,1,JB_W,"Aircraft Carriers",JB_RC,"ADD")</f>
        <v>-4067355</v>
      </c>
    </row>
    <row r="8" spans="1:12" ht="10" customHeight="1" x14ac:dyDescent="0.2">
      <c r="A8" s="16" t="s">
        <v>8382</v>
      </c>
      <c r="B8" s="17">
        <f>-SUMIFS(JB_27BV,JB_B,1,JB_W,"Unmanned Undersea Vehicles",JB_RC,"ADD")</f>
        <v>-246757</v>
      </c>
    </row>
    <row r="9" spans="1:12" ht="10" customHeight="1" x14ac:dyDescent="0.2">
      <c r="A9" s="21" t="s">
        <v>8383</v>
      </c>
      <c r="B9" s="22">
        <f>SUM(B5:B8)</f>
        <v>23580280</v>
      </c>
    </row>
    <row r="10" spans="1:12" ht="10" customHeight="1" x14ac:dyDescent="0.2"/>
    <row r="11" spans="1:12" ht="10" customHeight="1" x14ac:dyDescent="0.2"/>
    <row r="12" spans="1:12" ht="10" customHeight="1" x14ac:dyDescent="0.2">
      <c r="A12" s="6" t="s">
        <v>8384</v>
      </c>
      <c r="B12" s="7"/>
      <c r="C12" s="7"/>
      <c r="D12" s="7"/>
    </row>
    <row r="13" spans="1:12" ht="10" customHeight="1" x14ac:dyDescent="0.2">
      <c r="A13" s="15" t="s">
        <v>20</v>
      </c>
      <c r="B13" s="15" t="s">
        <v>8348</v>
      </c>
      <c r="C13" s="15" t="s">
        <v>8440</v>
      </c>
      <c r="D13" s="15" t="s">
        <v>8385</v>
      </c>
    </row>
    <row r="14" spans="1:12" ht="10" customHeight="1" x14ac:dyDescent="0.2">
      <c r="A14" s="16" t="s">
        <v>149</v>
      </c>
      <c r="B14" s="16" t="s">
        <v>50</v>
      </c>
      <c r="C14" s="17">
        <f>SUMIFS(JB_27BV,JB_B,1,JB_W,"Amphibious Warfare Ships",JB_RC,"ADD")</f>
        <v>6400969</v>
      </c>
      <c r="D14" s="26">
        <f t="shared" ref="D14:D38" si="0">IFERROR(C14/C$39,0)</f>
        <v>0.27145432539393088</v>
      </c>
    </row>
    <row r="15" spans="1:12" ht="10" customHeight="1" x14ac:dyDescent="0.2">
      <c r="A15" s="16" t="s">
        <v>119</v>
      </c>
      <c r="B15" s="16" t="s">
        <v>50</v>
      </c>
      <c r="C15" s="17">
        <f>SUMIFS(JB_27BV,JB_B,1,JB_W,"Surface Combatants",JB_RC,"ADD")</f>
        <v>5857134</v>
      </c>
      <c r="D15" s="26">
        <f t="shared" si="0"/>
        <v>0.24839119806889487</v>
      </c>
    </row>
    <row r="16" spans="1:12" ht="10" customHeight="1" x14ac:dyDescent="0.2">
      <c r="A16" s="16" t="s">
        <v>4966</v>
      </c>
      <c r="B16" s="16" t="s">
        <v>50</v>
      </c>
      <c r="C16" s="17">
        <f>SUMIFS(JB_27BV,JB_B,1,JB_W,"Material Support Ships",JB_RC,"ADD")</f>
        <v>4444000</v>
      </c>
      <c r="D16" s="26">
        <f t="shared" si="0"/>
        <v>0.18846256278551399</v>
      </c>
    </row>
    <row r="17" spans="1:4" ht="10" customHeight="1" x14ac:dyDescent="0.2">
      <c r="A17" s="16" t="s">
        <v>202</v>
      </c>
      <c r="B17" s="16" t="s">
        <v>190</v>
      </c>
      <c r="C17" s="17">
        <f>SUMIFS(JB_27BV,JB_B,1,JB_W,"Combat Logistics Ships",JB_RC,"ADD")</f>
        <v>2678883</v>
      </c>
      <c r="D17" s="26">
        <f t="shared" si="0"/>
        <v>0.11360692069814268</v>
      </c>
    </row>
    <row r="18" spans="1:4" ht="10" customHeight="1" x14ac:dyDescent="0.2">
      <c r="A18" s="16" t="s">
        <v>182</v>
      </c>
      <c r="B18" s="16" t="s">
        <v>50</v>
      </c>
      <c r="C18" s="17">
        <f>SUMIFS(JB_27BV,JB_B,1,JB_W,"Expeditionary &amp; Seabasing Ships",JB_RC,"ADD")</f>
        <v>1887500</v>
      </c>
      <c r="D18" s="26">
        <f t="shared" si="0"/>
        <v>8.004569920289327E-2</v>
      </c>
    </row>
    <row r="19" spans="1:4" ht="10" customHeight="1" x14ac:dyDescent="0.2">
      <c r="A19" s="16" t="s">
        <v>214</v>
      </c>
      <c r="B19" s="16" t="s">
        <v>50</v>
      </c>
      <c r="C19" s="17">
        <f>SUMIFS(JB_27BV,JB_B,1,JB_W,"Surveillance Ships",JB_RC,"ADD")</f>
        <v>910664</v>
      </c>
      <c r="D19" s="26">
        <f t="shared" si="0"/>
        <v>3.8619728010015147E-2</v>
      </c>
    </row>
    <row r="20" spans="1:4" ht="10" customHeight="1" x14ac:dyDescent="0.2">
      <c r="A20" s="16" t="s">
        <v>5029</v>
      </c>
      <c r="B20" s="16" t="s">
        <v>190</v>
      </c>
      <c r="C20" s="17">
        <f>SUMIFS(JB_27BV,JB_B,1,JB_W,"Hospital Ship",JB_RC,"ADD")</f>
        <v>650000</v>
      </c>
      <c r="D20" s="26">
        <f t="shared" si="0"/>
        <v>2.7565406348016224E-2</v>
      </c>
    </row>
    <row r="21" spans="1:4" ht="10" customHeight="1" x14ac:dyDescent="0.2">
      <c r="A21" s="16" t="s">
        <v>245</v>
      </c>
      <c r="B21" s="16" t="s">
        <v>50</v>
      </c>
      <c r="C21" s="17">
        <f>SUMIFS(JB_27BV,JB_B,1,JB_W,"Cargo &amp; Vehicle Cargo Ships",JB_RC,"ADD")</f>
        <v>580000</v>
      </c>
      <c r="D21" s="26">
        <f t="shared" si="0"/>
        <v>2.4596824125922168E-2</v>
      </c>
    </row>
    <row r="22" spans="1:4" ht="10" customHeight="1" x14ac:dyDescent="0.2">
      <c r="A22" s="16" t="s">
        <v>5416</v>
      </c>
      <c r="B22" s="16" t="s">
        <v>50</v>
      </c>
      <c r="C22" s="17">
        <f>SUMIFS(JB_27BV,JB_B,1,JB_W,"Unmanned Surface Vehicles",JB_RC,"ADD")</f>
        <v>171130</v>
      </c>
      <c r="D22" s="26">
        <f t="shared" si="0"/>
        <v>7.2573353666707946E-3</v>
      </c>
    </row>
    <row r="23" spans="1:4" ht="10" customHeight="1" x14ac:dyDescent="0.2">
      <c r="A23" s="16" t="s">
        <v>4859</v>
      </c>
      <c r="B23" s="16" t="s">
        <v>50</v>
      </c>
      <c r="C23" s="17">
        <f>SUMIFS(JB_27BV,JB_B,1,JB_W,"Command Ships",JB_RC,"ADD")</f>
        <v>0</v>
      </c>
      <c r="D23" s="26">
        <f t="shared" si="0"/>
        <v>0</v>
      </c>
    </row>
    <row r="24" spans="1:4" ht="10" customHeight="1" x14ac:dyDescent="0.2">
      <c r="A24" s="16" t="s">
        <v>5272</v>
      </c>
      <c r="B24" s="16" t="s">
        <v>50</v>
      </c>
      <c r="C24" s="17">
        <f>SUMIFS(JB_27BV,JB_B,1,JB_W,"Aviation Logistics Support Ship",JB_RC,"ADD")</f>
        <v>0</v>
      </c>
      <c r="D24" s="26">
        <f t="shared" si="0"/>
        <v>0</v>
      </c>
    </row>
    <row r="25" spans="1:4" ht="10" customHeight="1" x14ac:dyDescent="0.2">
      <c r="A25" s="16" t="s">
        <v>4684</v>
      </c>
      <c r="B25" s="16" t="s">
        <v>50</v>
      </c>
      <c r="C25" s="17">
        <f>SUMIFS(JB_27BV,JB_B,1,JB_W,"Mine Warfare",JB_RC,"ADD")</f>
        <v>0</v>
      </c>
      <c r="D25" s="26">
        <f t="shared" si="0"/>
        <v>0</v>
      </c>
    </row>
    <row r="26" spans="1:4" ht="10" customHeight="1" x14ac:dyDescent="0.2">
      <c r="A26" s="16" t="s">
        <v>233</v>
      </c>
      <c r="B26" s="16" t="s">
        <v>190</v>
      </c>
      <c r="C26" s="17">
        <f>SUMIFS(JB_27BV,JB_B,1,JB_W,"Research, Survey &amp; Instrumentation Ships",JB_RC,"ADD")</f>
        <v>0</v>
      </c>
      <c r="D26" s="26">
        <f t="shared" si="0"/>
        <v>0</v>
      </c>
    </row>
    <row r="27" spans="1:4" ht="10" customHeight="1" x14ac:dyDescent="0.2">
      <c r="A27" s="16" t="s">
        <v>4985</v>
      </c>
      <c r="B27" s="16" t="s">
        <v>50</v>
      </c>
      <c r="C27" s="17">
        <f>SUMIFS(JB_27BV,JB_B,1,JB_W,"High Speed Transport",JB_RC,"ADD")</f>
        <v>0</v>
      </c>
      <c r="D27" s="26">
        <f t="shared" si="0"/>
        <v>0</v>
      </c>
    </row>
    <row r="28" spans="1:4" ht="10" customHeight="1" x14ac:dyDescent="0.2">
      <c r="A28" s="16" t="s">
        <v>5277</v>
      </c>
      <c r="B28" s="16" t="s">
        <v>50</v>
      </c>
      <c r="C28" s="17">
        <f>SUMIFS(JB_27BV,JB_B,1,JB_W,"Crane Ship",JB_RC,"ADD")</f>
        <v>0</v>
      </c>
      <c r="D28" s="26">
        <f t="shared" si="0"/>
        <v>0</v>
      </c>
    </row>
    <row r="29" spans="1:4" ht="10" customHeight="1" x14ac:dyDescent="0.2">
      <c r="A29" s="16" t="s">
        <v>5019</v>
      </c>
      <c r="B29" s="16" t="s">
        <v>50</v>
      </c>
      <c r="C29" s="17">
        <f>SUMIFS(JB_27BV,JB_B,1,JB_W,"Submarine Escort Ship",JB_RC,"ADD")</f>
        <v>0</v>
      </c>
      <c r="D29" s="26">
        <f t="shared" si="0"/>
        <v>0</v>
      </c>
    </row>
    <row r="30" spans="1:4" ht="10" customHeight="1" x14ac:dyDescent="0.2">
      <c r="A30" s="16" t="s">
        <v>226</v>
      </c>
      <c r="B30" s="16" t="s">
        <v>190</v>
      </c>
      <c r="C30" s="17">
        <f>SUMIFS(JB_27BV,JB_B,1,JB_W,"Salvage Ships &amp; Fleet Ocean Tugs",JB_RC,"ADD")</f>
        <v>0</v>
      </c>
      <c r="D30" s="26">
        <f t="shared" si="0"/>
        <v>0</v>
      </c>
    </row>
    <row r="31" spans="1:4" ht="10" customHeight="1" x14ac:dyDescent="0.2">
      <c r="A31" s="16" t="s">
        <v>4643</v>
      </c>
      <c r="B31" s="16" t="s">
        <v>50</v>
      </c>
      <c r="C31" s="17">
        <f>SUMIFS(JB_27BV,JB_B,1,JB_W,"General Auxiliary",JB_RC,"ADD")</f>
        <v>0</v>
      </c>
      <c r="D31" s="26">
        <f t="shared" si="0"/>
        <v>0</v>
      </c>
    </row>
    <row r="32" spans="1:4" ht="10" customHeight="1" x14ac:dyDescent="0.2">
      <c r="A32" s="16" t="s">
        <v>6811</v>
      </c>
      <c r="B32" s="16" t="s">
        <v>6809</v>
      </c>
      <c r="C32" s="17">
        <f>SUMIFS(JB_27BV,JB_B,1,JB_W,"National Security Cutters",JB_RC,"ADD")</f>
        <v>0</v>
      </c>
      <c r="D32" s="26">
        <f t="shared" si="0"/>
        <v>0</v>
      </c>
    </row>
    <row r="33" spans="1:11" ht="10" customHeight="1" x14ac:dyDescent="0.2">
      <c r="A33" s="16" t="s">
        <v>8213</v>
      </c>
      <c r="B33" s="16" t="s">
        <v>6809</v>
      </c>
      <c r="C33" s="17">
        <f>SUMIFS(JB_27BV,JB_B,1,JB_W,"Waterways Commerce Cutters",JB_RC,"ADD")</f>
        <v>0</v>
      </c>
      <c r="D33" s="26">
        <f t="shared" si="0"/>
        <v>0</v>
      </c>
    </row>
    <row r="34" spans="1:11" ht="10" customHeight="1" x14ac:dyDescent="0.2">
      <c r="A34" s="16" t="s">
        <v>8175</v>
      </c>
      <c r="B34" s="16" t="s">
        <v>6809</v>
      </c>
      <c r="C34" s="17">
        <f>SUMIFS(JB_27BV,JB_B,1,JB_W,"Coastal Buoy Tenders",JB_RC,"ADD")</f>
        <v>0</v>
      </c>
      <c r="D34" s="26">
        <f t="shared" si="0"/>
        <v>0</v>
      </c>
    </row>
    <row r="35" spans="1:11" ht="10" customHeight="1" x14ac:dyDescent="0.2">
      <c r="A35" s="16" t="s">
        <v>8194</v>
      </c>
      <c r="B35" s="16" t="s">
        <v>6809</v>
      </c>
      <c r="C35" s="17">
        <f>SUMIFS(JB_27BV,JB_B,1,JB_W,"Fast Response Cutters",JB_RC,"ADD")</f>
        <v>0</v>
      </c>
      <c r="D35" s="26">
        <f t="shared" si="0"/>
        <v>0</v>
      </c>
    </row>
    <row r="36" spans="1:11" ht="10" customHeight="1" x14ac:dyDescent="0.2">
      <c r="A36" s="16" t="s">
        <v>8188</v>
      </c>
      <c r="B36" s="16" t="s">
        <v>6809</v>
      </c>
      <c r="C36" s="17">
        <f>SUMIFS(JB_27BV,JB_B,1,JB_W,"Offshore Patrol Cutter",JB_RC,"ADD")</f>
        <v>0</v>
      </c>
      <c r="D36" s="26">
        <f t="shared" si="0"/>
        <v>0</v>
      </c>
    </row>
    <row r="37" spans="1:11" ht="10" customHeight="1" x14ac:dyDescent="0.2">
      <c r="A37" s="16" t="s">
        <v>8209</v>
      </c>
      <c r="B37" s="16" t="s">
        <v>6809</v>
      </c>
      <c r="C37" s="17">
        <f>SUMIFS(JB_27BV,JB_B,1,JB_W,"Icebreakers, Great Lakes",JB_RC,"ADD")</f>
        <v>0</v>
      </c>
      <c r="D37" s="26">
        <f t="shared" si="0"/>
        <v>0</v>
      </c>
    </row>
    <row r="38" spans="1:11" ht="10" customHeight="1" x14ac:dyDescent="0.2">
      <c r="A38" s="16" t="s">
        <v>8202</v>
      </c>
      <c r="B38" s="16" t="s">
        <v>6809</v>
      </c>
      <c r="C38" s="17">
        <f>SUMIFS(JB_27BV,JB_B,1,JB_W,"Icebreakers, Oceangoing",JB_RC,"ADD")</f>
        <v>0</v>
      </c>
      <c r="D38" s="26">
        <f t="shared" si="0"/>
        <v>0</v>
      </c>
    </row>
    <row r="39" spans="1:11" ht="10" customHeight="1" x14ac:dyDescent="0.2">
      <c r="A39" s="21" t="s">
        <v>8383</v>
      </c>
      <c r="B39" s="21"/>
      <c r="C39" s="22">
        <f>SUM(C14:C38)</f>
        <v>23580280</v>
      </c>
      <c r="D39" s="27">
        <v>1</v>
      </c>
    </row>
    <row r="40" spans="1:11" ht="10" customHeight="1" x14ac:dyDescent="0.2"/>
    <row r="41" spans="1:11" ht="10" customHeight="1" x14ac:dyDescent="0.2"/>
    <row r="42" spans="1:11" ht="10" customHeight="1" x14ac:dyDescent="0.2">
      <c r="A42" s="6" t="s">
        <v>8386</v>
      </c>
      <c r="B42" s="7"/>
      <c r="C42" s="7"/>
      <c r="D42" s="7"/>
      <c r="E42" s="7"/>
      <c r="F42" s="7"/>
      <c r="G42" s="7"/>
      <c r="H42" s="7"/>
      <c r="I42" s="7"/>
      <c r="J42" s="7"/>
      <c r="K42" s="7"/>
    </row>
    <row r="43" spans="1:11" ht="10" customHeight="1" x14ac:dyDescent="0.2">
      <c r="A43" s="28"/>
      <c r="B43" s="29" t="s">
        <v>50</v>
      </c>
      <c r="C43" s="28"/>
      <c r="D43" s="28"/>
      <c r="E43" s="28"/>
      <c r="F43" s="28"/>
      <c r="G43" s="28"/>
      <c r="H43" s="28"/>
      <c r="I43" s="28"/>
      <c r="J43" s="28"/>
      <c r="K43" s="30"/>
    </row>
    <row r="44" spans="1:11" ht="10" customHeight="1" x14ac:dyDescent="0.2">
      <c r="A44" s="15" t="s">
        <v>8351</v>
      </c>
      <c r="B44" s="31" t="s">
        <v>149</v>
      </c>
      <c r="C44" s="15" t="s">
        <v>119</v>
      </c>
      <c r="D44" s="15" t="s">
        <v>4966</v>
      </c>
      <c r="E44" s="15" t="s">
        <v>202</v>
      </c>
      <c r="F44" s="15" t="s">
        <v>182</v>
      </c>
      <c r="G44" s="15" t="s">
        <v>214</v>
      </c>
      <c r="H44" s="15" t="s">
        <v>5029</v>
      </c>
      <c r="I44" s="15" t="s">
        <v>245</v>
      </c>
      <c r="J44" s="15" t="s">
        <v>5416</v>
      </c>
      <c r="K44" s="31" t="s">
        <v>8327</v>
      </c>
    </row>
    <row r="45" spans="1:11" ht="10" customHeight="1" x14ac:dyDescent="0.2">
      <c r="A45" s="16" t="s">
        <v>8352</v>
      </c>
      <c r="B45" s="32">
        <f>IFERROR((SUMIFS(JB_27BV,JB_B,1,JB_W,"Amphibious Warfare Ships",JB_F,"Full ship DD&amp;C",JB_RC,"ADD")+SUMIFS(JB_27BV,JB_B,1,JB_W,"Amphibious Warfare Ships",JB_F,"Full ship DD&amp;C / LLTM",JB_RC,"ADD")+SUMIFS(JB_27BV,JB_B,1,JB_W,"Amphibious Warfare Ships",JB_F,"Full vessel procurement",JB_RC,"ADD"))/B$47,0)</f>
        <v>0.94439123201502773</v>
      </c>
      <c r="C45" s="26">
        <f>IFERROR((SUMIFS(JB_27BV,JB_B,1,JB_W,"Surface Combatants",JB_F,"Full ship DD&amp;C",JB_RC,"ADD")+SUMIFS(JB_27BV,JB_B,1,JB_W,"Surface Combatants",JB_F,"Full ship DD&amp;C / LLTM",JB_RC,"ADD")+SUMIFS(JB_27BV,JB_B,1,JB_W,"Surface Combatants",JB_F,"Full vessel procurement",JB_RC,"ADD"))/C$47,0)</f>
        <v>0.81332508356476052</v>
      </c>
      <c r="D45" s="26">
        <f>IFERROR((SUMIFS(JB_27BV,JB_B,1,JB_W,"Material Support Ships",JB_F,"Full ship DD&amp;C",JB_RC,"ADD")+SUMIFS(JB_27BV,JB_B,1,JB_W,"Material Support Ships",JB_F,"Full ship DD&amp;C / LLTM",JB_RC,"ADD")+SUMIFS(JB_27BV,JB_B,1,JB_W,"Material Support Ships",JB_F,"Full vessel procurement",JB_RC,"ADD"))/D$47,0)</f>
        <v>1</v>
      </c>
      <c r="E45" s="26">
        <f>IFERROR((SUMIFS(JB_27BV,JB_B,1,JB_W,"Combat Logistics Ships",JB_F,"Full ship DD&amp;C",JB_RC,"ADD")+SUMIFS(JB_27BV,JB_B,1,JB_W,"Combat Logistics Ships",JB_F,"Full ship DD&amp;C / LLTM",JB_RC,"ADD")+SUMIFS(JB_27BV,JB_B,1,JB_W,"Combat Logistics Ships",JB_F,"Full vessel procurement",JB_RC,"ADD"))/E$47,0)</f>
        <v>1</v>
      </c>
      <c r="F45" s="26">
        <f>IFERROR((SUMIFS(JB_27BV,JB_B,1,JB_W,"Expeditionary &amp; Seabasing Ships",JB_F,"Full ship DD&amp;C",JB_RC,"ADD")+SUMIFS(JB_27BV,JB_B,1,JB_W,"Expeditionary &amp; Seabasing Ships",JB_F,"Full ship DD&amp;C / LLTM",JB_RC,"ADD")+SUMIFS(JB_27BV,JB_B,1,JB_W,"Expeditionary &amp; Seabasing Ships",JB_F,"Full vessel procurement",JB_RC,"ADD"))/F$47,0)</f>
        <v>1</v>
      </c>
      <c r="G45" s="26">
        <f>IFERROR((SUMIFS(JB_27BV,JB_B,1,JB_W,"Surveillance Ships",JB_F,"Full ship DD&amp;C",JB_RC,"ADD")+SUMIFS(JB_27BV,JB_B,1,JB_W,"Surveillance Ships",JB_F,"Full ship DD&amp;C / LLTM",JB_RC,"ADD")+SUMIFS(JB_27BV,JB_B,1,JB_W,"Surveillance Ships",JB_F,"Full vessel procurement",JB_RC,"ADD"))/G$47,0)</f>
        <v>1</v>
      </c>
      <c r="H45" s="26">
        <f>IFERROR((SUMIFS(JB_27BV,JB_B,1,JB_W,"Hospital Ship",JB_F,"Full ship DD&amp;C",JB_RC,"ADD")+SUMIFS(JB_27BV,JB_B,1,JB_W,"Hospital Ship",JB_F,"Full ship DD&amp;C / LLTM",JB_RC,"ADD")+SUMIFS(JB_27BV,JB_B,1,JB_W,"Hospital Ship",JB_F,"Full vessel procurement",JB_RC,"ADD"))/H$47,0)</f>
        <v>1</v>
      </c>
      <c r="I45" s="26">
        <f>IFERROR((SUMIFS(JB_27BV,JB_B,1,JB_W,"Cargo &amp; Vehicle Cargo Ships",JB_F,"Full ship DD&amp;C",JB_RC,"ADD")+SUMIFS(JB_27BV,JB_B,1,JB_W,"Cargo &amp; Vehicle Cargo Ships",JB_F,"Full ship DD&amp;C / LLTM",JB_RC,"ADD")+SUMIFS(JB_27BV,JB_B,1,JB_W,"Cargo &amp; Vehicle Cargo Ships",JB_F,"Full vessel procurement",JB_RC,"ADD"))/I$47,0)</f>
        <v>1</v>
      </c>
      <c r="J45" s="26">
        <f>IFERROR((SUMIFS(JB_27BV,JB_B,1,JB_W,"Unmanned Surface Vehicles",JB_F,"Full ship DD&amp;C",JB_RC,"ADD")+SUMIFS(JB_27BV,JB_B,1,JB_W,"Unmanned Surface Vehicles",JB_F,"Full ship DD&amp;C / LLTM",JB_RC,"ADD")+SUMIFS(JB_27BV,JB_B,1,JB_W,"Unmanned Surface Vehicles",JB_F,"Full vessel procurement",JB_RC,"ADD"))/J$47,0)</f>
        <v>1</v>
      </c>
      <c r="K45" s="32">
        <f>IFERROR(1-K46,0)</f>
        <v>0.41267974765354776</v>
      </c>
    </row>
    <row r="46" spans="1:11" ht="10" customHeight="1" x14ac:dyDescent="0.2">
      <c r="A46" s="16" t="s">
        <v>8353</v>
      </c>
      <c r="B46" s="32">
        <f>IFERROR((SUMIFS(JB_27BV,JB_B,1,JB_W,"Amphibious Warfare Ships",JB_F,"Advance procurement / LLTM",JB_RC,"ADD"))/B$47,0)</f>
        <v>5.5608767984972274E-2</v>
      </c>
      <c r="C46" s="26">
        <f>IFERROR((SUMIFS(JB_27BV,JB_B,1,JB_W,"Surface Combatants",JB_F,"Advance procurement / LLTM",JB_RC,"ADD"))/C$47,0)</f>
        <v>0.17073196549711855</v>
      </c>
      <c r="D46" s="26">
        <f>IFERROR((SUMIFS(JB_27BV,JB_B,1,JB_W,"Material Support Ships",JB_F,"Advance procurement / LLTM",JB_RC,"ADD"))/D$47,0)</f>
        <v>0</v>
      </c>
      <c r="E46" s="26">
        <f>IFERROR((SUMIFS(JB_27BV,JB_B,1,JB_W,"Combat Logistics Ships",JB_F,"Advance procurement / LLTM",JB_RC,"ADD"))/E$47,0)</f>
        <v>0</v>
      </c>
      <c r="F46" s="26">
        <f>IFERROR((SUMIFS(JB_27BV,JB_B,1,JB_W,"Expeditionary &amp; Seabasing Ships",JB_F,"Advance procurement / LLTM",JB_RC,"ADD"))/F$47,0)</f>
        <v>0</v>
      </c>
      <c r="G46" s="26">
        <f>IFERROR((SUMIFS(JB_27BV,JB_B,1,JB_W,"Surveillance Ships",JB_F,"Advance procurement / LLTM",JB_RC,"ADD"))/G$47,0)</f>
        <v>0</v>
      </c>
      <c r="H46" s="26">
        <f>IFERROR((SUMIFS(JB_27BV,JB_B,1,JB_W,"Hospital Ship",JB_F,"Advance procurement / LLTM",JB_RC,"ADD"))/H$47,0)</f>
        <v>0</v>
      </c>
      <c r="I46" s="26">
        <f>IFERROR((SUMIFS(JB_27BV,JB_B,1,JB_W,"Cargo &amp; Vehicle Cargo Ships",JB_F,"Advance procurement / LLTM",JB_RC,"ADD"))/I$47,0)</f>
        <v>0</v>
      </c>
      <c r="J46" s="26">
        <f>IFERROR((SUMIFS(JB_27BV,JB_B,1,JB_W,"Unmanned Surface Vehicles",JB_F,"Advance procurement / LLTM",JB_RC,"ADD"))/J$47,0)</f>
        <v>0</v>
      </c>
      <c r="K46" s="32">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0.58732025234645224</v>
      </c>
    </row>
    <row r="47" spans="1:11" ht="10" customHeight="1" x14ac:dyDescent="0.2">
      <c r="A47" s="21" t="s">
        <v>8355</v>
      </c>
      <c r="B47" s="33">
        <f>SUMIFS(JB_27BV,JB_B,1,JB_W,"Amphibious Warfare Ships",JB_RC,"ADD")</f>
        <v>6400969</v>
      </c>
      <c r="C47" s="22">
        <f>SUMIFS(JB_27BV,JB_B,1,JB_W,"Surface Combatants",JB_RC,"ADD")</f>
        <v>5857134</v>
      </c>
      <c r="D47" s="22">
        <f>SUMIFS(JB_27BV,JB_B,1,JB_W,"Material Support Ships",JB_RC,"ADD")</f>
        <v>4444000</v>
      </c>
      <c r="E47" s="22">
        <f>SUMIFS(JB_27BV,JB_B,1,JB_W,"Combat Logistics Ships",JB_RC,"ADD")</f>
        <v>2678883</v>
      </c>
      <c r="F47" s="22">
        <f>SUMIFS(JB_27BV,JB_B,1,JB_W,"Expeditionary &amp; Seabasing Ships",JB_RC,"ADD")</f>
        <v>1887500</v>
      </c>
      <c r="G47" s="22">
        <f>SUMIFS(JB_27BV,JB_B,1,JB_W,"Surveillance Ships",JB_RC,"ADD")</f>
        <v>910664</v>
      </c>
      <c r="H47" s="22">
        <f>SUMIFS(JB_27BV,JB_B,1,JB_W,"Hospital Ship",JB_RC,"ADD")</f>
        <v>650000</v>
      </c>
      <c r="I47" s="22">
        <f>SUMIFS(JB_27BV,JB_B,1,JB_W,"Cargo &amp; Vehicle Cargo Ships",JB_RC,"ADD")</f>
        <v>580000</v>
      </c>
      <c r="J47" s="22">
        <f>SUMIFS(JB_27BV,JB_B,1,JB_W,"Unmanned Surface Vehicles",JB_RC,"ADD")</f>
        <v>171130</v>
      </c>
      <c r="K47" s="33">
        <f>SUM(B47:J47)</f>
        <v>23580280</v>
      </c>
    </row>
    <row r="48" spans="1:11" ht="10" customHeight="1" x14ac:dyDescent="0.2"/>
    <row r="49" spans="1:4" ht="10" customHeight="1" x14ac:dyDescent="0.2"/>
    <row r="50" spans="1:4" ht="10" customHeight="1" x14ac:dyDescent="0.2">
      <c r="A50" s="6" t="s">
        <v>8448</v>
      </c>
      <c r="B50" s="7"/>
      <c r="C50" s="7"/>
      <c r="D50" s="7"/>
    </row>
    <row r="51" spans="1:4" ht="10" customHeight="1" x14ac:dyDescent="0.2">
      <c r="A51" s="20" t="s">
        <v>8388</v>
      </c>
    </row>
    <row r="52" spans="1:4" ht="10" customHeight="1" x14ac:dyDescent="0.2">
      <c r="A52" s="15" t="s">
        <v>8358</v>
      </c>
      <c r="B52" s="15" t="s">
        <v>8348</v>
      </c>
      <c r="C52" s="15" t="s">
        <v>8440</v>
      </c>
      <c r="D52" s="15" t="s">
        <v>8385</v>
      </c>
    </row>
    <row r="53" spans="1:4" ht="10" customHeight="1" x14ac:dyDescent="0.2">
      <c r="A53" s="16" t="s">
        <v>8445</v>
      </c>
      <c r="B53" s="16" t="s">
        <v>50</v>
      </c>
      <c r="C53" s="17">
        <f>SUMIFS(JB_27BV,JB_B,1,JB_H,"AS",JB_RC,"ADD")</f>
        <v>4444000</v>
      </c>
      <c r="D53" s="26">
        <f t="shared" ref="D53:D63" si="1">IFERROR(C53/C$64,0)</f>
        <v>0.20350873979365203</v>
      </c>
    </row>
    <row r="54" spans="1:4" ht="10" customHeight="1" x14ac:dyDescent="0.2">
      <c r="A54" s="16" t="s">
        <v>8368</v>
      </c>
      <c r="B54" s="16" t="s">
        <v>50</v>
      </c>
      <c r="C54" s="17">
        <f>SUMIFS(JB_27BV,JB_B,1,JB_H,"LHA",JB_RC,"ADD")</f>
        <v>3852319</v>
      </c>
      <c r="D54" s="26">
        <f t="shared" si="1"/>
        <v>0.17641327294625153</v>
      </c>
    </row>
    <row r="55" spans="1:4" ht="10" customHeight="1" x14ac:dyDescent="0.2">
      <c r="A55" s="16" t="s">
        <v>8361</v>
      </c>
      <c r="B55" s="16" t="s">
        <v>50</v>
      </c>
      <c r="C55" s="17">
        <f>SUMIFS(JB_27BV,JB_B,1,JB_H,"DDG",JB_RC,"ADD")</f>
        <v>3334754</v>
      </c>
      <c r="D55" s="26">
        <f t="shared" si="1"/>
        <v>0.15271187760167423</v>
      </c>
    </row>
    <row r="56" spans="1:4" ht="10" customHeight="1" x14ac:dyDescent="0.2">
      <c r="A56" s="16" t="s">
        <v>8366</v>
      </c>
      <c r="B56" s="16" t="s">
        <v>50</v>
      </c>
      <c r="C56" s="17">
        <f>SUMIFS(JB_27BV,JB_B,1,JB_H,"LPD",JB_RC,"ADD")</f>
        <v>2548650</v>
      </c>
      <c r="D56" s="26">
        <f t="shared" si="1"/>
        <v>0.11671299497639318</v>
      </c>
    </row>
    <row r="57" spans="1:4" ht="10" customHeight="1" x14ac:dyDescent="0.2">
      <c r="A57" s="16" t="s">
        <v>8364</v>
      </c>
      <c r="B57" s="16" t="s">
        <v>190</v>
      </c>
      <c r="C57" s="17">
        <f>SUMIFS(JB_27BV,JB_B,1,JB_H,"T-AO",JB_RC,"ADD")</f>
        <v>2228883</v>
      </c>
      <c r="D57" s="26">
        <f t="shared" si="1"/>
        <v>0.10206957031446771</v>
      </c>
    </row>
    <row r="58" spans="1:4" ht="10" customHeight="1" x14ac:dyDescent="0.2">
      <c r="A58" s="16" t="s">
        <v>8363</v>
      </c>
      <c r="B58" s="16" t="s">
        <v>50</v>
      </c>
      <c r="C58" s="17">
        <f>SUMIFS(JB_27BV,JB_B,1,JB_H,"LSM",JB_RC,"ADD")</f>
        <v>1887500</v>
      </c>
      <c r="D58" s="26">
        <f t="shared" si="1"/>
        <v>8.6436261557272326E-2</v>
      </c>
    </row>
    <row r="59" spans="1:4" ht="10" customHeight="1" x14ac:dyDescent="0.2">
      <c r="A59" s="16" t="s">
        <v>8370</v>
      </c>
      <c r="B59" s="16" t="s">
        <v>50</v>
      </c>
      <c r="C59" s="17">
        <f>SUMIFS(JB_27BV,JB_B,1,JB_H,"FFG",JB_RC,"ADD")</f>
        <v>1429000</v>
      </c>
      <c r="D59" s="26">
        <f t="shared" si="1"/>
        <v>6.5439691531307104E-2</v>
      </c>
    </row>
    <row r="60" spans="1:4" ht="10" customHeight="1" x14ac:dyDescent="0.2">
      <c r="A60" s="16" t="s">
        <v>8369</v>
      </c>
      <c r="B60" s="16" t="s">
        <v>190</v>
      </c>
      <c r="C60" s="17">
        <f>SUMIFS(JB_27BV,JB_B,1,JB_H,"T-AGOS",JB_RC,"ADD")</f>
        <v>710664</v>
      </c>
      <c r="D60" s="26">
        <f t="shared" si="1"/>
        <v>3.254417980574166E-2</v>
      </c>
    </row>
    <row r="61" spans="1:4" ht="10" customHeight="1" x14ac:dyDescent="0.2">
      <c r="A61" s="16" t="s">
        <v>8446</v>
      </c>
      <c r="B61" s="16" t="s">
        <v>190</v>
      </c>
      <c r="C61" s="17">
        <f>SUMIFS(JB_27BV,JB_B,1,JB_H,"T-AH",JB_RC,"ADD")</f>
        <v>650000</v>
      </c>
      <c r="D61" s="26">
        <f t="shared" si="1"/>
        <v>2.976612980780239E-2</v>
      </c>
    </row>
    <row r="62" spans="1:4" ht="10" customHeight="1" x14ac:dyDescent="0.2">
      <c r="A62" s="16" t="s">
        <v>8367</v>
      </c>
      <c r="B62" s="16" t="s">
        <v>190</v>
      </c>
      <c r="C62" s="17">
        <f>SUMIFS(JB_27BV,JB_B,1,JB_H,"T-AK / T-AKR",JB_RC,"ADD")</f>
        <v>580000</v>
      </c>
      <c r="D62" s="26">
        <f t="shared" si="1"/>
        <v>2.6560546597731362E-2</v>
      </c>
    </row>
    <row r="63" spans="1:4" ht="10" customHeight="1" x14ac:dyDescent="0.2">
      <c r="A63" s="16" t="s">
        <v>8365</v>
      </c>
      <c r="B63" s="16" t="s">
        <v>50</v>
      </c>
      <c r="C63" s="17">
        <f>SUMIFS(JB_27BV,JB_B,1,JB_H,"MUSV",JB_RC,"ADD")</f>
        <v>171130</v>
      </c>
      <c r="D63" s="26">
        <f t="shared" si="1"/>
        <v>7.8367350677064976E-3</v>
      </c>
    </row>
    <row r="64" spans="1:4" ht="10" customHeight="1" x14ac:dyDescent="0.2">
      <c r="A64" s="21" t="s">
        <v>8383</v>
      </c>
      <c r="B64" s="21"/>
      <c r="C64" s="22">
        <f>SUM(C53:C63)</f>
        <v>21836900</v>
      </c>
      <c r="D64" s="27">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8" t="s">
        <v>8449</v>
      </c>
      <c r="B1" s="19"/>
      <c r="C1" s="19"/>
      <c r="D1" s="19"/>
      <c r="E1" s="19"/>
      <c r="F1" s="19"/>
      <c r="G1" s="19"/>
      <c r="H1" s="19"/>
      <c r="I1" s="19"/>
      <c r="J1" s="19"/>
    </row>
    <row r="2" spans="1:10" ht="10" customHeight="1" x14ac:dyDescent="0.2">
      <c r="A2" s="20" t="s">
        <v>8416</v>
      </c>
    </row>
    <row r="3" spans="1:10" ht="10" customHeight="1" x14ac:dyDescent="0.2"/>
    <row r="4" spans="1:10" ht="10" customHeight="1" x14ac:dyDescent="0.2">
      <c r="A4" s="6" t="s">
        <v>8417</v>
      </c>
      <c r="B4" s="7"/>
    </row>
    <row r="5" spans="1:10" ht="10" customHeight="1" x14ac:dyDescent="0.2">
      <c r="A5" s="16" t="s">
        <v>8418</v>
      </c>
      <c r="B5" s="17">
        <f>SUMIFS(JB_27BV,JB_B,2,JB_RC,"ADD")+SUMIFS(JB_27BV,JB_B,3,JB_RC,"ADD")+SUMIFS(JB_27BV,JB_B,4,JB_RC,"ADD")+SUMIFS(JB_27BV,JB_B,5,JB_RC,"ADD")+SUMIFS(JB_27BV,JB_B,6,JB_RC,"ADD")+SUMIFS(JB_27BV,JB_B,7,JB_RC,"ADD")</f>
        <v>35676156</v>
      </c>
    </row>
    <row r="6" spans="1:10" ht="10" customHeight="1" x14ac:dyDescent="0.2">
      <c r="A6" s="16" t="s">
        <v>8419</v>
      </c>
      <c r="B6" s="17">
        <f>-(SUMIFS(JB_27BV,JB_B,2,JB_V,"",JB_RC,"ADD")+SUMIFS(JB_27BV,JB_B,3,JB_V,"",JB_RC,"ADD")+SUMIFS(JB_27BV,JB_B,4,JB_V,"",JB_RC,"ADD")+SUMIFS(JB_27BV,JB_B,5,JB_V,"",JB_RC,"ADD")+SUMIFS(JB_27BV,JB_B,6,JB_V,"",JB_RC,"ADD")+SUMIFS(JB_27BV,JB_B,7,JB_V,"",JB_RC,"ADD"))</f>
        <v>-17024234</v>
      </c>
    </row>
    <row r="7" spans="1:10" ht="10" customHeight="1" x14ac:dyDescent="0.2">
      <c r="A7" s="16" t="s">
        <v>8344</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8345</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21" t="s">
        <v>8420</v>
      </c>
      <c r="B9" s="22">
        <f>B18</f>
        <v>18591409</v>
      </c>
    </row>
    <row r="10" spans="1:10" ht="10" customHeight="1" x14ac:dyDescent="0.2"/>
    <row r="11" spans="1:10" ht="10" customHeight="1" x14ac:dyDescent="0.2"/>
    <row r="12" spans="1:10" ht="10" customHeight="1" x14ac:dyDescent="0.2">
      <c r="A12" s="6" t="s">
        <v>8421</v>
      </c>
      <c r="B12" s="7"/>
      <c r="C12" s="7"/>
    </row>
    <row r="13" spans="1:10" ht="10" customHeight="1" x14ac:dyDescent="0.2">
      <c r="A13" s="15" t="s">
        <v>8318</v>
      </c>
      <c r="B13" s="15" t="s">
        <v>8440</v>
      </c>
      <c r="C13" s="15" t="s">
        <v>8349</v>
      </c>
    </row>
    <row r="14" spans="1:10" ht="10" customHeight="1" x14ac:dyDescent="0.2">
      <c r="A14" s="16" t="s">
        <v>8423</v>
      </c>
      <c r="B14" s="17">
        <f>SUMIFS(JB_27BV,JB_B,4,JB_V,"Auxiliary Ships",JB_RC,"ADD")+SUMIFS(JB_27BV,JB_B,4,JB_V,"Combatant Ships",JB_RC,"ADD")+SUMIFS(JB_27BV,JB_B,4,JB_V,"Cutters",JB_RC,"ADD")+SUMIFS(JB_27BV,JB_B,4,JB_V,"Unmanned Maritime Platforms",JB_RC,"ADD")</f>
        <v>13835373</v>
      </c>
      <c r="C14" s="26">
        <f>IFERROR(B14/B$18,0)</f>
        <v>0.74418098165663504</v>
      </c>
    </row>
    <row r="15" spans="1:10" ht="10" customHeight="1" x14ac:dyDescent="0.2">
      <c r="A15" s="16" t="s">
        <v>8424</v>
      </c>
      <c r="B15" s="17">
        <f>SUMIFS(JB_27BV,JB_B,5,JB_V,"Auxiliary Ships",JB_RC,"ADD")+SUMIFS(JB_27BV,JB_B,5,JB_V,"Combatant Ships",JB_RC,"ADD")+SUMIFS(JB_27BV,JB_B,5,JB_V,"Cutters",JB_RC,"ADD")+SUMIFS(JB_27BV,JB_B,5,JB_V,"Unmanned Maritime Platforms",JB_RC,"ADD")</f>
        <v>4502738</v>
      </c>
      <c r="C15" s="26">
        <f>IFERROR(B15/B$18,0)</f>
        <v>0.24219455340905038</v>
      </c>
    </row>
    <row r="16" spans="1:10" ht="10" customHeight="1" x14ac:dyDescent="0.2">
      <c r="A16" s="16" t="s">
        <v>8425</v>
      </c>
      <c r="B16" s="17">
        <f>SUMIFS(JB_27BV,JB_B,6,JB_V,"Auxiliary Ships",JB_RC,"ADD")+SUMIFS(JB_27BV,JB_B,6,JB_V,"Combatant Ships",JB_RC,"ADD")+SUMIFS(JB_27BV,JB_B,6,JB_V,"Cutters",JB_RC,"ADD")+SUMIFS(JB_27BV,JB_B,6,JB_V,"Unmanned Maritime Platforms",JB_RC,"ADD")</f>
        <v>199382</v>
      </c>
      <c r="C16" s="26">
        <f>IFERROR(B16/B$18,0)</f>
        <v>1.0724415777201179E-2</v>
      </c>
    </row>
    <row r="17" spans="1:4" ht="10" customHeight="1" x14ac:dyDescent="0.2">
      <c r="A17" s="16" t="s">
        <v>5517</v>
      </c>
      <c r="B17" s="17">
        <f>SUMIFS(JB_27BV,JB_B,7,JB_V,"Auxiliary Ships",JB_RC,"ADD")+SUMIFS(JB_27BV,JB_B,7,JB_V,"Combatant Ships",JB_RC,"ADD")+SUMIFS(JB_27BV,JB_B,7,JB_V,"Cutters",JB_RC,"ADD")+SUMIFS(JB_27BV,JB_B,7,JB_V,"Unmanned Maritime Platforms",JB_RC,"ADD")</f>
        <v>53916</v>
      </c>
      <c r="C17" s="26">
        <f>IFERROR(B17/B$18,0)</f>
        <v>2.9000491571133744E-3</v>
      </c>
    </row>
    <row r="18" spans="1:4" ht="10" customHeight="1" x14ac:dyDescent="0.2">
      <c r="A18" s="21" t="s">
        <v>8420</v>
      </c>
      <c r="B18" s="22">
        <f>SUM(B14:B17)</f>
        <v>18591409</v>
      </c>
      <c r="C18" s="27">
        <v>1</v>
      </c>
    </row>
    <row r="19" spans="1:4" ht="10" customHeight="1" x14ac:dyDescent="0.2"/>
    <row r="20" spans="1:4" ht="10" customHeight="1" x14ac:dyDescent="0.2"/>
    <row r="21" spans="1:4" ht="10" customHeight="1" x14ac:dyDescent="0.2">
      <c r="A21" s="6" t="s">
        <v>8426</v>
      </c>
      <c r="B21" s="7"/>
      <c r="C21" s="7"/>
      <c r="D21" s="7"/>
    </row>
    <row r="22" spans="1:4" ht="10" customHeight="1" x14ac:dyDescent="0.2">
      <c r="A22" s="15" t="s">
        <v>20</v>
      </c>
      <c r="B22" s="15" t="s">
        <v>8348</v>
      </c>
      <c r="C22" s="15" t="s">
        <v>8440</v>
      </c>
      <c r="D22" s="15" t="s">
        <v>8349</v>
      </c>
    </row>
    <row r="23" spans="1:4" ht="10" customHeight="1" x14ac:dyDescent="0.2">
      <c r="A23" s="16" t="s">
        <v>52</v>
      </c>
      <c r="B23" s="16" t="s">
        <v>50</v>
      </c>
      <c r="C23" s="17">
        <f>SUMIFS(JB_27BV,JB_B,2,JB_W,"Submarines",JB_RC,"ADD")+SUMIFS(JB_27BV,JB_B,3,JB_W,"Submarines",JB_RC,"ADD")+SUMIFS(JB_27BV,JB_B,4,JB_W,"Submarines",JB_RC,"ADD")+SUMIFS(JB_27BV,JB_B,5,JB_W,"Submarines",JB_RC,"ADD")+SUMIFS(JB_27BV,JB_B,6,JB_W,"Submarines",JB_RC,"ADD")+SUMIFS(JB_27BV,JB_B,7,JB_W,"Submarines",JB_RC,"ADD")</f>
        <v>6955612</v>
      </c>
      <c r="D23" s="26">
        <f t="shared" ref="D23:D50" si="0">IFERROR(C23/C$51,0)</f>
        <v>0.37413043841916449</v>
      </c>
    </row>
    <row r="24" spans="1:4" ht="10" customHeight="1" x14ac:dyDescent="0.2">
      <c r="A24" s="16" t="s">
        <v>119</v>
      </c>
      <c r="B24" s="16" t="s">
        <v>50</v>
      </c>
      <c r="C24"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4" s="26">
        <f t="shared" si="0"/>
        <v>0.32909420689954161</v>
      </c>
    </row>
    <row r="25" spans="1:4" ht="10" customHeight="1" x14ac:dyDescent="0.2">
      <c r="A25" s="16" t="s">
        <v>69</v>
      </c>
      <c r="B25" s="16" t="s">
        <v>50</v>
      </c>
      <c r="C25"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5" s="26">
        <f t="shared" si="0"/>
        <v>0.27137921606694793</v>
      </c>
    </row>
    <row r="26" spans="1:4" ht="10" customHeight="1" x14ac:dyDescent="0.2">
      <c r="A26" s="16" t="s">
        <v>149</v>
      </c>
      <c r="B26" s="16" t="s">
        <v>50</v>
      </c>
      <c r="C26"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6" s="26">
        <f t="shared" si="0"/>
        <v>1.8571911359703829E-2</v>
      </c>
    </row>
    <row r="27" spans="1:4" ht="10" customHeight="1" x14ac:dyDescent="0.2">
      <c r="A27" s="16" t="s">
        <v>214</v>
      </c>
      <c r="B27" s="16" t="s">
        <v>50</v>
      </c>
      <c r="C27"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7" s="26">
        <f t="shared" si="0"/>
        <v>3.882976271459576E-3</v>
      </c>
    </row>
    <row r="28" spans="1:4" ht="10" customHeight="1" x14ac:dyDescent="0.2">
      <c r="A28" s="16" t="s">
        <v>182</v>
      </c>
      <c r="B28" s="16" t="s">
        <v>50</v>
      </c>
      <c r="C28"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28" s="26">
        <f t="shared" si="0"/>
        <v>2.9000491571133744E-3</v>
      </c>
    </row>
    <row r="29" spans="1:4" ht="10" customHeight="1" x14ac:dyDescent="0.2">
      <c r="A29" s="16" t="s">
        <v>4859</v>
      </c>
      <c r="B29" s="16" t="s">
        <v>50</v>
      </c>
      <c r="C29" s="17">
        <f>SUMIFS(JB_27BV,JB_B,2,JB_W,"Command Ships",JB_RC,"ADD")+SUMIFS(JB_27BV,JB_B,3,JB_W,"Command Ships",JB_RC,"ADD")+SUMIFS(JB_27BV,JB_B,4,JB_W,"Command Ships",JB_RC,"ADD")+SUMIFS(JB_27BV,JB_B,5,JB_W,"Command Ships",JB_RC,"ADD")+SUMIFS(JB_27BV,JB_B,6,JB_W,"Command Ships",JB_RC,"ADD")+SUMIFS(JB_27BV,JB_B,7,JB_W,"Command Ships",JB_RC,"ADD")</f>
        <v>766</v>
      </c>
      <c r="D29" s="26">
        <f t="shared" si="0"/>
        <v>4.1201826069234454E-5</v>
      </c>
    </row>
    <row r="30" spans="1:4" ht="10" customHeight="1" x14ac:dyDescent="0.2">
      <c r="A30" s="16" t="s">
        <v>4676</v>
      </c>
      <c r="B30" s="16" t="s">
        <v>50</v>
      </c>
      <c r="C30"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30" s="26">
        <f t="shared" si="0"/>
        <v>0</v>
      </c>
    </row>
    <row r="31" spans="1:4" ht="10" customHeight="1" x14ac:dyDescent="0.2">
      <c r="A31" s="16" t="s">
        <v>4985</v>
      </c>
      <c r="B31" s="16" t="s">
        <v>50</v>
      </c>
      <c r="C31"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31" s="26">
        <f t="shared" si="0"/>
        <v>0</v>
      </c>
    </row>
    <row r="32" spans="1:4" ht="10" customHeight="1" x14ac:dyDescent="0.2">
      <c r="A32" s="16" t="s">
        <v>202</v>
      </c>
      <c r="B32" s="16" t="s">
        <v>190</v>
      </c>
      <c r="C32"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32" s="26">
        <f t="shared" si="0"/>
        <v>0</v>
      </c>
    </row>
    <row r="33" spans="1:4" ht="10" customHeight="1" x14ac:dyDescent="0.2">
      <c r="A33" s="16" t="s">
        <v>5019</v>
      </c>
      <c r="B33" s="16" t="s">
        <v>50</v>
      </c>
      <c r="C33"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33" s="26">
        <f t="shared" si="0"/>
        <v>0</v>
      </c>
    </row>
    <row r="34" spans="1:4" ht="10" customHeight="1" x14ac:dyDescent="0.2">
      <c r="A34" s="16" t="s">
        <v>226</v>
      </c>
      <c r="B34" s="16" t="s">
        <v>190</v>
      </c>
      <c r="C34"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34" s="26">
        <f t="shared" si="0"/>
        <v>0</v>
      </c>
    </row>
    <row r="35" spans="1:4" ht="10" customHeight="1" x14ac:dyDescent="0.2">
      <c r="A35" s="16" t="s">
        <v>4643</v>
      </c>
      <c r="B35" s="16" t="s">
        <v>50</v>
      </c>
      <c r="C35"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35" s="26">
        <f t="shared" si="0"/>
        <v>0</v>
      </c>
    </row>
    <row r="36" spans="1:4" ht="10" customHeight="1" x14ac:dyDescent="0.2">
      <c r="A36" s="16" t="s">
        <v>5272</v>
      </c>
      <c r="B36" s="16" t="s">
        <v>50</v>
      </c>
      <c r="C36"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36" s="26">
        <f t="shared" si="0"/>
        <v>0</v>
      </c>
    </row>
    <row r="37" spans="1:4" ht="10" customHeight="1" x14ac:dyDescent="0.2">
      <c r="A37" s="16" t="s">
        <v>4684</v>
      </c>
      <c r="B37" s="16" t="s">
        <v>50</v>
      </c>
      <c r="C37" s="17">
        <f>SUMIFS(JB_27BV,JB_B,2,JB_W,"Mine Warfare",JB_RC,"ADD")+SUMIFS(JB_27BV,JB_B,3,JB_W,"Mine Warfare",JB_RC,"ADD")+SUMIFS(JB_27BV,JB_B,4,JB_W,"Mine Warfare",JB_RC,"ADD")+SUMIFS(JB_27BV,JB_B,5,JB_W,"Mine Warfare",JB_RC,"ADD")+SUMIFS(JB_27BV,JB_B,6,JB_W,"Mine Warfare",JB_RC,"ADD")+SUMIFS(JB_27BV,JB_B,7,JB_W,"Mine Warfare",JB_RC,"ADD")</f>
        <v>0</v>
      </c>
      <c r="D37" s="26">
        <f t="shared" si="0"/>
        <v>0</v>
      </c>
    </row>
    <row r="38" spans="1:4" ht="10" customHeight="1" x14ac:dyDescent="0.2">
      <c r="A38" s="16" t="s">
        <v>233</v>
      </c>
      <c r="B38" s="16" t="s">
        <v>190</v>
      </c>
      <c r="C38"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38" s="26">
        <f t="shared" si="0"/>
        <v>0</v>
      </c>
    </row>
    <row r="39" spans="1:4" ht="10" customHeight="1" x14ac:dyDescent="0.2">
      <c r="A39" s="16" t="s">
        <v>5029</v>
      </c>
      <c r="B39" s="16" t="s">
        <v>190</v>
      </c>
      <c r="C39" s="17">
        <f>SUMIFS(JB_27BV,JB_B,2,JB_W,"Hospital Ship",JB_RC,"ADD")+SUMIFS(JB_27BV,JB_B,3,JB_W,"Hospital Ship",JB_RC,"ADD")+SUMIFS(JB_27BV,JB_B,4,JB_W,"Hospital Ship",JB_RC,"ADD")+SUMIFS(JB_27BV,JB_B,5,JB_W,"Hospital Ship",JB_RC,"ADD")+SUMIFS(JB_27BV,JB_B,6,JB_W,"Hospital Ship",JB_RC,"ADD")+SUMIFS(JB_27BV,JB_B,7,JB_W,"Hospital Ship",JB_RC,"ADD")</f>
        <v>0</v>
      </c>
      <c r="D39" s="26">
        <f t="shared" si="0"/>
        <v>0</v>
      </c>
    </row>
    <row r="40" spans="1:4" ht="10" customHeight="1" x14ac:dyDescent="0.2">
      <c r="A40" s="16" t="s">
        <v>5277</v>
      </c>
      <c r="B40" s="16" t="s">
        <v>50</v>
      </c>
      <c r="C40" s="17">
        <f>SUMIFS(JB_27BV,JB_B,2,JB_W,"Crane Ship",JB_RC,"ADD")+SUMIFS(JB_27BV,JB_B,3,JB_W,"Crane Ship",JB_RC,"ADD")+SUMIFS(JB_27BV,JB_B,4,JB_W,"Crane Ship",JB_RC,"ADD")+SUMIFS(JB_27BV,JB_B,5,JB_W,"Crane Ship",JB_RC,"ADD")+SUMIFS(JB_27BV,JB_B,6,JB_W,"Crane Ship",JB_RC,"ADD")+SUMIFS(JB_27BV,JB_B,7,JB_W,"Crane Ship",JB_RC,"ADD")</f>
        <v>0</v>
      </c>
      <c r="D40" s="26">
        <f t="shared" si="0"/>
        <v>0</v>
      </c>
    </row>
    <row r="41" spans="1:4" ht="10" customHeight="1" x14ac:dyDescent="0.2">
      <c r="A41" s="16" t="s">
        <v>4966</v>
      </c>
      <c r="B41" s="16" t="s">
        <v>50</v>
      </c>
      <c r="C41"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41" s="26">
        <f t="shared" si="0"/>
        <v>0</v>
      </c>
    </row>
    <row r="42" spans="1:4" ht="10" customHeight="1" x14ac:dyDescent="0.2">
      <c r="A42" s="16" t="s">
        <v>5416</v>
      </c>
      <c r="B42" s="16" t="s">
        <v>50</v>
      </c>
      <c r="C42"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42" s="26">
        <f t="shared" si="0"/>
        <v>0</v>
      </c>
    </row>
    <row r="43" spans="1:4" ht="10" customHeight="1" x14ac:dyDescent="0.2">
      <c r="A43" s="16" t="s">
        <v>245</v>
      </c>
      <c r="B43" s="16" t="s">
        <v>50</v>
      </c>
      <c r="C43"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43" s="26">
        <f t="shared" si="0"/>
        <v>0</v>
      </c>
    </row>
    <row r="44" spans="1:4" ht="10" customHeight="1" x14ac:dyDescent="0.2">
      <c r="A44" s="16" t="s">
        <v>6811</v>
      </c>
      <c r="B44" s="16" t="s">
        <v>6809</v>
      </c>
      <c r="C44"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4" s="26">
        <f t="shared" si="0"/>
        <v>0</v>
      </c>
    </row>
    <row r="45" spans="1:4" ht="10" customHeight="1" x14ac:dyDescent="0.2">
      <c r="A45" s="16" t="s">
        <v>8188</v>
      </c>
      <c r="B45" s="16" t="s">
        <v>6809</v>
      </c>
      <c r="C45"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45" s="26">
        <f t="shared" si="0"/>
        <v>0</v>
      </c>
    </row>
    <row r="46" spans="1:4" ht="10" customHeight="1" x14ac:dyDescent="0.2">
      <c r="A46" s="16" t="s">
        <v>8213</v>
      </c>
      <c r="B46" s="16" t="s">
        <v>6809</v>
      </c>
      <c r="C46"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46" s="26">
        <f t="shared" si="0"/>
        <v>0</v>
      </c>
    </row>
    <row r="47" spans="1:4" ht="10" customHeight="1" x14ac:dyDescent="0.2">
      <c r="A47" s="16" t="s">
        <v>8175</v>
      </c>
      <c r="B47" s="16" t="s">
        <v>6809</v>
      </c>
      <c r="C47"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47" s="26">
        <f t="shared" si="0"/>
        <v>0</v>
      </c>
    </row>
    <row r="48" spans="1:4" ht="10" customHeight="1" x14ac:dyDescent="0.2">
      <c r="A48" s="16" t="s">
        <v>8194</v>
      </c>
      <c r="B48" s="16" t="s">
        <v>6809</v>
      </c>
      <c r="C48"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48" s="26">
        <f t="shared" si="0"/>
        <v>0</v>
      </c>
    </row>
    <row r="49" spans="1:9" ht="10" customHeight="1" x14ac:dyDescent="0.2">
      <c r="A49" s="16" t="s">
        <v>8209</v>
      </c>
      <c r="B49" s="16" t="s">
        <v>6809</v>
      </c>
      <c r="C49"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9" s="26">
        <f t="shared" si="0"/>
        <v>0</v>
      </c>
    </row>
    <row r="50" spans="1:9" ht="10" customHeight="1" x14ac:dyDescent="0.2">
      <c r="A50" s="16" t="s">
        <v>8202</v>
      </c>
      <c r="B50" s="16" t="s">
        <v>6809</v>
      </c>
      <c r="C50"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50" s="26">
        <f t="shared" si="0"/>
        <v>0</v>
      </c>
    </row>
    <row r="51" spans="1:9" ht="10" customHeight="1" x14ac:dyDescent="0.2">
      <c r="A51" s="21" t="s">
        <v>8420</v>
      </c>
      <c r="B51" s="21"/>
      <c r="C51" s="22">
        <f>SUM(C23:C50)</f>
        <v>18591409</v>
      </c>
      <c r="D51" s="27">
        <v>1</v>
      </c>
    </row>
    <row r="52" spans="1:9" ht="10" customHeight="1" x14ac:dyDescent="0.2"/>
    <row r="53" spans="1:9" ht="10" customHeight="1" x14ac:dyDescent="0.2"/>
    <row r="54" spans="1:9" ht="10" customHeight="1" x14ac:dyDescent="0.2">
      <c r="A54" s="6" t="s">
        <v>8427</v>
      </c>
      <c r="B54" s="7"/>
      <c r="C54" s="7"/>
      <c r="D54" s="7"/>
      <c r="E54" s="7"/>
      <c r="F54" s="7"/>
      <c r="G54" s="7"/>
      <c r="H54" s="7"/>
      <c r="I54" s="7"/>
    </row>
    <row r="55" spans="1:9" ht="10" customHeight="1" x14ac:dyDescent="0.2">
      <c r="A55" s="28"/>
      <c r="B55" s="29" t="s">
        <v>50</v>
      </c>
      <c r="C55" s="28"/>
      <c r="D55" s="28"/>
      <c r="E55" s="28"/>
      <c r="F55" s="28"/>
      <c r="G55" s="28"/>
      <c r="H55" s="28"/>
      <c r="I55" s="30"/>
    </row>
    <row r="56" spans="1:9" ht="10" customHeight="1" x14ac:dyDescent="0.2">
      <c r="A56" s="15" t="s">
        <v>8318</v>
      </c>
      <c r="B56" s="31" t="s">
        <v>52</v>
      </c>
      <c r="C56" s="15" t="s">
        <v>119</v>
      </c>
      <c r="D56" s="15" t="s">
        <v>69</v>
      </c>
      <c r="E56" s="15" t="s">
        <v>149</v>
      </c>
      <c r="F56" s="15" t="s">
        <v>214</v>
      </c>
      <c r="G56" s="15" t="s">
        <v>182</v>
      </c>
      <c r="H56" s="15" t="s">
        <v>4859</v>
      </c>
      <c r="I56" s="31" t="s">
        <v>8327</v>
      </c>
    </row>
    <row r="57" spans="1:9" ht="10" customHeight="1" x14ac:dyDescent="0.2">
      <c r="A57" s="16" t="s">
        <v>8423</v>
      </c>
      <c r="B57" s="32">
        <f>IFERROR((SUMIFS(JB_27BV,JB_B,4,JB_W,"Submarines",JB_RC,"ADD"))/B$61,0)</f>
        <v>0.97416618408272337</v>
      </c>
      <c r="C57" s="26">
        <f>IFERROR((SUMIFS(JB_27BV,JB_B,4,JB_W,"Surface Combatants",JB_RC,"ADD"))/C$61,0)</f>
        <v>0.99678147205321721</v>
      </c>
      <c r="D57" s="26">
        <f>IFERROR((SUMIFS(JB_27BV,JB_B,4,JB_W,"Aircraft Carriers",JB_RC,"ADD"))/D$61,0)</f>
        <v>0.10769382013675242</v>
      </c>
      <c r="E57" s="26">
        <f>IFERROR((SUMIFS(JB_27BV,JB_B,4,JB_W,"Amphibious Warfare Ships",JB_RC,"ADD"))/E$61,0)</f>
        <v>1</v>
      </c>
      <c r="F57" s="26">
        <f>IFERROR((SUMIFS(JB_27BV,JB_B,4,JB_W,"Surveillance Ships",JB_RC,"ADD"))/F$61,0)</f>
        <v>1</v>
      </c>
      <c r="G57" s="26">
        <f>IFERROR((SUMIFS(JB_27BV,JB_B,4,JB_W,"Expeditionary &amp; Seabasing Ships",JB_RC,"ADD"))/G$61,0)</f>
        <v>0</v>
      </c>
      <c r="H57" s="26">
        <f>IFERROR((SUMIFS(JB_27BV,JB_B,4,JB_W,"Command Ships",JB_RC,"ADD"))/H$61,0)</f>
        <v>0</v>
      </c>
      <c r="I57" s="32">
        <f>IFERROR((SUMIFS(JB_27BV,JB_B,4,JB_V,"Auxiliary Ships",JB_RC,"ADD")+SUMIFS(JB_27BV,JB_B,4,JB_V,"Combatant Ships",JB_RC,"ADD")+SUMIFS(JB_27BV,JB_B,4,JB_V,"Cutters",JB_RC,"ADD")+SUMIFS(JB_27BV,JB_B,4,JB_V,"Unmanned Maritime Platforms",JB_RC,"ADD"))/I$61,0)</f>
        <v>0.74418098165663504</v>
      </c>
    </row>
    <row r="58" spans="1:9" ht="10" customHeight="1" x14ac:dyDescent="0.2">
      <c r="A58" s="16" t="s">
        <v>8424</v>
      </c>
      <c r="B58" s="32">
        <f>IFERROR((SUMIFS(JB_27BV,JB_B,5,JB_W,"Submarines",JB_RC,"ADD"))/B$61,0)</f>
        <v>0</v>
      </c>
      <c r="C58" s="26">
        <f>IFERROR((SUMIFS(JB_27BV,JB_B,5,JB_W,"Surface Combatants",JB_RC,"ADD"))/C$61,0)</f>
        <v>0</v>
      </c>
      <c r="D58" s="26">
        <f>IFERROR((SUMIFS(JB_27BV,JB_B,5,JB_W,"Aircraft Carriers",JB_RC,"ADD"))/D$61,0)</f>
        <v>0.89230617986324756</v>
      </c>
      <c r="E58" s="26">
        <f>IFERROR((SUMIFS(JB_27BV,JB_B,5,JB_W,"Amphibious Warfare Ships",JB_RC,"ADD"))/E$61,0)</f>
        <v>0</v>
      </c>
      <c r="F58" s="26">
        <f>IFERROR((SUMIFS(JB_27BV,JB_B,5,JB_W,"Surveillance Ships",JB_RC,"ADD"))/F$61,0)</f>
        <v>0</v>
      </c>
      <c r="G58" s="26">
        <f>IFERROR((SUMIFS(JB_27BV,JB_B,5,JB_W,"Expeditionary &amp; Seabasing Ships",JB_RC,"ADD"))/G$61,0)</f>
        <v>0</v>
      </c>
      <c r="H58" s="26">
        <f>IFERROR((SUMIFS(JB_27BV,JB_B,5,JB_W,"Command Ships",JB_RC,"ADD"))/H$61,0)</f>
        <v>1</v>
      </c>
      <c r="I58" s="32">
        <f>IFERROR((SUMIFS(JB_27BV,JB_B,5,JB_V,"Auxiliary Ships",JB_RC,"ADD")+SUMIFS(JB_27BV,JB_B,5,JB_V,"Combatant Ships",JB_RC,"ADD")+SUMIFS(JB_27BV,JB_B,5,JB_V,"Cutters",JB_RC,"ADD")+SUMIFS(JB_27BV,JB_B,5,JB_V,"Unmanned Maritime Platforms",JB_RC,"ADD"))/I$61,0)</f>
        <v>0.24219455340905038</v>
      </c>
    </row>
    <row r="59" spans="1:9" ht="10" customHeight="1" x14ac:dyDescent="0.2">
      <c r="A59" s="16" t="s">
        <v>8425</v>
      </c>
      <c r="B59" s="32">
        <f>IFERROR((SUMIFS(JB_27BV,JB_B,6,JB_W,"Submarines",JB_RC,"ADD"))/B$61,0)</f>
        <v>2.5833815917276581E-2</v>
      </c>
      <c r="C59" s="26">
        <f>IFERROR((SUMIFS(JB_27BV,JB_B,6,JB_W,"Surface Combatants",JB_RC,"ADD"))/C$61,0)</f>
        <v>3.2185279467828207E-3</v>
      </c>
      <c r="D59" s="26">
        <f>IFERROR((SUMIFS(JB_27BV,JB_B,6,JB_W,"Aircraft Carriers",JB_RC,"ADD"))/D$61,0)</f>
        <v>0</v>
      </c>
      <c r="E59" s="26">
        <f>IFERROR((SUMIFS(JB_27BV,JB_B,6,JB_W,"Amphibious Warfare Ships",JB_RC,"ADD"))/E$61,0)</f>
        <v>0</v>
      </c>
      <c r="F59" s="26">
        <f>IFERROR((SUMIFS(JB_27BV,JB_B,6,JB_W,"Surveillance Ships",JB_RC,"ADD"))/F$61,0)</f>
        <v>0</v>
      </c>
      <c r="G59" s="26">
        <f>IFERROR((SUMIFS(JB_27BV,JB_B,6,JB_W,"Expeditionary &amp; Seabasing Ships",JB_RC,"ADD"))/G$61,0)</f>
        <v>0</v>
      </c>
      <c r="H59" s="26">
        <f>IFERROR((SUMIFS(JB_27BV,JB_B,6,JB_W,"Command Ships",JB_RC,"ADD"))/H$61,0)</f>
        <v>0</v>
      </c>
      <c r="I59" s="32">
        <f>IFERROR((SUMIFS(JB_27BV,JB_B,6,JB_V,"Auxiliary Ships",JB_RC,"ADD")+SUMIFS(JB_27BV,JB_B,6,JB_V,"Combatant Ships",JB_RC,"ADD")+SUMIFS(JB_27BV,JB_B,6,JB_V,"Cutters",JB_RC,"ADD")+SUMIFS(JB_27BV,JB_B,6,JB_V,"Unmanned Maritime Platforms",JB_RC,"ADD"))/I$61,0)</f>
        <v>1.0724415777201179E-2</v>
      </c>
    </row>
    <row r="60" spans="1:9" ht="10" customHeight="1" x14ac:dyDescent="0.2">
      <c r="A60" s="16" t="s">
        <v>5517</v>
      </c>
      <c r="B60" s="32">
        <f>IFERROR((SUMIFS(JB_27BV,JB_B,7,JB_W,"Submarines",JB_RC,"ADD"))/B$61,0)</f>
        <v>0</v>
      </c>
      <c r="C60" s="26">
        <f>IFERROR((SUMIFS(JB_27BV,JB_B,7,JB_W,"Surface Combatants",JB_RC,"ADD"))/C$61,0)</f>
        <v>0</v>
      </c>
      <c r="D60" s="26">
        <f>IFERROR((SUMIFS(JB_27BV,JB_B,7,JB_W,"Aircraft Carriers",JB_RC,"ADD"))/D$61,0)</f>
        <v>0</v>
      </c>
      <c r="E60" s="26">
        <f>IFERROR((SUMIFS(JB_27BV,JB_B,7,JB_W,"Amphibious Warfare Ships",JB_RC,"ADD"))/E$61,0)</f>
        <v>0</v>
      </c>
      <c r="F60" s="26">
        <f>IFERROR((SUMIFS(JB_27BV,JB_B,7,JB_W,"Surveillance Ships",JB_RC,"ADD"))/F$61,0)</f>
        <v>0</v>
      </c>
      <c r="G60" s="26">
        <f>IFERROR((SUMIFS(JB_27BV,JB_B,7,JB_W,"Expeditionary &amp; Seabasing Ships",JB_RC,"ADD"))/G$61,0)</f>
        <v>1</v>
      </c>
      <c r="H60" s="26">
        <f>IFERROR((SUMIFS(JB_27BV,JB_B,7,JB_W,"Command Ships",JB_RC,"ADD"))/H$61,0)</f>
        <v>0</v>
      </c>
      <c r="I60" s="32">
        <f>IFERROR((SUMIFS(JB_27BV,JB_B,7,JB_V,"Auxiliary Ships",JB_RC,"ADD")+SUMIFS(JB_27BV,JB_B,7,JB_V,"Combatant Ships",JB_RC,"ADD")+SUMIFS(JB_27BV,JB_B,7,JB_V,"Cutters",JB_RC,"ADD")+SUMIFS(JB_27BV,JB_B,7,JB_V,"Unmanned Maritime Platforms",JB_RC,"ADD"))/I$61,0)</f>
        <v>2.9000491571133744E-3</v>
      </c>
    </row>
    <row r="61" spans="1:9" ht="10" customHeight="1" x14ac:dyDescent="0.2">
      <c r="A61" s="21" t="s">
        <v>8355</v>
      </c>
      <c r="B61" s="33">
        <f>SUMIFS(JB_27BV,JB_B,2,JB_W,"Submarines",JB_RC,"ADD")+SUMIFS(JB_27BV,JB_B,3,JB_W,"Submarines",JB_RC,"ADD")+SUMIFS(JB_27BV,JB_B,4,JB_W,"Submarines",JB_RC,"ADD")+SUMIFS(JB_27BV,JB_B,5,JB_W,"Submarines",JB_RC,"ADD")+SUMIFS(JB_27BV,JB_B,6,JB_W,"Submarines",JB_RC,"ADD")+SUMIFS(JB_27BV,JB_B,7,JB_W,"Submarines",JB_RC,"ADD")</f>
        <v>6955612</v>
      </c>
      <c r="C61" s="22">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1" s="22">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1" s="22">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1" s="22">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1" s="22">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1" s="22">
        <f>SUMIFS(JB_27BV,JB_B,2,JB_W,"Command Ships",JB_RC,"ADD")+SUMIFS(JB_27BV,JB_B,3,JB_W,"Command Ships",JB_RC,"ADD")+SUMIFS(JB_27BV,JB_B,4,JB_W,"Command Ships",JB_RC,"ADD")+SUMIFS(JB_27BV,JB_B,5,JB_W,"Command Ships",JB_RC,"ADD")+SUMIFS(JB_27BV,JB_B,6,JB_W,"Command Ships",JB_RC,"ADD")+SUMIFS(JB_27BV,JB_B,7,JB_W,"Command Ships",JB_RC,"ADD")</f>
        <v>766</v>
      </c>
      <c r="I61" s="33">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8" t="s">
        <v>8450</v>
      </c>
      <c r="B1" s="19"/>
      <c r="C1" s="19"/>
      <c r="D1" s="19"/>
      <c r="E1" s="19"/>
      <c r="F1" s="19"/>
    </row>
    <row r="2" spans="1:6" ht="10" customHeight="1" x14ac:dyDescent="0.2">
      <c r="A2" s="20" t="s">
        <v>8429</v>
      </c>
    </row>
    <row r="3" spans="1:6" ht="10" customHeight="1" x14ac:dyDescent="0.2"/>
    <row r="4" spans="1:6" ht="10" customHeight="1" x14ac:dyDescent="0.2">
      <c r="A4" s="6" t="s">
        <v>8430</v>
      </c>
      <c r="B4" s="7"/>
    </row>
    <row r="5" spans="1:6" ht="10" customHeight="1" x14ac:dyDescent="0.2">
      <c r="A5" s="16" t="s">
        <v>8420</v>
      </c>
      <c r="B5" s="38">
        <f>'FY27 MRO TAM'!B18</f>
        <v>18591409</v>
      </c>
    </row>
    <row r="6" spans="1:6" ht="10" customHeight="1" x14ac:dyDescent="0.2">
      <c r="A6" s="16" t="s">
        <v>8380</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6" ht="10" customHeight="1" x14ac:dyDescent="0.2">
      <c r="A7" s="16" t="s">
        <v>8381</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6" ht="10" customHeight="1" x14ac:dyDescent="0.2">
      <c r="A8" s="16" t="s">
        <v>8382</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6" ht="10" customHeight="1" x14ac:dyDescent="0.2">
      <c r="A9" s="16" t="s">
        <v>8431</v>
      </c>
      <c r="B9" s="17">
        <f>-(B5+B6+B7+B8-B10)</f>
        <v>-74374</v>
      </c>
    </row>
    <row r="10" spans="1:6" ht="10" customHeight="1" x14ac:dyDescent="0.2">
      <c r="A10" s="21" t="s">
        <v>8432</v>
      </c>
      <c r="B10" s="22">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6516101</v>
      </c>
    </row>
    <row r="11" spans="1:6" ht="10" customHeight="1" x14ac:dyDescent="0.2"/>
    <row r="12" spans="1:6" ht="10" customHeight="1" x14ac:dyDescent="0.2"/>
    <row r="13" spans="1:6" ht="10" customHeight="1" x14ac:dyDescent="0.2">
      <c r="A13" s="6" t="s">
        <v>8433</v>
      </c>
      <c r="B13" s="7"/>
      <c r="C13" s="7"/>
      <c r="D13" s="7"/>
      <c r="E13" s="7"/>
      <c r="F13" s="7"/>
    </row>
    <row r="14" spans="1:6" ht="10" customHeight="1" x14ac:dyDescent="0.2">
      <c r="A14" s="15" t="s">
        <v>20</v>
      </c>
      <c r="B14" s="15" t="s">
        <v>8348</v>
      </c>
      <c r="C14" s="15" t="s">
        <v>8434</v>
      </c>
      <c r="D14" s="15" t="s">
        <v>8435</v>
      </c>
      <c r="E14" s="15" t="s">
        <v>8355</v>
      </c>
      <c r="F14" s="15" t="s">
        <v>8385</v>
      </c>
    </row>
    <row r="15" spans="1:6" ht="10" customHeight="1" x14ac:dyDescent="0.2">
      <c r="A15" s="16" t="s">
        <v>119</v>
      </c>
      <c r="B15" s="16" t="s">
        <v>50</v>
      </c>
      <c r="C15" s="17">
        <f>SUMIFS(JB_27BV,JB_B,2,JB_W,"Surface Combatants",JB_RC,"ADD")</f>
        <v>0</v>
      </c>
      <c r="D15" s="17">
        <f>SUMIFS(JB_27BV,JB_B,4,JB_W,"Surface Combatants",JB_RC,"ADD")</f>
        <v>6098633</v>
      </c>
      <c r="E15" s="17">
        <f t="shared" ref="E15:E39" si="0">C15+D15</f>
        <v>6098633</v>
      </c>
      <c r="F15" s="26">
        <f t="shared" ref="F15:F39" si="1">IFERROR(E15/E$40,0)</f>
        <v>0.93593285309727392</v>
      </c>
    </row>
    <row r="16" spans="1:6" ht="10" customHeight="1" x14ac:dyDescent="0.2">
      <c r="A16" s="16" t="s">
        <v>149</v>
      </c>
      <c r="B16" s="16" t="s">
        <v>50</v>
      </c>
      <c r="C16" s="17">
        <f>SUMIFS(JB_27BV,JB_B,2,JB_W,"Amphibious Warfare Ships",JB_RC,"ADD")</f>
        <v>0</v>
      </c>
      <c r="D16" s="17">
        <f>SUMIFS(JB_27BV,JB_B,4,JB_W,"Amphibious Warfare Ships",JB_RC,"ADD")</f>
        <v>345278</v>
      </c>
      <c r="E16" s="17">
        <f t="shared" si="0"/>
        <v>345278</v>
      </c>
      <c r="F16" s="26">
        <f t="shared" si="1"/>
        <v>5.2988435875993944E-2</v>
      </c>
    </row>
    <row r="17" spans="1:6" ht="10" customHeight="1" x14ac:dyDescent="0.2">
      <c r="A17" s="16" t="s">
        <v>214</v>
      </c>
      <c r="B17" s="16" t="s">
        <v>50</v>
      </c>
      <c r="C17" s="17">
        <f>SUMIFS(JB_27BV,JB_B,2,JB_W,"Surveillance Ships",JB_RC,"ADD")</f>
        <v>0</v>
      </c>
      <c r="D17" s="17">
        <f>SUMIFS(JB_27BV,JB_B,4,JB_W,"Surveillance Ships",JB_RC,"ADD")</f>
        <v>72190</v>
      </c>
      <c r="E17" s="17">
        <f t="shared" si="0"/>
        <v>72190</v>
      </c>
      <c r="F17" s="26">
        <f t="shared" si="1"/>
        <v>1.107871102673209E-2</v>
      </c>
    </row>
    <row r="18" spans="1:6" ht="10" customHeight="1" x14ac:dyDescent="0.2">
      <c r="A18" s="16" t="s">
        <v>4859</v>
      </c>
      <c r="B18" s="16" t="s">
        <v>50</v>
      </c>
      <c r="C18" s="17">
        <f>SUMIFS(JB_27BV,JB_B,2,JB_W,"Command Ships",JB_RC,"ADD")</f>
        <v>0</v>
      </c>
      <c r="D18" s="17">
        <f>SUMIFS(JB_27BV,JB_B,4,JB_W,"Command Ships",JB_RC,"ADD")</f>
        <v>0</v>
      </c>
      <c r="E18" s="17">
        <f t="shared" si="0"/>
        <v>0</v>
      </c>
      <c r="F18" s="26">
        <f t="shared" si="1"/>
        <v>0</v>
      </c>
    </row>
    <row r="19" spans="1:6" ht="10" customHeight="1" x14ac:dyDescent="0.2">
      <c r="A19" s="16" t="s">
        <v>5272</v>
      </c>
      <c r="B19" s="16" t="s">
        <v>50</v>
      </c>
      <c r="C19" s="17">
        <f>SUMIFS(JB_27BV,JB_B,2,JB_W,"Aviation Logistics Support Ship",JB_RC,"ADD")</f>
        <v>0</v>
      </c>
      <c r="D19" s="17">
        <f>SUMIFS(JB_27BV,JB_B,4,JB_W,"Aviation Logistics Support Ship",JB_RC,"ADD")</f>
        <v>0</v>
      </c>
      <c r="E19" s="17">
        <f t="shared" si="0"/>
        <v>0</v>
      </c>
      <c r="F19" s="26">
        <f t="shared" si="1"/>
        <v>0</v>
      </c>
    </row>
    <row r="20" spans="1:6" ht="10" customHeight="1" x14ac:dyDescent="0.2">
      <c r="A20" s="16" t="s">
        <v>4684</v>
      </c>
      <c r="B20" s="16" t="s">
        <v>50</v>
      </c>
      <c r="C20" s="17">
        <f>SUMIFS(JB_27BV,JB_B,2,JB_W,"Mine Warfare",JB_RC,"ADD")</f>
        <v>0</v>
      </c>
      <c r="D20" s="17">
        <f>SUMIFS(JB_27BV,JB_B,4,JB_W,"Mine Warfare",JB_RC,"ADD")</f>
        <v>0</v>
      </c>
      <c r="E20" s="17">
        <f t="shared" si="0"/>
        <v>0</v>
      </c>
      <c r="F20" s="26">
        <f t="shared" si="1"/>
        <v>0</v>
      </c>
    </row>
    <row r="21" spans="1:6" ht="10" customHeight="1" x14ac:dyDescent="0.2">
      <c r="A21" s="16" t="s">
        <v>233</v>
      </c>
      <c r="B21" s="16" t="s">
        <v>190</v>
      </c>
      <c r="C21" s="17">
        <f>SUMIFS(JB_27BV,JB_B,2,JB_W,"Research, Survey &amp; Instrumentation Ships",JB_RC,"ADD")</f>
        <v>0</v>
      </c>
      <c r="D21" s="17">
        <f>SUMIFS(JB_27BV,JB_B,4,JB_W,"Research, Survey &amp; Instrumentation Ships",JB_RC,"ADD")</f>
        <v>0</v>
      </c>
      <c r="E21" s="17">
        <f t="shared" si="0"/>
        <v>0</v>
      </c>
      <c r="F21" s="26">
        <f t="shared" si="1"/>
        <v>0</v>
      </c>
    </row>
    <row r="22" spans="1:6" ht="10" customHeight="1" x14ac:dyDescent="0.2">
      <c r="A22" s="16" t="s">
        <v>5029</v>
      </c>
      <c r="B22" s="16" t="s">
        <v>190</v>
      </c>
      <c r="C22" s="17">
        <f>SUMIFS(JB_27BV,JB_B,2,JB_W,"Hospital Ship",JB_RC,"ADD")</f>
        <v>0</v>
      </c>
      <c r="D22" s="17">
        <f>SUMIFS(JB_27BV,JB_B,4,JB_W,"Hospital Ship",JB_RC,"ADD")</f>
        <v>0</v>
      </c>
      <c r="E22" s="17">
        <f t="shared" si="0"/>
        <v>0</v>
      </c>
      <c r="F22" s="26">
        <f t="shared" si="1"/>
        <v>0</v>
      </c>
    </row>
    <row r="23" spans="1:6" ht="10" customHeight="1" x14ac:dyDescent="0.2">
      <c r="A23" s="16" t="s">
        <v>4985</v>
      </c>
      <c r="B23" s="16" t="s">
        <v>50</v>
      </c>
      <c r="C23" s="17">
        <f>SUMIFS(JB_27BV,JB_B,2,JB_W,"High Speed Transport",JB_RC,"ADD")</f>
        <v>0</v>
      </c>
      <c r="D23" s="17">
        <f>SUMIFS(JB_27BV,JB_B,4,JB_W,"High Speed Transport",JB_RC,"ADD")</f>
        <v>0</v>
      </c>
      <c r="E23" s="17">
        <f t="shared" si="0"/>
        <v>0</v>
      </c>
      <c r="F23" s="26">
        <f t="shared" si="1"/>
        <v>0</v>
      </c>
    </row>
    <row r="24" spans="1:6" ht="10" customHeight="1" x14ac:dyDescent="0.2">
      <c r="A24" s="16" t="s">
        <v>5277</v>
      </c>
      <c r="B24" s="16" t="s">
        <v>50</v>
      </c>
      <c r="C24" s="17">
        <f>SUMIFS(JB_27BV,JB_B,2,JB_W,"Crane Ship",JB_RC,"ADD")</f>
        <v>0</v>
      </c>
      <c r="D24" s="17">
        <f>SUMIFS(JB_27BV,JB_B,4,JB_W,"Crane Ship",JB_RC,"ADD")</f>
        <v>0</v>
      </c>
      <c r="E24" s="17">
        <f t="shared" si="0"/>
        <v>0</v>
      </c>
      <c r="F24" s="26">
        <f t="shared" si="1"/>
        <v>0</v>
      </c>
    </row>
    <row r="25" spans="1:6" ht="10" customHeight="1" x14ac:dyDescent="0.2">
      <c r="A25" s="16" t="s">
        <v>4966</v>
      </c>
      <c r="B25" s="16" t="s">
        <v>50</v>
      </c>
      <c r="C25" s="17">
        <f>SUMIFS(JB_27BV,JB_B,2,JB_W,"Material Support Ships",JB_RC,"ADD")</f>
        <v>0</v>
      </c>
      <c r="D25" s="17">
        <f>SUMIFS(JB_27BV,JB_B,4,JB_W,"Material Support Ships",JB_RC,"ADD")</f>
        <v>0</v>
      </c>
      <c r="E25" s="17">
        <f t="shared" si="0"/>
        <v>0</v>
      </c>
      <c r="F25" s="26">
        <f t="shared" si="1"/>
        <v>0</v>
      </c>
    </row>
    <row r="26" spans="1:6" ht="10" customHeight="1" x14ac:dyDescent="0.2">
      <c r="A26" s="16" t="s">
        <v>5416</v>
      </c>
      <c r="B26" s="16" t="s">
        <v>50</v>
      </c>
      <c r="C26" s="17">
        <f>SUMIFS(JB_27BV,JB_B,2,JB_W,"Unmanned Surface Vehicles",JB_RC,"ADD")</f>
        <v>0</v>
      </c>
      <c r="D26" s="17">
        <f>SUMIFS(JB_27BV,JB_B,4,JB_W,"Unmanned Surface Vehicles",JB_RC,"ADD")</f>
        <v>0</v>
      </c>
      <c r="E26" s="17">
        <f t="shared" si="0"/>
        <v>0</v>
      </c>
      <c r="F26" s="26">
        <f t="shared" si="1"/>
        <v>0</v>
      </c>
    </row>
    <row r="27" spans="1:6" ht="10" customHeight="1" x14ac:dyDescent="0.2">
      <c r="A27" s="16" t="s">
        <v>202</v>
      </c>
      <c r="B27" s="16" t="s">
        <v>190</v>
      </c>
      <c r="C27" s="17">
        <f>SUMIFS(JB_27BV,JB_B,2,JB_W,"Combat Logistics Ships",JB_RC,"ADD")</f>
        <v>0</v>
      </c>
      <c r="D27" s="17">
        <f>SUMIFS(JB_27BV,JB_B,4,JB_W,"Combat Logistics Ships",JB_RC,"ADD")</f>
        <v>0</v>
      </c>
      <c r="E27" s="17">
        <f t="shared" si="0"/>
        <v>0</v>
      </c>
      <c r="F27" s="26">
        <f t="shared" si="1"/>
        <v>0</v>
      </c>
    </row>
    <row r="28" spans="1:6" ht="10" customHeight="1" x14ac:dyDescent="0.2">
      <c r="A28" s="16" t="s">
        <v>5019</v>
      </c>
      <c r="B28" s="16" t="s">
        <v>50</v>
      </c>
      <c r="C28" s="17">
        <f>SUMIFS(JB_27BV,JB_B,2,JB_W,"Submarine Escort Ship",JB_RC,"ADD")</f>
        <v>0</v>
      </c>
      <c r="D28" s="17">
        <f>SUMIFS(JB_27BV,JB_B,4,JB_W,"Submarine Escort Ship",JB_RC,"ADD")</f>
        <v>0</v>
      </c>
      <c r="E28" s="17">
        <f t="shared" si="0"/>
        <v>0</v>
      </c>
      <c r="F28" s="26">
        <f t="shared" si="1"/>
        <v>0</v>
      </c>
    </row>
    <row r="29" spans="1:6" ht="10" customHeight="1" x14ac:dyDescent="0.2">
      <c r="A29" s="16" t="s">
        <v>226</v>
      </c>
      <c r="B29" s="16" t="s">
        <v>190</v>
      </c>
      <c r="C29" s="17">
        <f>SUMIFS(JB_27BV,JB_B,2,JB_W,"Salvage Ships &amp; Fleet Ocean Tugs",JB_RC,"ADD")</f>
        <v>0</v>
      </c>
      <c r="D29" s="17">
        <f>SUMIFS(JB_27BV,JB_B,4,JB_W,"Salvage Ships &amp; Fleet Ocean Tugs",JB_RC,"ADD")</f>
        <v>0</v>
      </c>
      <c r="E29" s="17">
        <f t="shared" si="0"/>
        <v>0</v>
      </c>
      <c r="F29" s="26">
        <f t="shared" si="1"/>
        <v>0</v>
      </c>
    </row>
    <row r="30" spans="1:6" ht="10" customHeight="1" x14ac:dyDescent="0.2">
      <c r="A30" s="16" t="s">
        <v>245</v>
      </c>
      <c r="B30" s="16" t="s">
        <v>50</v>
      </c>
      <c r="C30" s="17">
        <f>SUMIFS(JB_27BV,JB_B,2,JB_W,"Cargo &amp; Vehicle Cargo Ships",JB_RC,"ADD")</f>
        <v>0</v>
      </c>
      <c r="D30" s="17">
        <f>SUMIFS(JB_27BV,JB_B,4,JB_W,"Cargo &amp; Vehicle Cargo Ships",JB_RC,"ADD")</f>
        <v>0</v>
      </c>
      <c r="E30" s="17">
        <f t="shared" si="0"/>
        <v>0</v>
      </c>
      <c r="F30" s="26">
        <f t="shared" si="1"/>
        <v>0</v>
      </c>
    </row>
    <row r="31" spans="1:6" ht="10" customHeight="1" x14ac:dyDescent="0.2">
      <c r="A31" s="16" t="s">
        <v>182</v>
      </c>
      <c r="B31" s="16" t="s">
        <v>50</v>
      </c>
      <c r="C31" s="17">
        <f>SUMIFS(JB_27BV,JB_B,2,JB_W,"Expeditionary &amp; Seabasing Ships",JB_RC,"ADD")</f>
        <v>0</v>
      </c>
      <c r="D31" s="17">
        <f>SUMIFS(JB_27BV,JB_B,4,JB_W,"Expeditionary &amp; Seabasing Ships",JB_RC,"ADD")</f>
        <v>0</v>
      </c>
      <c r="E31" s="17">
        <f t="shared" si="0"/>
        <v>0</v>
      </c>
      <c r="F31" s="26">
        <f t="shared" si="1"/>
        <v>0</v>
      </c>
    </row>
    <row r="32" spans="1:6" ht="10" customHeight="1" x14ac:dyDescent="0.2">
      <c r="A32" s="16" t="s">
        <v>4643</v>
      </c>
      <c r="B32" s="16" t="s">
        <v>50</v>
      </c>
      <c r="C32" s="17">
        <f>SUMIFS(JB_27BV,JB_B,2,JB_W,"General Auxiliary",JB_RC,"ADD")</f>
        <v>0</v>
      </c>
      <c r="D32" s="17">
        <f>SUMIFS(JB_27BV,JB_B,4,JB_W,"General Auxiliary",JB_RC,"ADD")</f>
        <v>0</v>
      </c>
      <c r="E32" s="17">
        <f t="shared" si="0"/>
        <v>0</v>
      </c>
      <c r="F32" s="26">
        <f t="shared" si="1"/>
        <v>0</v>
      </c>
    </row>
    <row r="33" spans="1:6" ht="10" customHeight="1" x14ac:dyDescent="0.2">
      <c r="A33" s="16" t="s">
        <v>6811</v>
      </c>
      <c r="B33" s="16" t="s">
        <v>6809</v>
      </c>
      <c r="C33" s="17">
        <f>SUMIFS(JB_27BV,JB_B,2,JB_W,"National Security Cutters",JB_RC,"ADD")</f>
        <v>0</v>
      </c>
      <c r="D33" s="17">
        <f>SUMIFS(JB_27BV,JB_B,4,JB_W,"National Security Cutters",JB_RC,"ADD")</f>
        <v>0</v>
      </c>
      <c r="E33" s="17">
        <f t="shared" si="0"/>
        <v>0</v>
      </c>
      <c r="F33" s="26">
        <f t="shared" si="1"/>
        <v>0</v>
      </c>
    </row>
    <row r="34" spans="1:6" ht="10" customHeight="1" x14ac:dyDescent="0.2">
      <c r="A34" s="16" t="s">
        <v>8213</v>
      </c>
      <c r="B34" s="16" t="s">
        <v>6809</v>
      </c>
      <c r="C34" s="17">
        <f>SUMIFS(JB_27BV,JB_B,2,JB_W,"Waterways Commerce Cutters",JB_RC,"ADD")</f>
        <v>0</v>
      </c>
      <c r="D34" s="17">
        <f>SUMIFS(JB_27BV,JB_B,4,JB_W,"Waterways Commerce Cutters",JB_RC,"ADD")</f>
        <v>0</v>
      </c>
      <c r="E34" s="17">
        <f t="shared" si="0"/>
        <v>0</v>
      </c>
      <c r="F34" s="26">
        <f t="shared" si="1"/>
        <v>0</v>
      </c>
    </row>
    <row r="35" spans="1:6" ht="10" customHeight="1" x14ac:dyDescent="0.2">
      <c r="A35" s="16" t="s">
        <v>8175</v>
      </c>
      <c r="B35" s="16" t="s">
        <v>6809</v>
      </c>
      <c r="C35" s="17">
        <f>SUMIFS(JB_27BV,JB_B,2,JB_W,"Coastal Buoy Tenders",JB_RC,"ADD")</f>
        <v>0</v>
      </c>
      <c r="D35" s="17">
        <f>SUMIFS(JB_27BV,JB_B,4,JB_W,"Coastal Buoy Tenders",JB_RC,"ADD")</f>
        <v>0</v>
      </c>
      <c r="E35" s="17">
        <f t="shared" si="0"/>
        <v>0</v>
      </c>
      <c r="F35" s="26">
        <f t="shared" si="1"/>
        <v>0</v>
      </c>
    </row>
    <row r="36" spans="1:6" ht="10" customHeight="1" x14ac:dyDescent="0.2">
      <c r="A36" s="16" t="s">
        <v>8194</v>
      </c>
      <c r="B36" s="16" t="s">
        <v>6809</v>
      </c>
      <c r="C36" s="17">
        <f>SUMIFS(JB_27BV,JB_B,2,JB_W,"Fast Response Cutters",JB_RC,"ADD")</f>
        <v>0</v>
      </c>
      <c r="D36" s="17">
        <f>SUMIFS(JB_27BV,JB_B,4,JB_W,"Fast Response Cutters",JB_RC,"ADD")</f>
        <v>0</v>
      </c>
      <c r="E36" s="17">
        <f t="shared" si="0"/>
        <v>0</v>
      </c>
      <c r="F36" s="26">
        <f t="shared" si="1"/>
        <v>0</v>
      </c>
    </row>
    <row r="37" spans="1:6" ht="10" customHeight="1" x14ac:dyDescent="0.2">
      <c r="A37" s="16" t="s">
        <v>8188</v>
      </c>
      <c r="B37" s="16" t="s">
        <v>6809</v>
      </c>
      <c r="C37" s="17">
        <f>SUMIFS(JB_27BV,JB_B,2,JB_W,"Offshore Patrol Cutter",JB_RC,"ADD")</f>
        <v>0</v>
      </c>
      <c r="D37" s="17">
        <f>SUMIFS(JB_27BV,JB_B,4,JB_W,"Offshore Patrol Cutter",JB_RC,"ADD")</f>
        <v>0</v>
      </c>
      <c r="E37" s="17">
        <f t="shared" si="0"/>
        <v>0</v>
      </c>
      <c r="F37" s="26">
        <f t="shared" si="1"/>
        <v>0</v>
      </c>
    </row>
    <row r="38" spans="1:6" ht="10" customHeight="1" x14ac:dyDescent="0.2">
      <c r="A38" s="16" t="s">
        <v>8209</v>
      </c>
      <c r="B38" s="16" t="s">
        <v>6809</v>
      </c>
      <c r="C38" s="17">
        <f>SUMIFS(JB_27BV,JB_B,2,JB_W,"Icebreakers, Great Lakes",JB_RC,"ADD")</f>
        <v>0</v>
      </c>
      <c r="D38" s="17">
        <f>SUMIFS(JB_27BV,JB_B,4,JB_W,"Icebreakers, Great Lakes",JB_RC,"ADD")</f>
        <v>0</v>
      </c>
      <c r="E38" s="17">
        <f t="shared" si="0"/>
        <v>0</v>
      </c>
      <c r="F38" s="26">
        <f t="shared" si="1"/>
        <v>0</v>
      </c>
    </row>
    <row r="39" spans="1:6" ht="10" customHeight="1" x14ac:dyDescent="0.2">
      <c r="A39" s="16" t="s">
        <v>8202</v>
      </c>
      <c r="B39" s="16" t="s">
        <v>6809</v>
      </c>
      <c r="C39" s="17">
        <f>SUMIFS(JB_27BV,JB_B,2,JB_W,"Icebreakers, Oceangoing",JB_RC,"ADD")</f>
        <v>0</v>
      </c>
      <c r="D39" s="17">
        <f>SUMIFS(JB_27BV,JB_B,4,JB_W,"Icebreakers, Oceangoing",JB_RC,"ADD")</f>
        <v>0</v>
      </c>
      <c r="E39" s="17">
        <f t="shared" si="0"/>
        <v>0</v>
      </c>
      <c r="F39" s="26">
        <f t="shared" si="1"/>
        <v>0</v>
      </c>
    </row>
    <row r="40" spans="1:6" ht="10" customHeight="1" x14ac:dyDescent="0.2">
      <c r="A40" s="21" t="s">
        <v>8432</v>
      </c>
      <c r="B40" s="21"/>
      <c r="C40" s="22">
        <f>SUM(C15:C39)</f>
        <v>0</v>
      </c>
      <c r="D40" s="22">
        <f>SUM(D15:D39)</f>
        <v>6516101</v>
      </c>
      <c r="E40" s="22">
        <f>SUM(E15:E39)</f>
        <v>6516101</v>
      </c>
      <c r="F40" s="27">
        <v>1</v>
      </c>
    </row>
    <row r="41" spans="1:6" ht="10" customHeight="1" x14ac:dyDescent="0.2"/>
    <row r="42" spans="1:6" ht="10" customHeight="1" x14ac:dyDescent="0.2"/>
    <row r="43" spans="1:6" ht="10" customHeight="1" x14ac:dyDescent="0.2">
      <c r="A43" s="6" t="s">
        <v>8436</v>
      </c>
      <c r="B43" s="7"/>
      <c r="C43" s="7"/>
      <c r="D43" s="7"/>
      <c r="E43" s="7"/>
    </row>
    <row r="44" spans="1:6" ht="10" customHeight="1" x14ac:dyDescent="0.2">
      <c r="A44" s="28"/>
      <c r="B44" s="29" t="s">
        <v>50</v>
      </c>
      <c r="C44" s="28"/>
      <c r="D44" s="28"/>
      <c r="E44" s="30"/>
    </row>
    <row r="45" spans="1:6" ht="10" customHeight="1" x14ac:dyDescent="0.2">
      <c r="A45" s="15" t="s">
        <v>8318</v>
      </c>
      <c r="B45" s="31" t="s">
        <v>119</v>
      </c>
      <c r="C45" s="15" t="s">
        <v>149</v>
      </c>
      <c r="D45" s="15" t="s">
        <v>214</v>
      </c>
      <c r="E45" s="31" t="s">
        <v>8327</v>
      </c>
    </row>
    <row r="46" spans="1:6" ht="10" customHeight="1" x14ac:dyDescent="0.2">
      <c r="A46" s="16" t="s">
        <v>4328</v>
      </c>
      <c r="B46" s="32">
        <f>IFERROR((SUMIFS(JB_27BV,JB_B,2,JB_W,"Surface Combatants",JB_RC,"ADD"))/B$48,0)</f>
        <v>0</v>
      </c>
      <c r="C46" s="26">
        <f>IFERROR((SUMIFS(JB_27BV,JB_B,2,JB_W,"Amphibious Warfare Ships",JB_RC,"ADD"))/C$48,0)</f>
        <v>0</v>
      </c>
      <c r="D46" s="26">
        <f>IFERROR((SUMIFS(JB_27BV,JB_B,2,JB_W,"Surveillance Ships",JB_RC,"ADD"))/D$48,0)</f>
        <v>0</v>
      </c>
      <c r="E46" s="32">
        <f>IFERROR(1-E47,0)</f>
        <v>0</v>
      </c>
    </row>
    <row r="47" spans="1:6" ht="10" customHeight="1" x14ac:dyDescent="0.2">
      <c r="A47" s="16" t="s">
        <v>8423</v>
      </c>
      <c r="B47" s="32">
        <f>IFERROR((SUMIFS(JB_27BV,JB_B,4,JB_W,"Surface Combatants",JB_RC,"ADD"))/B$48,0)</f>
        <v>1</v>
      </c>
      <c r="C47" s="26">
        <f>IFERROR((SUMIFS(JB_27BV,JB_B,4,JB_W,"Amphibious Warfare Ships",JB_RC,"ADD"))/C$48,0)</f>
        <v>1</v>
      </c>
      <c r="D47" s="26">
        <f>IFERROR((SUMIFS(JB_27BV,JB_B,4,JB_W,"Surveillance Ships",JB_RC,"ADD"))/D$48,0)</f>
        <v>1</v>
      </c>
      <c r="E47" s="32">
        <f>IFERROR((SUMIFS(JB_27BV,JB_B,4,JB_W,"Surface Combatants",JB_RC,"ADD")+SUMIFS(JB_27BV,JB_B,4,JB_W,"Amphibious Warfare Ships",JB_RC,"ADD")+SUMIFS(JB_27BV,JB_B,4,JB_W,"Surveillance Ships",JB_RC,"ADD"))/E$48,0)</f>
        <v>1</v>
      </c>
    </row>
    <row r="48" spans="1:6" ht="10" customHeight="1" x14ac:dyDescent="0.2">
      <c r="A48" s="21" t="s">
        <v>8355</v>
      </c>
      <c r="B48" s="33">
        <f>SUMIFS(JB_27BV,JB_B,2,JB_W,"Surface Combatants",JB_RC,"ADD")+SUMIFS(JB_27BV,JB_B,4,JB_W,"Surface Combatants",JB_RC,"ADD")</f>
        <v>6098633</v>
      </c>
      <c r="C48" s="22">
        <f>SUMIFS(JB_27BV,JB_B,2,JB_W,"Amphibious Warfare Ships",JB_RC,"ADD")+SUMIFS(JB_27BV,JB_B,4,JB_W,"Amphibious Warfare Ships",JB_RC,"ADD")</f>
        <v>345278</v>
      </c>
      <c r="D48" s="22">
        <f>SUMIFS(JB_27BV,JB_B,2,JB_W,"Surveillance Ships",JB_RC,"ADD")+SUMIFS(JB_27BV,JB_B,4,JB_W,"Surveillance Ships",JB_RC,"ADD")</f>
        <v>72190</v>
      </c>
      <c r="E48" s="33">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8" t="s">
        <v>8451</v>
      </c>
      <c r="B1" s="19"/>
      <c r="C1" s="19"/>
      <c r="D1" s="19"/>
      <c r="E1" s="19"/>
    </row>
    <row r="2" spans="1:5" ht="10" customHeight="1" x14ac:dyDescent="0.2">
      <c r="A2" s="20" t="s">
        <v>8452</v>
      </c>
    </row>
    <row r="3" spans="1:5" ht="10" customHeight="1" x14ac:dyDescent="0.2"/>
    <row r="4" spans="1:5" ht="10" customHeight="1" x14ac:dyDescent="0.2">
      <c r="A4" s="6" t="s">
        <v>8453</v>
      </c>
      <c r="B4" s="7"/>
      <c r="C4" s="7"/>
      <c r="D4" s="7"/>
    </row>
    <row r="5" spans="1:5" ht="10" customHeight="1" x14ac:dyDescent="0.2">
      <c r="A5" s="15" t="s">
        <v>8454</v>
      </c>
      <c r="B5" s="15" t="s">
        <v>8455</v>
      </c>
      <c r="C5" s="15" t="s">
        <v>8456</v>
      </c>
      <c r="D5" s="15" t="s">
        <v>8457</v>
      </c>
    </row>
    <row r="6" spans="1:5" ht="10" customHeight="1" x14ac:dyDescent="0.2">
      <c r="A6" s="16" t="s">
        <v>8458</v>
      </c>
      <c r="B6" s="20" t="s">
        <v>8459</v>
      </c>
      <c r="C6" s="13">
        <v>22000000</v>
      </c>
      <c r="D6" s="20" t="s">
        <v>8460</v>
      </c>
    </row>
    <row r="7" spans="1:5" ht="10" customHeight="1" x14ac:dyDescent="0.2">
      <c r="A7" s="16" t="s">
        <v>8461</v>
      </c>
      <c r="B7" s="20" t="s">
        <v>8462</v>
      </c>
      <c r="C7" s="13">
        <v>13700000</v>
      </c>
      <c r="D7" s="20" t="s">
        <v>8463</v>
      </c>
    </row>
    <row r="8" spans="1:5" ht="10" customHeight="1" x14ac:dyDescent="0.2">
      <c r="A8" s="16" t="s">
        <v>8464</v>
      </c>
      <c r="B8" s="20" t="s">
        <v>8465</v>
      </c>
      <c r="C8" s="13">
        <v>8800000</v>
      </c>
      <c r="D8" s="20" t="s">
        <v>8466</v>
      </c>
    </row>
    <row r="9" spans="1:5" ht="10" customHeight="1" x14ac:dyDescent="0.2">
      <c r="A9" s="16" t="s">
        <v>8467</v>
      </c>
      <c r="B9" s="20" t="s">
        <v>8468</v>
      </c>
      <c r="C9" s="13">
        <v>5000000</v>
      </c>
      <c r="D9" s="20" t="s">
        <v>8469</v>
      </c>
    </row>
    <row r="10" spans="1:5" ht="10" customHeight="1" x14ac:dyDescent="0.2">
      <c r="A10" s="16" t="s">
        <v>8470</v>
      </c>
      <c r="B10" s="20" t="s">
        <v>8471</v>
      </c>
      <c r="C10" s="13">
        <v>1500000</v>
      </c>
      <c r="D10" s="20" t="s">
        <v>8472</v>
      </c>
    </row>
    <row r="11" spans="1:5" ht="10" customHeight="1" x14ac:dyDescent="0.2">
      <c r="A11" s="16" t="s">
        <v>8473</v>
      </c>
      <c r="B11" s="20" t="s">
        <v>8474</v>
      </c>
      <c r="C11" s="13">
        <v>700000</v>
      </c>
      <c r="D11" s="20" t="s">
        <v>8475</v>
      </c>
    </row>
    <row r="12" spans="1:5" ht="10" customHeight="1" x14ac:dyDescent="0.2">
      <c r="A12" s="16" t="s">
        <v>8476</v>
      </c>
      <c r="B12" s="20" t="s">
        <v>8465</v>
      </c>
      <c r="C12" s="13">
        <v>600000</v>
      </c>
      <c r="D12" s="20" t="s">
        <v>8477</v>
      </c>
    </row>
    <row r="13" spans="1:5" ht="10" customHeight="1" x14ac:dyDescent="0.2">
      <c r="A13" s="16" t="s">
        <v>8478</v>
      </c>
      <c r="B13" s="20" t="s">
        <v>8474</v>
      </c>
      <c r="C13" s="13">
        <v>500000</v>
      </c>
      <c r="D13" s="20" t="s">
        <v>8479</v>
      </c>
    </row>
    <row r="14" spans="1:5" ht="10" customHeight="1" x14ac:dyDescent="0.2">
      <c r="A14" s="16" t="s">
        <v>8480</v>
      </c>
      <c r="B14" s="20" t="s">
        <v>8481</v>
      </c>
      <c r="C14" s="13">
        <v>487000</v>
      </c>
      <c r="D14" s="20" t="s">
        <v>8482</v>
      </c>
    </row>
    <row r="15" spans="1:5" ht="10" customHeight="1" x14ac:dyDescent="0.2">
      <c r="A15" s="16" t="s">
        <v>8483</v>
      </c>
      <c r="B15" s="20" t="s">
        <v>8474</v>
      </c>
      <c r="C15" s="13">
        <v>300000</v>
      </c>
      <c r="D15" s="20" t="s">
        <v>8484</v>
      </c>
    </row>
    <row r="16" spans="1:5" ht="10" customHeight="1" x14ac:dyDescent="0.2">
      <c r="A16" s="16" t="s">
        <v>8485</v>
      </c>
      <c r="B16" s="20" t="s">
        <v>8474</v>
      </c>
      <c r="C16" s="13">
        <v>300000</v>
      </c>
      <c r="D16" s="20" t="s">
        <v>8486</v>
      </c>
    </row>
    <row r="17" spans="1:5" ht="10" customHeight="1" x14ac:dyDescent="0.2">
      <c r="A17" s="16" t="s">
        <v>8487</v>
      </c>
      <c r="B17" s="20" t="s">
        <v>8488</v>
      </c>
      <c r="C17" s="13">
        <v>242000</v>
      </c>
      <c r="D17" s="20" t="s">
        <v>8489</v>
      </c>
    </row>
    <row r="18" spans="1:5" ht="10" customHeight="1" x14ac:dyDescent="0.2">
      <c r="A18" s="16" t="s">
        <v>8490</v>
      </c>
      <c r="B18" s="20" t="s">
        <v>8474</v>
      </c>
      <c r="C18" s="13">
        <v>235000</v>
      </c>
      <c r="D18" s="20" t="s">
        <v>8491</v>
      </c>
    </row>
    <row r="19" spans="1:5" ht="10" customHeight="1" x14ac:dyDescent="0.2">
      <c r="A19" s="16" t="s">
        <v>8492</v>
      </c>
      <c r="B19" s="20" t="s">
        <v>8465</v>
      </c>
      <c r="C19" s="13">
        <v>210000</v>
      </c>
      <c r="D19" s="20" t="s">
        <v>8493</v>
      </c>
    </row>
    <row r="20" spans="1:5" ht="10" customHeight="1" x14ac:dyDescent="0.2">
      <c r="A20" s="16" t="s">
        <v>8494</v>
      </c>
      <c r="B20" s="20" t="s">
        <v>8494</v>
      </c>
      <c r="C20" s="13">
        <v>200000</v>
      </c>
      <c r="D20" s="20" t="s">
        <v>8495</v>
      </c>
    </row>
    <row r="21" spans="1:5" ht="10" customHeight="1" x14ac:dyDescent="0.2">
      <c r="A21" s="16" t="s">
        <v>8496</v>
      </c>
      <c r="B21" s="20" t="s">
        <v>8474</v>
      </c>
      <c r="C21" s="13">
        <v>200000</v>
      </c>
      <c r="D21" s="20" t="s">
        <v>8497</v>
      </c>
    </row>
    <row r="22" spans="1:5" ht="10" customHeight="1" x14ac:dyDescent="0.2">
      <c r="A22" s="16" t="s">
        <v>8498</v>
      </c>
      <c r="B22" s="20" t="s">
        <v>8499</v>
      </c>
      <c r="C22" s="13">
        <v>116000</v>
      </c>
      <c r="D22" s="20" t="s">
        <v>8500</v>
      </c>
    </row>
    <row r="23" spans="1:5" ht="10" customHeight="1" x14ac:dyDescent="0.2">
      <c r="A23" s="16" t="s">
        <v>8501</v>
      </c>
      <c r="B23" s="20" t="s">
        <v>8502</v>
      </c>
      <c r="C23" s="13">
        <v>68000</v>
      </c>
      <c r="D23" s="20" t="s">
        <v>8503</v>
      </c>
    </row>
    <row r="24" spans="1:5" ht="10" customHeight="1" x14ac:dyDescent="0.2">
      <c r="A24" s="16" t="s">
        <v>8504</v>
      </c>
      <c r="B24" s="20" t="s">
        <v>8505</v>
      </c>
      <c r="C24" s="13">
        <v>60000</v>
      </c>
      <c r="D24" s="20" t="s">
        <v>8506</v>
      </c>
    </row>
    <row r="25" spans="1:5" ht="10" customHeight="1" x14ac:dyDescent="0.2">
      <c r="A25" s="21" t="s">
        <v>8507</v>
      </c>
      <c r="B25" s="23"/>
      <c r="C25" s="22">
        <f>SUM(C6:C24)</f>
        <v>55218000</v>
      </c>
      <c r="D25" s="23"/>
    </row>
    <row r="26" spans="1:5" ht="10" customHeight="1" x14ac:dyDescent="0.2"/>
    <row r="27" spans="1:5" ht="10" customHeight="1" x14ac:dyDescent="0.2"/>
    <row r="28" spans="1:5" ht="10" customHeight="1" x14ac:dyDescent="0.2">
      <c r="A28" s="6" t="s">
        <v>8508</v>
      </c>
      <c r="B28" s="7"/>
      <c r="C28" s="7"/>
      <c r="D28" s="7"/>
      <c r="E28" s="7"/>
    </row>
    <row r="29" spans="1:5" ht="10" customHeight="1" x14ac:dyDescent="0.2">
      <c r="A29" s="15" t="s">
        <v>8509</v>
      </c>
      <c r="B29" s="15" t="s">
        <v>8510</v>
      </c>
      <c r="C29" s="15" t="s">
        <v>8511</v>
      </c>
      <c r="D29" s="15" t="s">
        <v>8512</v>
      </c>
      <c r="E29" s="15" t="s">
        <v>8513</v>
      </c>
    </row>
    <row r="30" spans="1:5" ht="10" customHeight="1" x14ac:dyDescent="0.2">
      <c r="A30" s="16" t="s">
        <v>8514</v>
      </c>
      <c r="B30" s="13">
        <v>2487000</v>
      </c>
      <c r="C30" s="13">
        <v>2</v>
      </c>
      <c r="D30" s="13">
        <v>1</v>
      </c>
      <c r="E30" s="20" t="s">
        <v>8515</v>
      </c>
    </row>
    <row r="31" spans="1:5" ht="10" customHeight="1" x14ac:dyDescent="0.2">
      <c r="A31" s="16" t="s">
        <v>8516</v>
      </c>
      <c r="B31" s="13">
        <v>516000</v>
      </c>
      <c r="C31" s="13">
        <v>22</v>
      </c>
      <c r="D31" s="13">
        <v>20</v>
      </c>
      <c r="E31" s="20" t="s">
        <v>8517</v>
      </c>
    </row>
    <row r="32" spans="1:5" ht="10" customHeight="1" x14ac:dyDescent="0.2">
      <c r="A32" s="16" t="s">
        <v>8518</v>
      </c>
      <c r="B32" s="13">
        <v>432000</v>
      </c>
      <c r="C32" s="13">
        <v>23</v>
      </c>
      <c r="D32" s="13">
        <v>14</v>
      </c>
      <c r="E32" s="20" t="s">
        <v>8519</v>
      </c>
    </row>
    <row r="33" spans="1:5" ht="10" customHeight="1" x14ac:dyDescent="0.2">
      <c r="A33" s="16" t="s">
        <v>8520</v>
      </c>
      <c r="B33" s="13">
        <v>378000</v>
      </c>
      <c r="C33" s="13">
        <v>4</v>
      </c>
      <c r="D33" s="13">
        <v>4</v>
      </c>
      <c r="E33" s="20" t="s">
        <v>8521</v>
      </c>
    </row>
    <row r="34" spans="1:5" ht="10" customHeight="1" x14ac:dyDescent="0.2">
      <c r="A34" s="16" t="s">
        <v>8522</v>
      </c>
      <c r="B34" s="13">
        <v>313000</v>
      </c>
      <c r="C34" s="13">
        <v>25</v>
      </c>
      <c r="D34" s="13">
        <v>25</v>
      </c>
      <c r="E34" s="20" t="s">
        <v>8523</v>
      </c>
    </row>
    <row r="35" spans="1:5" ht="10" customHeight="1" x14ac:dyDescent="0.2">
      <c r="A35" s="16" t="s">
        <v>8524</v>
      </c>
      <c r="B35" s="13">
        <v>217000</v>
      </c>
      <c r="C35" s="13">
        <v>10</v>
      </c>
      <c r="D35" s="13">
        <v>8</v>
      </c>
      <c r="E35" s="20" t="s">
        <v>8525</v>
      </c>
    </row>
    <row r="36" spans="1:5" ht="10" customHeight="1" x14ac:dyDescent="0.2">
      <c r="A36" s="16" t="s">
        <v>8526</v>
      </c>
      <c r="B36" s="13">
        <v>215000</v>
      </c>
      <c r="C36" s="13">
        <v>10</v>
      </c>
      <c r="D36" s="13">
        <v>9</v>
      </c>
      <c r="E36" s="20" t="s">
        <v>8527</v>
      </c>
    </row>
    <row r="37" spans="1:5" ht="10" customHeight="1" x14ac:dyDescent="0.2">
      <c r="A37" s="16" t="s">
        <v>8528</v>
      </c>
      <c r="B37" s="13">
        <v>204000</v>
      </c>
      <c r="C37" s="13">
        <v>28</v>
      </c>
      <c r="D37" s="13">
        <v>28</v>
      </c>
      <c r="E37" s="20" t="s">
        <v>8529</v>
      </c>
    </row>
    <row r="38" spans="1:5" ht="10" customHeight="1" x14ac:dyDescent="0.2">
      <c r="A38" s="16" t="s">
        <v>8530</v>
      </c>
      <c r="B38" s="13">
        <v>203000</v>
      </c>
      <c r="C38" s="13">
        <v>53</v>
      </c>
      <c r="D38" s="13">
        <v>45</v>
      </c>
      <c r="E38" s="20" t="s">
        <v>8531</v>
      </c>
    </row>
    <row r="39" spans="1:5" ht="10" customHeight="1" x14ac:dyDescent="0.2">
      <c r="A39" s="16" t="s">
        <v>8532</v>
      </c>
      <c r="B39" s="13">
        <v>172000</v>
      </c>
      <c r="C39" s="13">
        <v>31</v>
      </c>
      <c r="D39" s="13">
        <v>24</v>
      </c>
      <c r="E39" s="20" t="s">
        <v>8533</v>
      </c>
    </row>
    <row r="40" spans="1:5" ht="10" customHeight="1" x14ac:dyDescent="0.2">
      <c r="A40" s="16" t="s">
        <v>8534</v>
      </c>
      <c r="B40" s="13">
        <v>166000</v>
      </c>
      <c r="C40" s="13">
        <v>16</v>
      </c>
      <c r="D40" s="13">
        <v>14</v>
      </c>
      <c r="E40" s="20" t="s">
        <v>8535</v>
      </c>
    </row>
    <row r="41" spans="1:5" ht="10" customHeight="1" x14ac:dyDescent="0.2">
      <c r="A41" s="16" t="s">
        <v>8536</v>
      </c>
      <c r="B41" s="13">
        <v>161000</v>
      </c>
      <c r="C41" s="13">
        <v>25</v>
      </c>
      <c r="D41" s="13">
        <v>18</v>
      </c>
      <c r="E41" s="20" t="s">
        <v>8537</v>
      </c>
    </row>
    <row r="42" spans="1:5" ht="10" customHeight="1" x14ac:dyDescent="0.2">
      <c r="A42" s="16" t="s">
        <v>8538</v>
      </c>
      <c r="B42" s="13">
        <v>134000</v>
      </c>
      <c r="C42" s="13">
        <v>18</v>
      </c>
      <c r="D42" s="13">
        <v>15</v>
      </c>
      <c r="E42" s="20" t="s">
        <v>8539</v>
      </c>
    </row>
    <row r="43" spans="1:5" ht="10" customHeight="1" x14ac:dyDescent="0.2">
      <c r="A43" s="16" t="s">
        <v>8540</v>
      </c>
      <c r="B43" s="13">
        <v>108000</v>
      </c>
      <c r="C43" s="13">
        <v>2</v>
      </c>
      <c r="D43" s="13">
        <v>2</v>
      </c>
      <c r="E43" s="20" t="s">
        <v>8541</v>
      </c>
    </row>
    <row r="44" spans="1:5" ht="10" customHeight="1" x14ac:dyDescent="0.2">
      <c r="A44" s="16" t="s">
        <v>8542</v>
      </c>
      <c r="B44" s="13">
        <v>98000</v>
      </c>
      <c r="C44" s="13">
        <v>1</v>
      </c>
      <c r="D44" s="13">
        <v>1</v>
      </c>
      <c r="E44" s="20" t="s">
        <v>8543</v>
      </c>
    </row>
    <row r="45" spans="1:5" ht="10" customHeight="1" x14ac:dyDescent="0.2">
      <c r="A45" s="16" t="s">
        <v>8544</v>
      </c>
      <c r="B45" s="13">
        <v>93000</v>
      </c>
      <c r="C45" s="13">
        <v>9</v>
      </c>
      <c r="D45" s="13">
        <v>9</v>
      </c>
      <c r="E45" s="20" t="s">
        <v>8545</v>
      </c>
    </row>
    <row r="46" spans="1:5" ht="10" customHeight="1" x14ac:dyDescent="0.2">
      <c r="A46" s="16" t="s">
        <v>8546</v>
      </c>
      <c r="B46" s="13">
        <v>88000</v>
      </c>
      <c r="C46" s="13">
        <v>12</v>
      </c>
      <c r="D46" s="13">
        <v>12</v>
      </c>
      <c r="E46" s="20" t="s">
        <v>8547</v>
      </c>
    </row>
    <row r="47" spans="1:5" ht="10" customHeight="1" x14ac:dyDescent="0.2">
      <c r="A47" s="16" t="s">
        <v>8548</v>
      </c>
      <c r="B47" s="13">
        <v>77000</v>
      </c>
      <c r="C47" s="13">
        <v>29</v>
      </c>
      <c r="D47" s="13">
        <v>29</v>
      </c>
      <c r="E47" s="20" t="s">
        <v>8549</v>
      </c>
    </row>
    <row r="48" spans="1:5" ht="10" customHeight="1" x14ac:dyDescent="0.2">
      <c r="A48" s="16" t="s">
        <v>8550</v>
      </c>
      <c r="B48" s="13">
        <v>71000</v>
      </c>
      <c r="C48" s="13">
        <v>12</v>
      </c>
      <c r="D48" s="13">
        <v>12</v>
      </c>
      <c r="E48" s="20" t="s">
        <v>8551</v>
      </c>
    </row>
    <row r="49" spans="1:5" ht="10" customHeight="1" x14ac:dyDescent="0.2">
      <c r="A49" s="16" t="s">
        <v>8552</v>
      </c>
      <c r="B49" s="13">
        <v>64000</v>
      </c>
      <c r="C49" s="13">
        <v>7</v>
      </c>
      <c r="D49" s="13">
        <v>7</v>
      </c>
      <c r="E49" s="20" t="s">
        <v>8553</v>
      </c>
    </row>
    <row r="50" spans="1:5" ht="10" customHeight="1" x14ac:dyDescent="0.2">
      <c r="A50" s="21" t="s">
        <v>8554</v>
      </c>
      <c r="B50" s="22">
        <f>SUM(B30:B49)</f>
        <v>6197000</v>
      </c>
      <c r="C50" s="23"/>
      <c r="D50" s="23"/>
      <c r="E50" s="23"/>
    </row>
    <row r="51" spans="1:5" ht="10" customHeight="1" x14ac:dyDescent="0.2"/>
    <row r="52" spans="1:5" ht="10" customHeight="1" x14ac:dyDescent="0.2"/>
    <row r="53" spans="1:5" ht="10" customHeight="1" x14ac:dyDescent="0.2">
      <c r="A53" s="6" t="s">
        <v>8555</v>
      </c>
      <c r="B53" s="7"/>
      <c r="C53" s="7"/>
      <c r="D53" s="7"/>
      <c r="E53" s="7"/>
    </row>
    <row r="54" spans="1:5" ht="10" customHeight="1" x14ac:dyDescent="0.2">
      <c r="A54" s="15" t="s">
        <v>8556</v>
      </c>
      <c r="B54" s="15" t="s">
        <v>8557</v>
      </c>
      <c r="C54" s="15" t="s">
        <v>8558</v>
      </c>
      <c r="D54" s="15" t="s">
        <v>8559</v>
      </c>
      <c r="E54" s="15" t="s">
        <v>8560</v>
      </c>
    </row>
    <row r="55" spans="1:5" ht="10" customHeight="1" x14ac:dyDescent="0.2">
      <c r="A55" s="16" t="s">
        <v>8561</v>
      </c>
      <c r="B55" s="13">
        <v>530000</v>
      </c>
      <c r="C55" s="20" t="s">
        <v>8562</v>
      </c>
      <c r="D55" s="20" t="s">
        <v>8563</v>
      </c>
      <c r="E55" s="20" t="s">
        <v>8564</v>
      </c>
    </row>
    <row r="56" spans="1:5" ht="10" customHeight="1" x14ac:dyDescent="0.2">
      <c r="A56" s="16" t="s">
        <v>8565</v>
      </c>
      <c r="B56" s="13">
        <v>1220000</v>
      </c>
      <c r="C56" s="20" t="s">
        <v>8566</v>
      </c>
      <c r="D56" s="20" t="s">
        <v>8567</v>
      </c>
      <c r="E56" s="20" t="s">
        <v>8568</v>
      </c>
    </row>
    <row r="57" spans="1:5" ht="10" customHeight="1" x14ac:dyDescent="0.2">
      <c r="A57" s="16" t="s">
        <v>8569</v>
      </c>
      <c r="B57" s="13">
        <v>560000</v>
      </c>
      <c r="C57" s="20" t="s">
        <v>8570</v>
      </c>
      <c r="D57" s="20" t="s">
        <v>8571</v>
      </c>
      <c r="E57" s="20" t="s">
        <v>8572</v>
      </c>
    </row>
    <row r="58" spans="1:5" ht="10" customHeight="1" x14ac:dyDescent="0.2">
      <c r="A58" s="16" t="s">
        <v>8573</v>
      </c>
      <c r="B58" s="13">
        <v>2910000</v>
      </c>
      <c r="C58" s="20" t="s">
        <v>8574</v>
      </c>
      <c r="D58" s="20" t="s">
        <v>8575</v>
      </c>
      <c r="E58" s="20" t="s">
        <v>8576</v>
      </c>
    </row>
    <row r="59" spans="1:5" ht="10" customHeight="1" x14ac:dyDescent="0.2">
      <c r="A59" s="16" t="s">
        <v>6433</v>
      </c>
      <c r="B59" s="13">
        <v>1230000</v>
      </c>
      <c r="C59" s="20" t="s">
        <v>8577</v>
      </c>
      <c r="D59" s="20" t="s">
        <v>8578</v>
      </c>
      <c r="E59" s="20" t="s">
        <v>8579</v>
      </c>
    </row>
    <row r="60" spans="1:5" ht="10" customHeight="1" x14ac:dyDescent="0.2">
      <c r="A60" s="16" t="s">
        <v>8580</v>
      </c>
      <c r="B60" s="13">
        <v>340000</v>
      </c>
      <c r="C60" s="20" t="s">
        <v>8581</v>
      </c>
      <c r="D60" s="20" t="s">
        <v>8571</v>
      </c>
      <c r="E60" s="20" t="s">
        <v>8582</v>
      </c>
    </row>
    <row r="61" spans="1:5" ht="10" customHeight="1" x14ac:dyDescent="0.2">
      <c r="A61" s="16" t="s">
        <v>8583</v>
      </c>
      <c r="B61" s="13">
        <v>340000</v>
      </c>
      <c r="C61" s="20" t="s">
        <v>8584</v>
      </c>
      <c r="D61" s="20" t="s">
        <v>8585</v>
      </c>
      <c r="E61" s="20" t="s">
        <v>8586</v>
      </c>
    </row>
    <row r="62" spans="1:5" ht="10" customHeight="1" x14ac:dyDescent="0.2">
      <c r="A62" s="16" t="s">
        <v>8587</v>
      </c>
      <c r="B62" s="13">
        <v>930000</v>
      </c>
      <c r="C62" s="20" t="s">
        <v>8588</v>
      </c>
      <c r="D62" s="20" t="s">
        <v>8589</v>
      </c>
      <c r="E62" s="20" t="s">
        <v>8590</v>
      </c>
    </row>
    <row r="63" spans="1:5" ht="10" customHeight="1" x14ac:dyDescent="0.2">
      <c r="A63" s="16" t="s">
        <v>6073</v>
      </c>
      <c r="B63" s="13">
        <v>130000</v>
      </c>
      <c r="C63" s="20" t="s">
        <v>8591</v>
      </c>
      <c r="D63" s="20" t="s">
        <v>8592</v>
      </c>
      <c r="E63" s="20" t="s">
        <v>8474</v>
      </c>
    </row>
    <row r="64" spans="1:5" ht="10" customHeight="1" x14ac:dyDescent="0.2">
      <c r="A64" s="16" t="s">
        <v>8593</v>
      </c>
      <c r="B64" s="13">
        <v>30000</v>
      </c>
      <c r="C64" s="20" t="s">
        <v>8594</v>
      </c>
      <c r="D64" s="20" t="s">
        <v>8595</v>
      </c>
      <c r="E64" s="20" t="s">
        <v>8474</v>
      </c>
    </row>
    <row r="65" spans="1:5" ht="10" customHeight="1" x14ac:dyDescent="0.2">
      <c r="A65" s="16" t="s">
        <v>8596</v>
      </c>
      <c r="B65" s="13">
        <v>40000</v>
      </c>
      <c r="C65" s="20" t="s">
        <v>8597</v>
      </c>
      <c r="D65" s="20" t="s">
        <v>8598</v>
      </c>
      <c r="E65" s="20" t="s">
        <v>8474</v>
      </c>
    </row>
    <row r="66" spans="1:5" ht="10" customHeight="1" x14ac:dyDescent="0.2">
      <c r="A66" s="16" t="s">
        <v>8599</v>
      </c>
      <c r="B66" s="13">
        <v>60000</v>
      </c>
      <c r="C66" s="20" t="s">
        <v>8600</v>
      </c>
      <c r="D66" s="20" t="s">
        <v>8601</v>
      </c>
      <c r="E66" s="20" t="s">
        <v>8474</v>
      </c>
    </row>
    <row r="67" spans="1:5" ht="10" customHeight="1" x14ac:dyDescent="0.2">
      <c r="A67" s="16" t="s">
        <v>7064</v>
      </c>
      <c r="B67" s="13">
        <v>150000</v>
      </c>
      <c r="C67" s="20" t="s">
        <v>8602</v>
      </c>
      <c r="D67" s="20" t="s">
        <v>8603</v>
      </c>
      <c r="E67" s="20" t="s">
        <v>8474</v>
      </c>
    </row>
    <row r="68" spans="1:5" ht="10" customHeight="1" x14ac:dyDescent="0.2">
      <c r="A68" s="16" t="s">
        <v>8604</v>
      </c>
      <c r="B68" s="13">
        <v>30000</v>
      </c>
      <c r="C68" s="20" t="s">
        <v>8605</v>
      </c>
      <c r="D68" s="20" t="s">
        <v>8606</v>
      </c>
      <c r="E68" s="20" t="s">
        <v>8474</v>
      </c>
    </row>
    <row r="69" spans="1:5" ht="10" customHeight="1" x14ac:dyDescent="0.2">
      <c r="A69" s="16" t="s">
        <v>8607</v>
      </c>
      <c r="B69" s="13">
        <v>1500000</v>
      </c>
      <c r="C69" s="20" t="s">
        <v>8608</v>
      </c>
      <c r="D69" s="20" t="s">
        <v>8609</v>
      </c>
      <c r="E69" s="20" t="s">
        <v>8610</v>
      </c>
    </row>
    <row r="70" spans="1:5" ht="10" customHeight="1" x14ac:dyDescent="0.2">
      <c r="A70" s="21" t="s">
        <v>8327</v>
      </c>
      <c r="B70" s="22">
        <f>SUM(B55:B69)</f>
        <v>10000000</v>
      </c>
      <c r="C70" s="23"/>
      <c r="D70" s="23"/>
      <c r="E70" s="23"/>
    </row>
    <row r="71" spans="1:5" ht="10" customHeight="1" x14ac:dyDescent="0.2"/>
    <row r="72" spans="1:5" ht="10" customHeight="1" x14ac:dyDescent="0.2"/>
    <row r="73" spans="1:5" ht="10" customHeight="1" x14ac:dyDescent="0.2">
      <c r="A73" s="6" t="s">
        <v>8611</v>
      </c>
      <c r="B73" s="7"/>
      <c r="C73" s="7"/>
    </row>
    <row r="74" spans="1:5" ht="10" customHeight="1" x14ac:dyDescent="0.2"/>
    <row r="75" spans="1:5" ht="10" customHeight="1" x14ac:dyDescent="0.2">
      <c r="A75" s="35" t="s">
        <v>4909</v>
      </c>
      <c r="B75" s="28"/>
      <c r="C75" s="28"/>
    </row>
    <row r="76" spans="1:5" ht="10" customHeight="1" x14ac:dyDescent="0.2">
      <c r="A76" s="15" t="s">
        <v>8612</v>
      </c>
      <c r="B76" s="15" t="s">
        <v>8613</v>
      </c>
      <c r="C76" s="15" t="s">
        <v>8614</v>
      </c>
    </row>
    <row r="77" spans="1:5" ht="10" customHeight="1" x14ac:dyDescent="0.2">
      <c r="A77" s="16" t="s">
        <v>8615</v>
      </c>
      <c r="B77" s="13">
        <v>346443</v>
      </c>
      <c r="C77" s="20" t="s">
        <v>8616</v>
      </c>
    </row>
    <row r="78" spans="1:5" ht="10" customHeight="1" x14ac:dyDescent="0.2">
      <c r="A78" s="16" t="s">
        <v>8617</v>
      </c>
      <c r="B78" s="13">
        <v>631859</v>
      </c>
      <c r="C78" s="20" t="s">
        <v>8618</v>
      </c>
    </row>
    <row r="79" spans="1:5" ht="10" customHeight="1" x14ac:dyDescent="0.2">
      <c r="A79" s="16" t="s">
        <v>8619</v>
      </c>
      <c r="B79" s="13">
        <v>123384</v>
      </c>
      <c r="C79" s="20" t="s">
        <v>8620</v>
      </c>
    </row>
    <row r="80" spans="1:5" ht="10" customHeight="1" x14ac:dyDescent="0.2">
      <c r="A80" s="21" t="s">
        <v>8621</v>
      </c>
      <c r="B80" s="22">
        <f>SUM(B77:B79)</f>
        <v>1101686</v>
      </c>
      <c r="C80" s="23"/>
    </row>
    <row r="81" spans="1:3" ht="10" customHeight="1" x14ac:dyDescent="0.2"/>
    <row r="82" spans="1:3" ht="10" customHeight="1" x14ac:dyDescent="0.2">
      <c r="A82" s="35" t="s">
        <v>150</v>
      </c>
      <c r="B82" s="28"/>
      <c r="C82" s="28"/>
    </row>
    <row r="83" spans="1:3" ht="10" customHeight="1" x14ac:dyDescent="0.2">
      <c r="A83" s="15" t="s">
        <v>8612</v>
      </c>
      <c r="B83" s="15" t="s">
        <v>8613</v>
      </c>
      <c r="C83" s="15" t="s">
        <v>8614</v>
      </c>
    </row>
    <row r="84" spans="1:3" ht="10" customHeight="1" x14ac:dyDescent="0.2">
      <c r="A84" s="16" t="s">
        <v>8622</v>
      </c>
      <c r="B84" s="13">
        <v>835037</v>
      </c>
      <c r="C84" s="20" t="s">
        <v>8623</v>
      </c>
    </row>
    <row r="85" spans="1:3" ht="10" customHeight="1" x14ac:dyDescent="0.2">
      <c r="A85" s="16" t="s">
        <v>8624</v>
      </c>
      <c r="B85" s="13">
        <v>275000</v>
      </c>
      <c r="C85" s="20" t="s">
        <v>8625</v>
      </c>
    </row>
    <row r="86" spans="1:3" ht="10" customHeight="1" x14ac:dyDescent="0.2">
      <c r="A86" s="16" t="s">
        <v>8626</v>
      </c>
      <c r="B86" s="13">
        <v>149595</v>
      </c>
      <c r="C86" s="20" t="s">
        <v>8627</v>
      </c>
    </row>
    <row r="87" spans="1:3" ht="10" customHeight="1" x14ac:dyDescent="0.2">
      <c r="A87" s="16" t="s">
        <v>8628</v>
      </c>
      <c r="B87" s="13">
        <v>125542</v>
      </c>
      <c r="C87" s="20" t="s">
        <v>8629</v>
      </c>
    </row>
    <row r="88" spans="1:3" ht="10" customHeight="1" x14ac:dyDescent="0.2">
      <c r="A88" s="21" t="s">
        <v>8406</v>
      </c>
      <c r="B88" s="22">
        <f>SUM(B84:B87)</f>
        <v>1385174</v>
      </c>
      <c r="C88" s="23"/>
    </row>
    <row r="89" spans="1:3" ht="10" customHeight="1" x14ac:dyDescent="0.2"/>
    <row r="90" spans="1:3" ht="10" customHeight="1" x14ac:dyDescent="0.2">
      <c r="A90" s="35" t="s">
        <v>4903</v>
      </c>
      <c r="B90" s="28"/>
      <c r="C90" s="28"/>
    </row>
    <row r="91" spans="1:3" ht="10" customHeight="1" x14ac:dyDescent="0.2">
      <c r="A91" s="15" t="s">
        <v>8612</v>
      </c>
      <c r="B91" s="15" t="s">
        <v>8613</v>
      </c>
      <c r="C91" s="15" t="s">
        <v>8614</v>
      </c>
    </row>
    <row r="92" spans="1:3" ht="10" customHeight="1" x14ac:dyDescent="0.2">
      <c r="A92" s="16" t="s">
        <v>8630</v>
      </c>
      <c r="B92" s="13">
        <v>94421</v>
      </c>
      <c r="C92" s="20" t="s">
        <v>8631</v>
      </c>
    </row>
    <row r="93" spans="1:3" ht="10" customHeight="1" x14ac:dyDescent="0.2">
      <c r="A93" s="16" t="s">
        <v>8632</v>
      </c>
      <c r="B93" s="13">
        <v>25931</v>
      </c>
      <c r="C93" s="20" t="s">
        <v>8633</v>
      </c>
    </row>
    <row r="94" spans="1:3" ht="10" customHeight="1" x14ac:dyDescent="0.2">
      <c r="A94" s="21" t="s">
        <v>8634</v>
      </c>
      <c r="B94" s="22">
        <f>SUM(B92:B93)</f>
        <v>120352</v>
      </c>
      <c r="C94" s="23"/>
    </row>
    <row r="95" spans="1:3" ht="10" customHeight="1" x14ac:dyDescent="0.2"/>
    <row r="96" spans="1:3" ht="10" customHeight="1" x14ac:dyDescent="0.2">
      <c r="A96" s="35" t="s">
        <v>168</v>
      </c>
      <c r="B96" s="28"/>
      <c r="C96" s="28"/>
    </row>
    <row r="97" spans="1:3" ht="10" customHeight="1" x14ac:dyDescent="0.2">
      <c r="A97" s="15" t="s">
        <v>8612</v>
      </c>
      <c r="B97" s="15" t="s">
        <v>8613</v>
      </c>
      <c r="C97" s="15" t="s">
        <v>8614</v>
      </c>
    </row>
    <row r="98" spans="1:3" ht="10" customHeight="1" x14ac:dyDescent="0.2">
      <c r="A98" s="16" t="s">
        <v>8635</v>
      </c>
      <c r="B98" s="13">
        <v>634963</v>
      </c>
      <c r="C98" s="20" t="s">
        <v>8636</v>
      </c>
    </row>
    <row r="99" spans="1:3" ht="10" customHeight="1" x14ac:dyDescent="0.2">
      <c r="A99" s="16" t="s">
        <v>8637</v>
      </c>
      <c r="B99" s="13">
        <v>45012</v>
      </c>
      <c r="C99" s="20" t="s">
        <v>8638</v>
      </c>
    </row>
    <row r="100" spans="1:3" ht="10" customHeight="1" x14ac:dyDescent="0.2">
      <c r="A100" s="21" t="s">
        <v>8404</v>
      </c>
      <c r="B100" s="22">
        <f>SUM(B98:B99)</f>
        <v>679975</v>
      </c>
      <c r="C100" s="23"/>
    </row>
    <row r="101" spans="1:3" ht="10" customHeight="1" x14ac:dyDescent="0.2"/>
    <row r="102" spans="1:3" ht="10" customHeight="1" x14ac:dyDescent="0.2">
      <c r="A102" s="35" t="s">
        <v>120</v>
      </c>
      <c r="B102" s="28"/>
      <c r="C102" s="28"/>
    </row>
    <row r="103" spans="1:3" ht="10" customHeight="1" x14ac:dyDescent="0.2">
      <c r="A103" s="15" t="s">
        <v>8612</v>
      </c>
      <c r="B103" s="15" t="s">
        <v>8613</v>
      </c>
      <c r="C103" s="15" t="s">
        <v>8614</v>
      </c>
    </row>
    <row r="104" spans="1:3" ht="10" customHeight="1" x14ac:dyDescent="0.2">
      <c r="A104" s="16" t="s">
        <v>8639</v>
      </c>
      <c r="B104" s="13">
        <v>5410773</v>
      </c>
      <c r="C104" s="20" t="s">
        <v>8640</v>
      </c>
    </row>
    <row r="105" spans="1:3" ht="10" customHeight="1" x14ac:dyDescent="0.2">
      <c r="A105" s="16" t="s">
        <v>8641</v>
      </c>
      <c r="B105" s="13">
        <v>1750000</v>
      </c>
      <c r="C105" s="20" t="s">
        <v>8642</v>
      </c>
    </row>
    <row r="106" spans="1:3" ht="10" customHeight="1" x14ac:dyDescent="0.2">
      <c r="A106" s="16" t="s">
        <v>8643</v>
      </c>
      <c r="B106" s="13">
        <v>52358</v>
      </c>
      <c r="C106" s="20" t="s">
        <v>8644</v>
      </c>
    </row>
    <row r="107" spans="1:3" ht="10" customHeight="1" x14ac:dyDescent="0.2">
      <c r="A107" s="16" t="s">
        <v>8645</v>
      </c>
      <c r="B107" s="13">
        <v>952000</v>
      </c>
      <c r="C107" s="20" t="s">
        <v>8646</v>
      </c>
    </row>
    <row r="108" spans="1:3" ht="10" customHeight="1" x14ac:dyDescent="0.2">
      <c r="A108" s="16" t="s">
        <v>8647</v>
      </c>
      <c r="B108" s="13">
        <v>1282612</v>
      </c>
      <c r="C108" s="20" t="s">
        <v>8648</v>
      </c>
    </row>
    <row r="109" spans="1:3" ht="10" customHeight="1" x14ac:dyDescent="0.2">
      <c r="A109" s="16" t="s">
        <v>8649</v>
      </c>
      <c r="B109" s="13">
        <v>1008875</v>
      </c>
      <c r="C109" s="20" t="s">
        <v>8650</v>
      </c>
    </row>
    <row r="110" spans="1:3" ht="10" customHeight="1" x14ac:dyDescent="0.2">
      <c r="A110" s="16" t="s">
        <v>8651</v>
      </c>
      <c r="B110" s="13">
        <v>878787</v>
      </c>
      <c r="C110" s="20" t="s">
        <v>8652</v>
      </c>
    </row>
    <row r="111" spans="1:3" ht="10" customHeight="1" x14ac:dyDescent="0.2">
      <c r="A111" s="16" t="s">
        <v>8653</v>
      </c>
      <c r="B111" s="13">
        <v>128513</v>
      </c>
      <c r="C111" s="20" t="s">
        <v>8654</v>
      </c>
    </row>
    <row r="112" spans="1:3" ht="10" customHeight="1" x14ac:dyDescent="0.2">
      <c r="A112" s="16" t="s">
        <v>8655</v>
      </c>
      <c r="B112" s="13">
        <v>115267</v>
      </c>
      <c r="C112" s="20" t="s">
        <v>8656</v>
      </c>
    </row>
    <row r="113" spans="1:3" ht="10" customHeight="1" x14ac:dyDescent="0.2">
      <c r="A113" s="21" t="s">
        <v>8403</v>
      </c>
      <c r="B113" s="22">
        <f>SUM(B104:B112)</f>
        <v>11579185</v>
      </c>
      <c r="C113" s="23"/>
    </row>
    <row r="114" spans="1:3" ht="10" customHeight="1" x14ac:dyDescent="0.2"/>
    <row r="115" spans="1:3" ht="10" customHeight="1" x14ac:dyDescent="0.2">
      <c r="A115" s="35" t="s">
        <v>139</v>
      </c>
      <c r="B115" s="28"/>
      <c r="C115" s="28"/>
    </row>
    <row r="116" spans="1:3" ht="10" customHeight="1" x14ac:dyDescent="0.2">
      <c r="A116" s="15" t="s">
        <v>8612</v>
      </c>
      <c r="B116" s="15" t="s">
        <v>8613</v>
      </c>
      <c r="C116" s="15" t="s">
        <v>8614</v>
      </c>
    </row>
    <row r="117" spans="1:3" ht="10" customHeight="1" x14ac:dyDescent="0.2">
      <c r="A117" s="16" t="s">
        <v>8657</v>
      </c>
      <c r="B117" s="13">
        <v>576389</v>
      </c>
      <c r="C117" s="20" t="s">
        <v>8658</v>
      </c>
    </row>
    <row r="118" spans="1:3" ht="10" customHeight="1" x14ac:dyDescent="0.2">
      <c r="A118" s="16" t="s">
        <v>8659</v>
      </c>
      <c r="B118" s="13">
        <v>383361</v>
      </c>
      <c r="C118" s="20" t="s">
        <v>8660</v>
      </c>
    </row>
    <row r="119" spans="1:3" ht="10" customHeight="1" x14ac:dyDescent="0.2">
      <c r="A119" s="16" t="s">
        <v>8661</v>
      </c>
      <c r="B119" s="13">
        <v>189458</v>
      </c>
      <c r="C119" s="20" t="s">
        <v>8662</v>
      </c>
    </row>
    <row r="120" spans="1:3" ht="10" customHeight="1" x14ac:dyDescent="0.2">
      <c r="A120" s="16" t="s">
        <v>8663</v>
      </c>
      <c r="B120" s="13">
        <v>91372</v>
      </c>
      <c r="C120" s="20" t="s">
        <v>8664</v>
      </c>
    </row>
    <row r="121" spans="1:3" ht="10" customHeight="1" x14ac:dyDescent="0.2">
      <c r="A121" s="16" t="s">
        <v>8665</v>
      </c>
      <c r="B121" s="13">
        <v>32238</v>
      </c>
      <c r="C121" s="20" t="s">
        <v>8666</v>
      </c>
    </row>
    <row r="122" spans="1:3" ht="10" customHeight="1" x14ac:dyDescent="0.2">
      <c r="A122" s="21" t="s">
        <v>8667</v>
      </c>
      <c r="B122" s="22">
        <f>SUM(B117:B121)</f>
        <v>1272818</v>
      </c>
      <c r="C122" s="23"/>
    </row>
    <row r="123" spans="1:3" ht="10" customHeight="1" x14ac:dyDescent="0.2"/>
    <row r="124" spans="1:3" ht="10" customHeight="1" x14ac:dyDescent="0.2">
      <c r="A124" s="35" t="s">
        <v>4959</v>
      </c>
      <c r="B124" s="28"/>
      <c r="C124" s="28"/>
    </row>
    <row r="125" spans="1:3" ht="10" customHeight="1" x14ac:dyDescent="0.2">
      <c r="A125" s="15" t="s">
        <v>8612</v>
      </c>
      <c r="B125" s="15" t="s">
        <v>8613</v>
      </c>
      <c r="C125" s="15" t="s">
        <v>8614</v>
      </c>
    </row>
    <row r="126" spans="1:3" ht="10" customHeight="1" x14ac:dyDescent="0.2">
      <c r="A126" s="16" t="s">
        <v>8668</v>
      </c>
      <c r="B126" s="13">
        <v>115501</v>
      </c>
      <c r="C126" s="20" t="s">
        <v>8669</v>
      </c>
    </row>
    <row r="127" spans="1:3" ht="10" customHeight="1" x14ac:dyDescent="0.2">
      <c r="A127" s="16" t="s">
        <v>8670</v>
      </c>
      <c r="B127" s="13">
        <v>44940</v>
      </c>
      <c r="C127" s="20" t="s">
        <v>8671</v>
      </c>
    </row>
    <row r="128" spans="1:3" ht="10" customHeight="1" x14ac:dyDescent="0.2">
      <c r="A128" s="21" t="s">
        <v>8672</v>
      </c>
      <c r="B128" s="22">
        <f>SUM(B126:B127)</f>
        <v>160441</v>
      </c>
      <c r="C128" s="2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06"/>
  <sheetViews>
    <sheetView showGridLines="0" workbookViewId="0"/>
  </sheetViews>
  <sheetFormatPr baseColWidth="10" defaultColWidth="8.83203125" defaultRowHeight="15" x14ac:dyDescent="0.2"/>
  <cols>
    <col min="1" max="1" width="18" customWidth="1"/>
    <col min="2" max="2" width="14" customWidth="1"/>
    <col min="3" max="3" width="24" customWidth="1"/>
    <col min="4" max="4" width="34" customWidth="1"/>
    <col min="6" max="6" width="8.6640625" customWidth="1"/>
    <col min="20" max="20" width="8.6640625" customWidth="1"/>
  </cols>
  <sheetData>
    <row r="1" spans="1:5" ht="10" customHeight="1" x14ac:dyDescent="0.2">
      <c r="A1" s="39" t="s">
        <v>8673</v>
      </c>
      <c r="B1" s="39"/>
      <c r="C1" s="39"/>
      <c r="D1" s="39"/>
      <c r="E1" s="39"/>
    </row>
    <row r="2" spans="1:5" ht="10" customHeight="1" x14ac:dyDescent="0.2">
      <c r="A2" s="40" t="s">
        <v>8674</v>
      </c>
      <c r="B2" s="41"/>
      <c r="C2" s="41"/>
      <c r="D2" s="41"/>
      <c r="E2" s="41"/>
    </row>
    <row r="3" spans="1:5" ht="10" customHeight="1" x14ac:dyDescent="0.2">
      <c r="A3" s="42"/>
      <c r="B3" s="42"/>
      <c r="C3" s="42"/>
      <c r="D3" s="42"/>
      <c r="E3" s="42"/>
    </row>
    <row r="4" spans="1:5" ht="10" customHeight="1" x14ac:dyDescent="0.2">
      <c r="A4" s="43" t="s">
        <v>8675</v>
      </c>
      <c r="B4" s="43" t="s">
        <v>8676</v>
      </c>
      <c r="C4" s="43" t="s">
        <v>8677</v>
      </c>
      <c r="D4" s="43" t="s">
        <v>8678</v>
      </c>
      <c r="E4" s="43" t="s">
        <v>8679</v>
      </c>
    </row>
    <row r="5" spans="1:5" ht="10" customHeight="1" x14ac:dyDescent="0.2">
      <c r="A5" s="42"/>
      <c r="B5" s="42"/>
      <c r="C5" s="42"/>
      <c r="D5" s="42"/>
      <c r="E5" s="42"/>
    </row>
    <row r="6" spans="1:5" ht="10" customHeight="1" x14ac:dyDescent="0.2">
      <c r="A6" s="44" t="s">
        <v>8680</v>
      </c>
      <c r="B6" s="44"/>
      <c r="C6" s="44"/>
      <c r="D6" s="45"/>
      <c r="E6" s="45"/>
    </row>
    <row r="7" spans="1:5" ht="10" customHeight="1" x14ac:dyDescent="0.2">
      <c r="A7" s="46"/>
      <c r="B7" s="46"/>
      <c r="C7" s="46"/>
      <c r="D7" s="46"/>
      <c r="E7" s="46"/>
    </row>
    <row r="8" spans="1:5" ht="10" customHeight="1" x14ac:dyDescent="0.2">
      <c r="A8" s="46" t="s">
        <v>8681</v>
      </c>
      <c r="B8" s="46" t="s">
        <v>8682</v>
      </c>
      <c r="C8" s="46" t="s">
        <v>8683</v>
      </c>
      <c r="D8" s="46" t="s">
        <v>8684</v>
      </c>
      <c r="E8" s="46" t="s">
        <v>8685</v>
      </c>
    </row>
    <row r="9" spans="1:5" ht="10" customHeight="1" x14ac:dyDescent="0.2">
      <c r="A9" s="46" t="s">
        <v>8681</v>
      </c>
      <c r="B9" s="46" t="s">
        <v>8682</v>
      </c>
      <c r="C9" s="46" t="s">
        <v>48</v>
      </c>
      <c r="D9" s="46" t="s">
        <v>8686</v>
      </c>
      <c r="E9" s="46" t="s">
        <v>8687</v>
      </c>
    </row>
    <row r="10" spans="1:5" ht="10" customHeight="1" x14ac:dyDescent="0.2">
      <c r="A10" s="46" t="s">
        <v>8681</v>
      </c>
      <c r="B10" s="46" t="s">
        <v>8682</v>
      </c>
      <c r="C10" s="46" t="s">
        <v>57</v>
      </c>
      <c r="D10" s="46" t="s">
        <v>8688</v>
      </c>
      <c r="E10" s="46" t="s">
        <v>8689</v>
      </c>
    </row>
    <row r="11" spans="1:5" ht="10" customHeight="1" x14ac:dyDescent="0.2">
      <c r="A11" s="46" t="s">
        <v>8681</v>
      </c>
      <c r="B11" s="46" t="s">
        <v>8682</v>
      </c>
      <c r="C11" s="46" t="s">
        <v>349</v>
      </c>
      <c r="D11" s="46" t="s">
        <v>8690</v>
      </c>
      <c r="E11" s="46" t="s">
        <v>8691</v>
      </c>
    </row>
    <row r="12" spans="1:5" ht="10" customHeight="1" x14ac:dyDescent="0.2">
      <c r="A12" s="46" t="s">
        <v>8681</v>
      </c>
      <c r="B12" s="46" t="s">
        <v>8682</v>
      </c>
      <c r="C12" s="46" t="s">
        <v>5135</v>
      </c>
      <c r="D12" s="46" t="s">
        <v>8692</v>
      </c>
      <c r="E12" s="46" t="s">
        <v>8693</v>
      </c>
    </row>
    <row r="13" spans="1:5" ht="10" customHeight="1" x14ac:dyDescent="0.2">
      <c r="A13" s="46" t="s">
        <v>8681</v>
      </c>
      <c r="B13" s="46" t="s">
        <v>8682</v>
      </c>
      <c r="C13" s="46" t="s">
        <v>188</v>
      </c>
      <c r="D13" s="46" t="s">
        <v>8694</v>
      </c>
      <c r="E13" s="46" t="s">
        <v>8695</v>
      </c>
    </row>
    <row r="14" spans="1:5" ht="10" customHeight="1" x14ac:dyDescent="0.2">
      <c r="A14" s="42"/>
      <c r="B14" s="42"/>
      <c r="C14" s="42"/>
      <c r="D14" s="42"/>
      <c r="E14" s="42"/>
    </row>
    <row r="15" spans="1:5" ht="10" customHeight="1" x14ac:dyDescent="0.2">
      <c r="A15" s="44" t="s">
        <v>8696</v>
      </c>
      <c r="B15" s="44"/>
      <c r="C15" s="44"/>
      <c r="D15" s="45"/>
      <c r="E15" s="45"/>
    </row>
    <row r="16" spans="1:5" ht="10" customHeight="1" x14ac:dyDescent="0.2">
      <c r="A16" s="46"/>
      <c r="B16" s="46"/>
      <c r="C16" s="46"/>
      <c r="D16" s="46"/>
      <c r="E16" s="46"/>
    </row>
    <row r="17" spans="1:5" ht="10" customHeight="1" x14ac:dyDescent="0.2">
      <c r="A17" s="46" t="s">
        <v>8697</v>
      </c>
      <c r="B17" s="46" t="s">
        <v>8698</v>
      </c>
      <c r="C17" s="46" t="s">
        <v>8699</v>
      </c>
      <c r="D17" s="46" t="s">
        <v>8700</v>
      </c>
      <c r="E17" s="46" t="s">
        <v>8701</v>
      </c>
    </row>
    <row r="18" spans="1:5" ht="10" customHeight="1" x14ac:dyDescent="0.2">
      <c r="A18" s="46" t="s">
        <v>8697</v>
      </c>
      <c r="B18" s="46" t="s">
        <v>8702</v>
      </c>
      <c r="C18" s="46" t="s">
        <v>8703</v>
      </c>
      <c r="D18" s="46" t="s">
        <v>8704</v>
      </c>
      <c r="E18" s="46"/>
    </row>
    <row r="19" spans="1:5" ht="10" customHeight="1" x14ac:dyDescent="0.2">
      <c r="A19" s="46" t="s">
        <v>8697</v>
      </c>
      <c r="B19" s="46" t="s">
        <v>8702</v>
      </c>
      <c r="C19" s="46" t="s">
        <v>8705</v>
      </c>
      <c r="D19" s="46" t="s">
        <v>8706</v>
      </c>
      <c r="E19" s="46"/>
    </row>
    <row r="20" spans="1:5" ht="10" customHeight="1" x14ac:dyDescent="0.2">
      <c r="A20" s="46" t="s">
        <v>8697</v>
      </c>
      <c r="B20" s="46" t="s">
        <v>8702</v>
      </c>
      <c r="C20" s="46" t="s">
        <v>8707</v>
      </c>
      <c r="D20" s="46" t="s">
        <v>8708</v>
      </c>
      <c r="E20" s="46"/>
    </row>
    <row r="21" spans="1:5" ht="10" customHeight="1" x14ac:dyDescent="0.2">
      <c r="A21" s="42"/>
      <c r="B21" s="42"/>
      <c r="C21" s="42"/>
      <c r="D21" s="42"/>
      <c r="E21" s="42"/>
    </row>
    <row r="22" spans="1:5" ht="10" customHeight="1" x14ac:dyDescent="0.2">
      <c r="A22" s="44" t="s">
        <v>8709</v>
      </c>
      <c r="B22" s="44"/>
      <c r="C22" s="44"/>
      <c r="D22" s="45"/>
      <c r="E22" s="45"/>
    </row>
    <row r="23" spans="1:5" ht="10" customHeight="1" x14ac:dyDescent="0.2">
      <c r="A23" s="46"/>
      <c r="B23" s="46"/>
      <c r="C23" s="46"/>
      <c r="D23" s="46"/>
      <c r="E23" s="46"/>
    </row>
    <row r="24" spans="1:5" ht="10" customHeight="1" x14ac:dyDescent="0.2">
      <c r="A24" s="46" t="s">
        <v>8710</v>
      </c>
      <c r="B24" s="46" t="s">
        <v>8711</v>
      </c>
      <c r="C24" s="46" t="s">
        <v>6259</v>
      </c>
      <c r="D24" s="46" t="s">
        <v>8712</v>
      </c>
      <c r="E24" s="46" t="s">
        <v>8713</v>
      </c>
    </row>
    <row r="25" spans="1:5" ht="10" customHeight="1" x14ac:dyDescent="0.2">
      <c r="A25" s="46" t="s">
        <v>8710</v>
      </c>
      <c r="B25" s="46" t="s">
        <v>8711</v>
      </c>
      <c r="C25" s="46" t="s">
        <v>6263</v>
      </c>
      <c r="D25" s="46" t="s">
        <v>8714</v>
      </c>
      <c r="E25" s="46" t="s">
        <v>8715</v>
      </c>
    </row>
    <row r="26" spans="1:5" ht="10" customHeight="1" x14ac:dyDescent="0.2">
      <c r="A26" s="46" t="s">
        <v>8710</v>
      </c>
      <c r="B26" s="46" t="s">
        <v>8711</v>
      </c>
      <c r="C26" s="46" t="s">
        <v>6267</v>
      </c>
      <c r="D26" s="46" t="s">
        <v>8716</v>
      </c>
      <c r="E26" s="46" t="s">
        <v>8717</v>
      </c>
    </row>
    <row r="27" spans="1:5" ht="10" customHeight="1" x14ac:dyDescent="0.2">
      <c r="A27" s="46" t="s">
        <v>8710</v>
      </c>
      <c r="B27" s="46" t="s">
        <v>8711</v>
      </c>
      <c r="C27" s="46" t="s">
        <v>6271</v>
      </c>
      <c r="D27" s="46" t="s">
        <v>8718</v>
      </c>
      <c r="E27" s="46" t="s">
        <v>8719</v>
      </c>
    </row>
    <row r="28" spans="1:5" ht="10" customHeight="1" x14ac:dyDescent="0.2">
      <c r="A28" s="46" t="s">
        <v>8710</v>
      </c>
      <c r="B28" s="46" t="s">
        <v>8711</v>
      </c>
      <c r="C28" s="46" t="s">
        <v>6275</v>
      </c>
      <c r="D28" s="46" t="s">
        <v>8720</v>
      </c>
      <c r="E28" s="46" t="s">
        <v>8721</v>
      </c>
    </row>
    <row r="29" spans="1:5" ht="10" customHeight="1" x14ac:dyDescent="0.2">
      <c r="A29" s="46" t="s">
        <v>8710</v>
      </c>
      <c r="B29" s="46" t="s">
        <v>8711</v>
      </c>
      <c r="C29" s="46" t="s">
        <v>6298</v>
      </c>
      <c r="D29" s="46" t="s">
        <v>8722</v>
      </c>
      <c r="E29" s="46" t="s">
        <v>8723</v>
      </c>
    </row>
    <row r="30" spans="1:5" ht="10" customHeight="1" x14ac:dyDescent="0.2">
      <c r="A30" s="46" t="s">
        <v>8710</v>
      </c>
      <c r="B30" s="46" t="s">
        <v>8711</v>
      </c>
      <c r="C30" s="46" t="s">
        <v>6302</v>
      </c>
      <c r="D30" s="46" t="s">
        <v>8724</v>
      </c>
      <c r="E30" s="46" t="s">
        <v>8725</v>
      </c>
    </row>
    <row r="31" spans="1:5" ht="10" customHeight="1" x14ac:dyDescent="0.2">
      <c r="A31" s="42"/>
      <c r="B31" s="42"/>
      <c r="C31" s="42"/>
      <c r="D31" s="42"/>
      <c r="E31" s="42"/>
    </row>
    <row r="32" spans="1:5" ht="10" customHeight="1" x14ac:dyDescent="0.2">
      <c r="A32" s="44" t="s">
        <v>8726</v>
      </c>
      <c r="B32" s="44"/>
      <c r="C32" s="44"/>
      <c r="D32" s="45"/>
      <c r="E32" s="45"/>
    </row>
    <row r="33" spans="1:5" ht="10" customHeight="1" x14ac:dyDescent="0.2">
      <c r="A33" s="46"/>
      <c r="B33" s="46"/>
      <c r="C33" s="46"/>
      <c r="D33" s="46"/>
      <c r="E33" s="46"/>
    </row>
    <row r="34" spans="1:5" ht="10" customHeight="1" x14ac:dyDescent="0.2">
      <c r="A34" s="46" t="s">
        <v>8727</v>
      </c>
      <c r="B34" s="46" t="s">
        <v>8351</v>
      </c>
      <c r="C34" s="46" t="s">
        <v>49</v>
      </c>
      <c r="D34" s="46" t="s">
        <v>8728</v>
      </c>
      <c r="E34" s="46" t="s">
        <v>8729</v>
      </c>
    </row>
    <row r="35" spans="1:5" ht="10" customHeight="1" x14ac:dyDescent="0.2">
      <c r="A35" s="46" t="s">
        <v>8727</v>
      </c>
      <c r="B35" s="46" t="s">
        <v>8351</v>
      </c>
      <c r="C35" s="46" t="s">
        <v>64</v>
      </c>
      <c r="D35" s="46" t="s">
        <v>8730</v>
      </c>
      <c r="E35" s="46" t="s">
        <v>8731</v>
      </c>
    </row>
    <row r="36" spans="1:5" ht="10" customHeight="1" x14ac:dyDescent="0.2">
      <c r="A36" s="46" t="s">
        <v>8727</v>
      </c>
      <c r="B36" s="46" t="s">
        <v>8351</v>
      </c>
      <c r="C36" s="46" t="s">
        <v>4594</v>
      </c>
      <c r="D36" s="46" t="s">
        <v>8732</v>
      </c>
      <c r="E36" s="46" t="s">
        <v>8733</v>
      </c>
    </row>
    <row r="37" spans="1:5" ht="10" customHeight="1" x14ac:dyDescent="0.2">
      <c r="A37" s="46" t="s">
        <v>8727</v>
      </c>
      <c r="B37" s="46" t="s">
        <v>8351</v>
      </c>
      <c r="C37" s="46" t="s">
        <v>250</v>
      </c>
      <c r="D37" s="46" t="s">
        <v>8734</v>
      </c>
      <c r="E37" s="46" t="s">
        <v>8735</v>
      </c>
    </row>
    <row r="38" spans="1:5" ht="10" customHeight="1" x14ac:dyDescent="0.2">
      <c r="A38" s="42"/>
      <c r="B38" s="42"/>
      <c r="C38" s="42"/>
      <c r="D38" s="42"/>
      <c r="E38" s="42"/>
    </row>
    <row r="39" spans="1:5" ht="10" customHeight="1" x14ac:dyDescent="0.2">
      <c r="A39" s="44" t="s">
        <v>8736</v>
      </c>
      <c r="B39" s="44"/>
      <c r="C39" s="44"/>
      <c r="D39" s="45"/>
      <c r="E39" s="45"/>
    </row>
    <row r="40" spans="1:5" ht="10" customHeight="1" x14ac:dyDescent="0.2">
      <c r="A40" s="46"/>
      <c r="B40" s="46"/>
      <c r="C40" s="46"/>
      <c r="D40" s="46"/>
      <c r="E40" s="46"/>
    </row>
    <row r="41" spans="1:5" ht="10" customHeight="1" x14ac:dyDescent="0.2">
      <c r="A41" s="46" t="s">
        <v>8737</v>
      </c>
      <c r="B41" s="46" t="s">
        <v>8348</v>
      </c>
      <c r="C41" s="46" t="s">
        <v>50</v>
      </c>
      <c r="D41" s="46" t="s">
        <v>8738</v>
      </c>
      <c r="E41" s="46"/>
    </row>
    <row r="42" spans="1:5" ht="10" customHeight="1" x14ac:dyDescent="0.2">
      <c r="A42" s="46"/>
      <c r="B42" s="46"/>
      <c r="C42" s="46"/>
      <c r="D42" s="46"/>
      <c r="E42" s="46"/>
    </row>
    <row r="43" spans="1:5" ht="10" customHeight="1" x14ac:dyDescent="0.2">
      <c r="A43" s="46" t="s">
        <v>8737</v>
      </c>
      <c r="B43" s="46" t="s">
        <v>8329</v>
      </c>
      <c r="C43" s="46" t="s">
        <v>51</v>
      </c>
      <c r="D43" s="46" t="s">
        <v>8739</v>
      </c>
      <c r="E43" s="46"/>
    </row>
    <row r="44" spans="1:5" ht="10" customHeight="1" x14ac:dyDescent="0.2">
      <c r="A44" s="46" t="s">
        <v>8737</v>
      </c>
      <c r="B44" s="46" t="s">
        <v>8740</v>
      </c>
      <c r="C44" s="46" t="s">
        <v>69</v>
      </c>
      <c r="D44" s="46" t="s">
        <v>8741</v>
      </c>
      <c r="E44" s="46" t="s">
        <v>8742</v>
      </c>
    </row>
    <row r="45" spans="1:5" ht="10" customHeight="1" x14ac:dyDescent="0.2">
      <c r="A45" s="46" t="s">
        <v>8737</v>
      </c>
      <c r="B45" s="46" t="s">
        <v>8740</v>
      </c>
      <c r="C45" s="46" t="s">
        <v>119</v>
      </c>
      <c r="D45" s="46" t="s">
        <v>8743</v>
      </c>
      <c r="E45" s="46" t="s">
        <v>8744</v>
      </c>
    </row>
    <row r="46" spans="1:5" ht="10" customHeight="1" x14ac:dyDescent="0.2">
      <c r="A46" s="46" t="s">
        <v>8737</v>
      </c>
      <c r="B46" s="46" t="s">
        <v>8740</v>
      </c>
      <c r="C46" s="46" t="s">
        <v>52</v>
      </c>
      <c r="D46" s="46" t="s">
        <v>8745</v>
      </c>
      <c r="E46" s="46" t="s">
        <v>8746</v>
      </c>
    </row>
    <row r="47" spans="1:5" ht="10" customHeight="1" x14ac:dyDescent="0.2">
      <c r="A47" s="46" t="s">
        <v>8737</v>
      </c>
      <c r="B47" s="46" t="s">
        <v>8740</v>
      </c>
      <c r="C47" s="46" t="s">
        <v>149</v>
      </c>
      <c r="D47" s="46" t="s">
        <v>8747</v>
      </c>
      <c r="E47" s="46" t="s">
        <v>8748</v>
      </c>
    </row>
    <row r="48" spans="1:5" ht="10" customHeight="1" x14ac:dyDescent="0.2">
      <c r="A48" s="46" t="s">
        <v>8737</v>
      </c>
      <c r="B48" s="46" t="s">
        <v>8740</v>
      </c>
      <c r="C48" s="46" t="s">
        <v>4684</v>
      </c>
      <c r="D48" s="46" t="s">
        <v>8749</v>
      </c>
      <c r="E48" s="46" t="s">
        <v>8750</v>
      </c>
    </row>
    <row r="49" spans="1:5" ht="10" customHeight="1" x14ac:dyDescent="0.2">
      <c r="A49" s="46" t="s">
        <v>8737</v>
      </c>
      <c r="B49" s="46" t="s">
        <v>8740</v>
      </c>
      <c r="C49" s="46" t="s">
        <v>202</v>
      </c>
      <c r="D49" s="46" t="s">
        <v>8751</v>
      </c>
      <c r="E49" s="46" t="s">
        <v>8752</v>
      </c>
    </row>
    <row r="50" spans="1:5" ht="10" customHeight="1" x14ac:dyDescent="0.2">
      <c r="A50" s="46" t="s">
        <v>8737</v>
      </c>
      <c r="B50" s="46" t="s">
        <v>8740</v>
      </c>
      <c r="C50" s="46" t="s">
        <v>4859</v>
      </c>
      <c r="D50" s="46" t="s">
        <v>8753</v>
      </c>
      <c r="E50" s="46" t="s">
        <v>8754</v>
      </c>
    </row>
    <row r="51" spans="1:5" ht="10" customHeight="1" x14ac:dyDescent="0.2">
      <c r="A51" s="46" t="s">
        <v>8737</v>
      </c>
      <c r="B51" s="46" t="s">
        <v>8740</v>
      </c>
      <c r="C51" s="46" t="s">
        <v>4966</v>
      </c>
      <c r="D51" s="46" t="s">
        <v>8755</v>
      </c>
      <c r="E51" s="46" t="s">
        <v>8756</v>
      </c>
    </row>
    <row r="52" spans="1:5" ht="10" customHeight="1" x14ac:dyDescent="0.2">
      <c r="A52" s="46" t="s">
        <v>8737</v>
      </c>
      <c r="B52" s="46" t="s">
        <v>8740</v>
      </c>
      <c r="C52" s="46" t="s">
        <v>214</v>
      </c>
      <c r="D52" s="46" t="s">
        <v>8757</v>
      </c>
      <c r="E52" s="46" t="s">
        <v>8758</v>
      </c>
    </row>
    <row r="53" spans="1:5" ht="10" customHeight="1" x14ac:dyDescent="0.2">
      <c r="A53" s="46" t="s">
        <v>8737</v>
      </c>
      <c r="B53" s="46" t="s">
        <v>8740</v>
      </c>
      <c r="C53" s="46" t="s">
        <v>226</v>
      </c>
      <c r="D53" s="46" t="s">
        <v>8759</v>
      </c>
      <c r="E53" s="46" t="s">
        <v>8760</v>
      </c>
    </row>
    <row r="54" spans="1:5" ht="10" customHeight="1" x14ac:dyDescent="0.2">
      <c r="A54" s="46" t="s">
        <v>8737</v>
      </c>
      <c r="B54" s="46" t="s">
        <v>8740</v>
      </c>
      <c r="C54" s="46" t="s">
        <v>182</v>
      </c>
      <c r="D54" s="46" t="s">
        <v>8761</v>
      </c>
      <c r="E54" s="46" t="s">
        <v>8762</v>
      </c>
    </row>
    <row r="55" spans="1:5" ht="10" customHeight="1" x14ac:dyDescent="0.2">
      <c r="A55" s="46"/>
      <c r="B55" s="46"/>
      <c r="C55" s="46"/>
      <c r="D55" s="46"/>
      <c r="E55" s="46"/>
    </row>
    <row r="56" spans="1:5" ht="10" customHeight="1" x14ac:dyDescent="0.2">
      <c r="A56" s="46" t="s">
        <v>8737</v>
      </c>
      <c r="B56" s="46" t="s">
        <v>8329</v>
      </c>
      <c r="C56" s="46" t="s">
        <v>232</v>
      </c>
      <c r="D56" s="46" t="s">
        <v>8763</v>
      </c>
      <c r="E56" s="46"/>
    </row>
    <row r="57" spans="1:5" ht="10" customHeight="1" x14ac:dyDescent="0.2">
      <c r="A57" s="46" t="s">
        <v>8737</v>
      </c>
      <c r="B57" s="46" t="s">
        <v>8740</v>
      </c>
      <c r="C57" s="46" t="s">
        <v>5277</v>
      </c>
      <c r="D57" s="46" t="s">
        <v>8764</v>
      </c>
      <c r="E57" s="46" t="s">
        <v>8765</v>
      </c>
    </row>
    <row r="58" spans="1:5" ht="10" customHeight="1" x14ac:dyDescent="0.2">
      <c r="A58" s="46" t="s">
        <v>8737</v>
      </c>
      <c r="B58" s="46" t="s">
        <v>8740</v>
      </c>
      <c r="C58" s="46" t="s">
        <v>4643</v>
      </c>
      <c r="D58" s="46" t="s">
        <v>8766</v>
      </c>
      <c r="E58" s="46" t="s">
        <v>8767</v>
      </c>
    </row>
    <row r="59" spans="1:5" ht="10" customHeight="1" x14ac:dyDescent="0.2">
      <c r="A59" s="46" t="s">
        <v>8737</v>
      </c>
      <c r="B59" s="46" t="s">
        <v>8740</v>
      </c>
      <c r="C59" s="46" t="s">
        <v>233</v>
      </c>
      <c r="D59" s="46" t="s">
        <v>8768</v>
      </c>
      <c r="E59" s="46" t="s">
        <v>8769</v>
      </c>
    </row>
    <row r="60" spans="1:5" ht="10" customHeight="1" x14ac:dyDescent="0.2">
      <c r="A60" s="46" t="s">
        <v>8737</v>
      </c>
      <c r="B60" s="46" t="s">
        <v>8740</v>
      </c>
      <c r="C60" s="46" t="s">
        <v>5029</v>
      </c>
      <c r="D60" s="46" t="s">
        <v>8770</v>
      </c>
      <c r="E60" s="46" t="s">
        <v>8771</v>
      </c>
    </row>
    <row r="61" spans="1:5" ht="10" customHeight="1" x14ac:dyDescent="0.2">
      <c r="A61" s="46" t="s">
        <v>8737</v>
      </c>
      <c r="B61" s="46" t="s">
        <v>8740</v>
      </c>
      <c r="C61" s="46" t="s">
        <v>245</v>
      </c>
      <c r="D61" s="46" t="s">
        <v>8772</v>
      </c>
      <c r="E61" s="46" t="s">
        <v>8773</v>
      </c>
    </row>
    <row r="62" spans="1:5" ht="10" customHeight="1" x14ac:dyDescent="0.2">
      <c r="A62" s="46" t="s">
        <v>8737</v>
      </c>
      <c r="B62" s="46" t="s">
        <v>8740</v>
      </c>
      <c r="C62" s="46" t="s">
        <v>8774</v>
      </c>
      <c r="D62" s="46" t="s">
        <v>8775</v>
      </c>
      <c r="E62" s="46" t="s">
        <v>8776</v>
      </c>
    </row>
    <row r="63" spans="1:5" ht="10" customHeight="1" x14ac:dyDescent="0.2">
      <c r="A63" s="46" t="s">
        <v>8737</v>
      </c>
      <c r="B63" s="46" t="s">
        <v>8740</v>
      </c>
      <c r="C63" s="46" t="s">
        <v>8777</v>
      </c>
      <c r="D63" s="46" t="s">
        <v>8778</v>
      </c>
      <c r="E63" s="46" t="s">
        <v>8779</v>
      </c>
    </row>
    <row r="64" spans="1:5" ht="10" customHeight="1" x14ac:dyDescent="0.2">
      <c r="A64" s="46" t="s">
        <v>8737</v>
      </c>
      <c r="B64" s="46" t="s">
        <v>8740</v>
      </c>
      <c r="C64" s="46" t="s">
        <v>5272</v>
      </c>
      <c r="D64" s="46" t="s">
        <v>8780</v>
      </c>
      <c r="E64" s="46" t="s">
        <v>8781</v>
      </c>
    </row>
    <row r="65" spans="1:5" ht="10" customHeight="1" x14ac:dyDescent="0.2">
      <c r="A65" s="46" t="s">
        <v>8737</v>
      </c>
      <c r="B65" s="46" t="s">
        <v>8740</v>
      </c>
      <c r="C65" s="46" t="s">
        <v>4985</v>
      </c>
      <c r="D65" s="46" t="s">
        <v>8782</v>
      </c>
      <c r="E65" s="46" t="s">
        <v>8783</v>
      </c>
    </row>
    <row r="66" spans="1:5" ht="10" customHeight="1" x14ac:dyDescent="0.2">
      <c r="A66" s="46" t="s">
        <v>8737</v>
      </c>
      <c r="B66" s="46" t="s">
        <v>8740</v>
      </c>
      <c r="C66" s="46" t="s">
        <v>5019</v>
      </c>
      <c r="D66" s="46" t="s">
        <v>8784</v>
      </c>
      <c r="E66" s="46" t="s">
        <v>8785</v>
      </c>
    </row>
    <row r="67" spans="1:5" ht="10" customHeight="1" x14ac:dyDescent="0.2">
      <c r="A67" s="46" t="s">
        <v>8737</v>
      </c>
      <c r="B67" s="46" t="s">
        <v>8740</v>
      </c>
      <c r="C67" s="46" t="s">
        <v>8786</v>
      </c>
      <c r="D67" s="46" t="s">
        <v>8787</v>
      </c>
      <c r="E67" s="46" t="s">
        <v>8788</v>
      </c>
    </row>
    <row r="68" spans="1:5" ht="10" customHeight="1" x14ac:dyDescent="0.2">
      <c r="A68" s="46"/>
      <c r="B68" s="46"/>
      <c r="C68" s="46"/>
      <c r="D68" s="46"/>
      <c r="E68" s="46"/>
    </row>
    <row r="69" spans="1:5" ht="10" customHeight="1" x14ac:dyDescent="0.2">
      <c r="A69" s="46" t="s">
        <v>8737</v>
      </c>
      <c r="B69" s="46" t="s">
        <v>8329</v>
      </c>
      <c r="C69" s="46" t="s">
        <v>239</v>
      </c>
      <c r="D69" s="46" t="s">
        <v>8789</v>
      </c>
      <c r="E69" s="46"/>
    </row>
    <row r="70" spans="1:5" ht="10" customHeight="1" x14ac:dyDescent="0.2">
      <c r="A70" s="46" t="s">
        <v>8737</v>
      </c>
      <c r="B70" s="46" t="s">
        <v>8740</v>
      </c>
      <c r="C70" s="46" t="s">
        <v>6089</v>
      </c>
      <c r="D70" s="46" t="s">
        <v>8790</v>
      </c>
      <c r="E70" s="46" t="s">
        <v>8791</v>
      </c>
    </row>
    <row r="71" spans="1:5" ht="10" customHeight="1" x14ac:dyDescent="0.2">
      <c r="A71" s="46" t="s">
        <v>8737</v>
      </c>
      <c r="B71" s="46" t="s">
        <v>8740</v>
      </c>
      <c r="C71" s="46" t="s">
        <v>240</v>
      </c>
      <c r="D71" s="46" t="s">
        <v>8792</v>
      </c>
      <c r="E71" s="46" t="s">
        <v>8793</v>
      </c>
    </row>
    <row r="72" spans="1:5" ht="10" customHeight="1" x14ac:dyDescent="0.2">
      <c r="A72" s="46" t="s">
        <v>8737</v>
      </c>
      <c r="B72" s="46" t="s">
        <v>8740</v>
      </c>
      <c r="C72" s="46" t="s">
        <v>8794</v>
      </c>
      <c r="D72" s="46" t="s">
        <v>8795</v>
      </c>
      <c r="E72" s="46" t="s">
        <v>8796</v>
      </c>
    </row>
    <row r="73" spans="1:5" ht="10" customHeight="1" x14ac:dyDescent="0.2">
      <c r="A73" s="46" t="s">
        <v>8737</v>
      </c>
      <c r="B73" s="46" t="s">
        <v>8740</v>
      </c>
      <c r="C73" s="46" t="s">
        <v>6420</v>
      </c>
      <c r="D73" s="46" t="s">
        <v>8797</v>
      </c>
      <c r="E73" s="46" t="s">
        <v>8798</v>
      </c>
    </row>
    <row r="74" spans="1:5" ht="10" customHeight="1" x14ac:dyDescent="0.2">
      <c r="A74" s="46"/>
      <c r="B74" s="46"/>
      <c r="C74" s="46"/>
      <c r="D74" s="46"/>
      <c r="E74" s="46"/>
    </row>
    <row r="75" spans="1:5" ht="10" customHeight="1" x14ac:dyDescent="0.2">
      <c r="A75" s="46" t="s">
        <v>8737</v>
      </c>
      <c r="B75" s="46" t="s">
        <v>8329</v>
      </c>
      <c r="C75" s="46" t="s">
        <v>4675</v>
      </c>
      <c r="D75" s="46" t="s">
        <v>8799</v>
      </c>
      <c r="E75" s="46"/>
    </row>
    <row r="76" spans="1:5" ht="10" customHeight="1" x14ac:dyDescent="0.2">
      <c r="A76" s="46" t="s">
        <v>8737</v>
      </c>
      <c r="B76" s="46" t="s">
        <v>8740</v>
      </c>
      <c r="C76" s="46" t="s">
        <v>5416</v>
      </c>
      <c r="D76" s="46" t="s">
        <v>8800</v>
      </c>
      <c r="E76" s="46" t="s">
        <v>8801</v>
      </c>
    </row>
    <row r="77" spans="1:5" ht="10" customHeight="1" x14ac:dyDescent="0.2">
      <c r="A77" s="46" t="s">
        <v>8737</v>
      </c>
      <c r="B77" s="46" t="s">
        <v>8740</v>
      </c>
      <c r="C77" s="46" t="s">
        <v>4676</v>
      </c>
      <c r="D77" s="46" t="s">
        <v>8802</v>
      </c>
      <c r="E77" s="46" t="s">
        <v>8803</v>
      </c>
    </row>
    <row r="78" spans="1:5" ht="10" customHeight="1" x14ac:dyDescent="0.2">
      <c r="A78" s="46"/>
      <c r="B78" s="46"/>
      <c r="C78" s="46"/>
      <c r="D78" s="46"/>
      <c r="E78" s="46"/>
    </row>
    <row r="79" spans="1:5" ht="10" customHeight="1" x14ac:dyDescent="0.2">
      <c r="A79" s="46" t="s">
        <v>8737</v>
      </c>
      <c r="B79" s="46" t="s">
        <v>8329</v>
      </c>
      <c r="C79" s="46" t="s">
        <v>304</v>
      </c>
      <c r="D79" s="46" t="s">
        <v>8804</v>
      </c>
      <c r="E79" s="46"/>
    </row>
    <row r="80" spans="1:5" ht="10" customHeight="1" x14ac:dyDescent="0.2">
      <c r="A80" s="46" t="s">
        <v>8737</v>
      </c>
      <c r="B80" s="46" t="s">
        <v>8740</v>
      </c>
      <c r="C80" s="46" t="s">
        <v>8805</v>
      </c>
      <c r="D80" s="46" t="s">
        <v>8806</v>
      </c>
      <c r="E80" s="46" t="s">
        <v>8807</v>
      </c>
    </row>
    <row r="81" spans="1:5" ht="10" customHeight="1" x14ac:dyDescent="0.2">
      <c r="A81" s="46" t="s">
        <v>8737</v>
      </c>
      <c r="B81" s="46" t="s">
        <v>8740</v>
      </c>
      <c r="C81" s="46" t="s">
        <v>8808</v>
      </c>
      <c r="D81" s="46" t="s">
        <v>8809</v>
      </c>
      <c r="E81" s="46" t="s">
        <v>8810</v>
      </c>
    </row>
    <row r="82" spans="1:5" ht="10" customHeight="1" x14ac:dyDescent="0.2">
      <c r="A82" s="46" t="s">
        <v>8737</v>
      </c>
      <c r="B82" s="46" t="s">
        <v>8740</v>
      </c>
      <c r="C82" s="46" t="s">
        <v>8811</v>
      </c>
      <c r="D82" s="46" t="s">
        <v>8812</v>
      </c>
      <c r="E82" s="46" t="s">
        <v>8813</v>
      </c>
    </row>
    <row r="83" spans="1:5" ht="10" customHeight="1" x14ac:dyDescent="0.2">
      <c r="A83" s="46" t="s">
        <v>8737</v>
      </c>
      <c r="B83" s="46" t="s">
        <v>8740</v>
      </c>
      <c r="C83" s="46" t="s">
        <v>8312</v>
      </c>
      <c r="D83" s="46" t="s">
        <v>8814</v>
      </c>
      <c r="E83" s="46" t="s">
        <v>8815</v>
      </c>
    </row>
    <row r="84" spans="1:5" ht="10" customHeight="1" x14ac:dyDescent="0.2">
      <c r="A84" s="46" t="s">
        <v>8737</v>
      </c>
      <c r="B84" s="46" t="s">
        <v>8740</v>
      </c>
      <c r="C84" s="46" t="s">
        <v>305</v>
      </c>
      <c r="D84" s="46" t="s">
        <v>8816</v>
      </c>
      <c r="E84" s="46" t="s">
        <v>8817</v>
      </c>
    </row>
    <row r="85" spans="1:5" ht="10" customHeight="1" x14ac:dyDescent="0.2">
      <c r="A85" s="46" t="s">
        <v>8737</v>
      </c>
      <c r="B85" s="46" t="s">
        <v>8740</v>
      </c>
      <c r="C85" s="46" t="s">
        <v>5253</v>
      </c>
      <c r="D85" s="46" t="s">
        <v>8818</v>
      </c>
      <c r="E85" s="46" t="s">
        <v>8819</v>
      </c>
    </row>
    <row r="86" spans="1:5" ht="10" customHeight="1" x14ac:dyDescent="0.2">
      <c r="A86" s="46" t="s">
        <v>8737</v>
      </c>
      <c r="B86" s="46" t="s">
        <v>8740</v>
      </c>
      <c r="C86" s="46" t="s">
        <v>8820</v>
      </c>
      <c r="D86" s="46" t="s">
        <v>8821</v>
      </c>
      <c r="E86" s="46" t="s">
        <v>8822</v>
      </c>
    </row>
    <row r="87" spans="1:5" ht="10" customHeight="1" x14ac:dyDescent="0.2">
      <c r="A87" s="46" t="s">
        <v>8737</v>
      </c>
      <c r="B87" s="46" t="s">
        <v>8740</v>
      </c>
      <c r="C87" s="46" t="s">
        <v>8823</v>
      </c>
      <c r="D87" s="46" t="s">
        <v>8824</v>
      </c>
      <c r="E87" s="46" t="s">
        <v>8825</v>
      </c>
    </row>
    <row r="88" spans="1:5" ht="10" customHeight="1" x14ac:dyDescent="0.2">
      <c r="A88" s="46"/>
      <c r="B88" s="46"/>
      <c r="C88" s="46"/>
      <c r="D88" s="46"/>
      <c r="E88" s="46"/>
    </row>
    <row r="89" spans="1:5" ht="10" customHeight="1" x14ac:dyDescent="0.2">
      <c r="A89" s="46" t="s">
        <v>8737</v>
      </c>
      <c r="B89" s="46" t="s">
        <v>8348</v>
      </c>
      <c r="C89" s="46" t="s">
        <v>190</v>
      </c>
      <c r="D89" s="46" t="s">
        <v>8826</v>
      </c>
      <c r="E89" s="46"/>
    </row>
    <row r="90" spans="1:5" ht="10" customHeight="1" x14ac:dyDescent="0.2">
      <c r="A90" s="46" t="s">
        <v>8737</v>
      </c>
      <c r="B90" s="46" t="s">
        <v>8702</v>
      </c>
      <c r="C90" s="46" t="s">
        <v>8827</v>
      </c>
      <c r="D90" s="46" t="s">
        <v>8828</v>
      </c>
      <c r="E90" s="46" t="s">
        <v>8829</v>
      </c>
    </row>
    <row r="91" spans="1:5" ht="10" customHeight="1" x14ac:dyDescent="0.2">
      <c r="A91" s="46"/>
      <c r="B91" s="46"/>
      <c r="C91" s="46"/>
      <c r="D91" s="46"/>
      <c r="E91" s="46"/>
    </row>
    <row r="92" spans="1:5" ht="10" customHeight="1" x14ac:dyDescent="0.2">
      <c r="A92" s="46" t="s">
        <v>8737</v>
      </c>
      <c r="B92" s="46" t="s">
        <v>8348</v>
      </c>
      <c r="C92" s="46" t="s">
        <v>6809</v>
      </c>
      <c r="D92" s="46" t="s">
        <v>8830</v>
      </c>
      <c r="E92" s="46"/>
    </row>
    <row r="93" spans="1:5" ht="10" customHeight="1" x14ac:dyDescent="0.2">
      <c r="A93" s="46"/>
      <c r="B93" s="46"/>
      <c r="C93" s="46"/>
      <c r="D93" s="46"/>
      <c r="E93" s="46"/>
    </row>
    <row r="94" spans="1:5" ht="10" customHeight="1" x14ac:dyDescent="0.2">
      <c r="A94" s="46" t="s">
        <v>8737</v>
      </c>
      <c r="B94" s="46" t="s">
        <v>8329</v>
      </c>
      <c r="C94" s="46" t="s">
        <v>6810</v>
      </c>
      <c r="D94" s="46" t="s">
        <v>8831</v>
      </c>
      <c r="E94" s="46"/>
    </row>
    <row r="95" spans="1:5" ht="10" customHeight="1" x14ac:dyDescent="0.2">
      <c r="A95" s="46" t="s">
        <v>8737</v>
      </c>
      <c r="B95" s="46" t="s">
        <v>8740</v>
      </c>
      <c r="C95" s="46" t="s">
        <v>8202</v>
      </c>
      <c r="D95" s="46" t="s">
        <v>8832</v>
      </c>
      <c r="E95" s="46" t="s">
        <v>8833</v>
      </c>
    </row>
    <row r="96" spans="1:5" ht="10" customHeight="1" x14ac:dyDescent="0.2">
      <c r="A96" s="46" t="s">
        <v>8737</v>
      </c>
      <c r="B96" s="46" t="s">
        <v>8740</v>
      </c>
      <c r="C96" s="46" t="s">
        <v>8209</v>
      </c>
      <c r="D96" s="46" t="s">
        <v>8834</v>
      </c>
      <c r="E96" s="46" t="s">
        <v>8835</v>
      </c>
    </row>
    <row r="97" spans="1:5" ht="10" customHeight="1" x14ac:dyDescent="0.2">
      <c r="A97" s="46" t="s">
        <v>8737</v>
      </c>
      <c r="B97" s="46" t="s">
        <v>8740</v>
      </c>
      <c r="C97" s="46" t="s">
        <v>6811</v>
      </c>
      <c r="D97" s="46" t="s">
        <v>8836</v>
      </c>
      <c r="E97" s="46" t="s">
        <v>8837</v>
      </c>
    </row>
    <row r="98" spans="1:5" ht="10" customHeight="1" x14ac:dyDescent="0.2">
      <c r="A98" s="46" t="s">
        <v>8737</v>
      </c>
      <c r="B98" s="46" t="s">
        <v>8740</v>
      </c>
      <c r="C98" s="46" t="s">
        <v>8838</v>
      </c>
      <c r="D98" s="46" t="s">
        <v>8839</v>
      </c>
      <c r="E98" s="46" t="s">
        <v>8840</v>
      </c>
    </row>
    <row r="99" spans="1:5" ht="10" customHeight="1" x14ac:dyDescent="0.2">
      <c r="A99" s="46" t="s">
        <v>8737</v>
      </c>
      <c r="B99" s="46" t="s">
        <v>8740</v>
      </c>
      <c r="C99" s="46" t="s">
        <v>8841</v>
      </c>
      <c r="D99" s="46" t="s">
        <v>8842</v>
      </c>
      <c r="E99" s="46" t="s">
        <v>8843</v>
      </c>
    </row>
    <row r="100" spans="1:5" ht="10" customHeight="1" x14ac:dyDescent="0.2">
      <c r="A100" s="46" t="s">
        <v>8737</v>
      </c>
      <c r="B100" s="46" t="s">
        <v>8740</v>
      </c>
      <c r="C100" s="46" t="s">
        <v>8188</v>
      </c>
      <c r="D100" s="46" t="s">
        <v>8844</v>
      </c>
      <c r="E100" s="46" t="s">
        <v>8845</v>
      </c>
    </row>
    <row r="101" spans="1:5" ht="10" customHeight="1" x14ac:dyDescent="0.2">
      <c r="A101" s="46" t="s">
        <v>8737</v>
      </c>
      <c r="B101" s="46" t="s">
        <v>8740</v>
      </c>
      <c r="C101" s="46" t="s">
        <v>8194</v>
      </c>
      <c r="D101" s="46" t="s">
        <v>8846</v>
      </c>
      <c r="E101" s="46" t="s">
        <v>8847</v>
      </c>
    </row>
    <row r="102" spans="1:5" ht="10" customHeight="1" x14ac:dyDescent="0.2">
      <c r="A102" s="46" t="s">
        <v>8737</v>
      </c>
      <c r="B102" s="46" t="s">
        <v>8740</v>
      </c>
      <c r="C102" s="46" t="s">
        <v>8794</v>
      </c>
      <c r="D102" s="46" t="s">
        <v>8848</v>
      </c>
      <c r="E102" s="46" t="s">
        <v>8849</v>
      </c>
    </row>
    <row r="103" spans="1:5" ht="10" customHeight="1" x14ac:dyDescent="0.2">
      <c r="A103" s="46" t="s">
        <v>8737</v>
      </c>
      <c r="B103" s="46" t="s">
        <v>8740</v>
      </c>
      <c r="C103" s="46" t="s">
        <v>8850</v>
      </c>
      <c r="D103" s="46" t="s">
        <v>8851</v>
      </c>
      <c r="E103" s="46" t="s">
        <v>8852</v>
      </c>
    </row>
    <row r="104" spans="1:5" ht="10" customHeight="1" x14ac:dyDescent="0.2">
      <c r="A104" s="46" t="s">
        <v>8737</v>
      </c>
      <c r="B104" s="46" t="s">
        <v>8740</v>
      </c>
      <c r="C104" s="46" t="s">
        <v>8175</v>
      </c>
      <c r="D104" s="46" t="s">
        <v>8853</v>
      </c>
      <c r="E104" s="46" t="s">
        <v>8854</v>
      </c>
    </row>
    <row r="105" spans="1:5" ht="10" customHeight="1" x14ac:dyDescent="0.2">
      <c r="A105" s="46" t="s">
        <v>8737</v>
      </c>
      <c r="B105" s="46" t="s">
        <v>8740</v>
      </c>
      <c r="C105" s="46" t="s">
        <v>8855</v>
      </c>
      <c r="D105" s="46" t="s">
        <v>8856</v>
      </c>
      <c r="E105" s="46" t="s">
        <v>8857</v>
      </c>
    </row>
    <row r="106" spans="1:5" ht="10" customHeight="1" x14ac:dyDescent="0.2">
      <c r="A106" s="46" t="s">
        <v>8737</v>
      </c>
      <c r="B106" s="46" t="s">
        <v>8740</v>
      </c>
      <c r="C106" s="46" t="s">
        <v>8858</v>
      </c>
      <c r="D106" s="46" t="s">
        <v>8859</v>
      </c>
      <c r="E106" s="46" t="s">
        <v>8860</v>
      </c>
    </row>
    <row r="107" spans="1:5" ht="10" customHeight="1" x14ac:dyDescent="0.2">
      <c r="A107" s="46" t="s">
        <v>8737</v>
      </c>
      <c r="B107" s="46" t="s">
        <v>8740</v>
      </c>
      <c r="C107" s="46" t="s">
        <v>8861</v>
      </c>
      <c r="D107" s="46" t="s">
        <v>8862</v>
      </c>
      <c r="E107" s="46" t="s">
        <v>8863</v>
      </c>
    </row>
    <row r="108" spans="1:5" ht="10" customHeight="1" x14ac:dyDescent="0.2">
      <c r="A108" s="46" t="s">
        <v>8737</v>
      </c>
      <c r="B108" s="46" t="s">
        <v>8740</v>
      </c>
      <c r="C108" s="46" t="s">
        <v>8864</v>
      </c>
      <c r="D108" s="46" t="s">
        <v>8865</v>
      </c>
      <c r="E108" s="46" t="s">
        <v>8866</v>
      </c>
    </row>
    <row r="109" spans="1:5" ht="10" customHeight="1" x14ac:dyDescent="0.2">
      <c r="A109" s="46" t="s">
        <v>8737</v>
      </c>
      <c r="B109" s="46" t="s">
        <v>8740</v>
      </c>
      <c r="C109" s="46" t="s">
        <v>8867</v>
      </c>
      <c r="D109" s="46" t="s">
        <v>8868</v>
      </c>
      <c r="E109" s="46" t="s">
        <v>8869</v>
      </c>
    </row>
    <row r="110" spans="1:5" ht="10" customHeight="1" x14ac:dyDescent="0.2">
      <c r="A110" s="46" t="s">
        <v>8737</v>
      </c>
      <c r="B110" s="46" t="s">
        <v>8740</v>
      </c>
      <c r="C110" s="46" t="s">
        <v>8870</v>
      </c>
      <c r="D110" s="46" t="s">
        <v>8871</v>
      </c>
      <c r="E110" s="46" t="s">
        <v>8872</v>
      </c>
    </row>
    <row r="111" spans="1:5" ht="10" customHeight="1" x14ac:dyDescent="0.2">
      <c r="A111" s="46"/>
      <c r="B111" s="46"/>
      <c r="C111" s="46"/>
      <c r="D111" s="46"/>
      <c r="E111" s="46"/>
    </row>
    <row r="112" spans="1:5" ht="10" customHeight="1" x14ac:dyDescent="0.2">
      <c r="A112" s="46" t="s">
        <v>8737</v>
      </c>
      <c r="B112" s="46" t="s">
        <v>8329</v>
      </c>
      <c r="C112" s="46" t="s">
        <v>8198</v>
      </c>
      <c r="D112" s="46" t="s">
        <v>8873</v>
      </c>
      <c r="E112" s="46"/>
    </row>
    <row r="113" spans="1:5" ht="10" customHeight="1" x14ac:dyDescent="0.2">
      <c r="A113" s="46" t="s">
        <v>8737</v>
      </c>
      <c r="B113" s="46" t="s">
        <v>8740</v>
      </c>
      <c r="C113" s="46" t="s">
        <v>8874</v>
      </c>
      <c r="D113" s="46" t="s">
        <v>8875</v>
      </c>
      <c r="E113" s="46" t="s">
        <v>8876</v>
      </c>
    </row>
    <row r="114" spans="1:5" ht="10" customHeight="1" x14ac:dyDescent="0.2">
      <c r="A114" s="46" t="s">
        <v>8737</v>
      </c>
      <c r="B114" s="46" t="s">
        <v>8740</v>
      </c>
      <c r="C114" s="46" t="s">
        <v>8877</v>
      </c>
      <c r="D114" s="46" t="s">
        <v>8878</v>
      </c>
      <c r="E114" s="46" t="s">
        <v>8879</v>
      </c>
    </row>
    <row r="115" spans="1:5" ht="10" customHeight="1" x14ac:dyDescent="0.2">
      <c r="A115" s="46" t="s">
        <v>8737</v>
      </c>
      <c r="B115" s="46" t="s">
        <v>8740</v>
      </c>
      <c r="C115" s="46" t="s">
        <v>8880</v>
      </c>
      <c r="D115" s="46" t="s">
        <v>8881</v>
      </c>
      <c r="E115" s="46" t="s">
        <v>8882</v>
      </c>
    </row>
    <row r="116" spans="1:5" ht="10" customHeight="1" x14ac:dyDescent="0.2">
      <c r="A116" s="46" t="s">
        <v>8737</v>
      </c>
      <c r="B116" s="46" t="s">
        <v>8740</v>
      </c>
      <c r="C116" s="46" t="s">
        <v>8883</v>
      </c>
      <c r="D116" s="46" t="s">
        <v>8884</v>
      </c>
      <c r="E116" s="46" t="s">
        <v>8885</v>
      </c>
    </row>
    <row r="117" spans="1:5" ht="10" customHeight="1" x14ac:dyDescent="0.2">
      <c r="A117" s="46" t="s">
        <v>8737</v>
      </c>
      <c r="B117" s="46" t="s">
        <v>8740</v>
      </c>
      <c r="C117" s="46" t="s">
        <v>8886</v>
      </c>
      <c r="D117" s="46" t="s">
        <v>8887</v>
      </c>
      <c r="E117" s="46" t="s">
        <v>8888</v>
      </c>
    </row>
    <row r="118" spans="1:5" ht="10" customHeight="1" x14ac:dyDescent="0.2">
      <c r="A118" s="46"/>
      <c r="B118" s="46"/>
      <c r="C118" s="46"/>
      <c r="D118" s="46"/>
      <c r="E118" s="46"/>
    </row>
    <row r="119" spans="1:5" ht="10" customHeight="1" x14ac:dyDescent="0.2">
      <c r="A119" s="44" t="s">
        <v>8889</v>
      </c>
      <c r="B119" s="44"/>
      <c r="C119" s="44"/>
      <c r="D119" s="45"/>
      <c r="E119" s="45"/>
    </row>
    <row r="120" spans="1:5" ht="10" customHeight="1" x14ac:dyDescent="0.2">
      <c r="A120" s="46" t="s">
        <v>8890</v>
      </c>
      <c r="B120" s="46" t="s">
        <v>8702</v>
      </c>
      <c r="C120" s="46" t="s">
        <v>8891</v>
      </c>
      <c r="D120" s="46"/>
      <c r="E120" s="46"/>
    </row>
    <row r="121" spans="1:5" ht="10" customHeight="1" x14ac:dyDescent="0.2">
      <c r="A121" s="46"/>
      <c r="B121" s="46"/>
      <c r="C121" s="46"/>
      <c r="D121" s="46"/>
      <c r="E121" s="46"/>
    </row>
    <row r="122" spans="1:5" ht="10" customHeight="1" x14ac:dyDescent="0.2">
      <c r="A122" s="46" t="s">
        <v>8890</v>
      </c>
      <c r="B122" s="46" t="s">
        <v>8892</v>
      </c>
      <c r="C122" s="46" t="s">
        <v>70</v>
      </c>
      <c r="D122" s="46"/>
      <c r="E122" s="46"/>
    </row>
    <row r="123" spans="1:5" ht="10" customHeight="1" x14ac:dyDescent="0.2">
      <c r="A123" s="46" t="s">
        <v>8890</v>
      </c>
      <c r="B123" s="46" t="s">
        <v>8893</v>
      </c>
      <c r="C123" s="46" t="s">
        <v>8894</v>
      </c>
      <c r="D123" s="46" t="s">
        <v>8895</v>
      </c>
      <c r="E123" s="46" t="s">
        <v>8896</v>
      </c>
    </row>
    <row r="124" spans="1:5" ht="10" customHeight="1" x14ac:dyDescent="0.2">
      <c r="A124" s="46" t="s">
        <v>8890</v>
      </c>
      <c r="B124" s="46" t="s">
        <v>8893</v>
      </c>
      <c r="C124" s="46" t="s">
        <v>8897</v>
      </c>
      <c r="D124" s="46" t="s">
        <v>8898</v>
      </c>
      <c r="E124" s="46" t="s">
        <v>8899</v>
      </c>
    </row>
    <row r="125" spans="1:5" ht="10" customHeight="1" x14ac:dyDescent="0.2">
      <c r="A125" s="46"/>
      <c r="B125" s="46"/>
      <c r="C125" s="46"/>
      <c r="D125" s="46"/>
      <c r="E125" s="46"/>
    </row>
    <row r="126" spans="1:5" ht="10" customHeight="1" x14ac:dyDescent="0.2">
      <c r="A126" s="46" t="s">
        <v>8890</v>
      </c>
      <c r="B126" s="46" t="s">
        <v>8893</v>
      </c>
      <c r="C126" s="46" t="s">
        <v>8900</v>
      </c>
      <c r="D126" s="46" t="s">
        <v>8901</v>
      </c>
      <c r="E126" s="46" t="s">
        <v>8899</v>
      </c>
    </row>
    <row r="127" spans="1:5" ht="10" customHeight="1" x14ac:dyDescent="0.2">
      <c r="A127" s="46" t="s">
        <v>8890</v>
      </c>
      <c r="B127" s="46" t="s">
        <v>8893</v>
      </c>
      <c r="C127" s="46" t="s">
        <v>8902</v>
      </c>
      <c r="D127" s="46" t="s">
        <v>8903</v>
      </c>
      <c r="E127" s="46" t="s">
        <v>8896</v>
      </c>
    </row>
    <row r="128" spans="1:5" ht="10" customHeight="1" x14ac:dyDescent="0.2">
      <c r="A128" s="46"/>
      <c r="B128" s="46"/>
      <c r="C128" s="46"/>
      <c r="D128" s="46"/>
      <c r="E128" s="46"/>
    </row>
    <row r="129" spans="1:5" ht="10" customHeight="1" x14ac:dyDescent="0.2">
      <c r="A129" s="46" t="s">
        <v>8890</v>
      </c>
      <c r="B129" s="46" t="s">
        <v>8893</v>
      </c>
      <c r="C129" s="46" t="s">
        <v>8904</v>
      </c>
      <c r="D129" s="46" t="s">
        <v>8905</v>
      </c>
      <c r="E129" s="46" t="s">
        <v>8906</v>
      </c>
    </row>
    <row r="130" spans="1:5" ht="10" customHeight="1" x14ac:dyDescent="0.2">
      <c r="A130" s="46"/>
      <c r="B130" s="46"/>
      <c r="C130" s="46"/>
      <c r="D130" s="46"/>
      <c r="E130" s="46"/>
    </row>
    <row r="131" spans="1:5" ht="10" customHeight="1" x14ac:dyDescent="0.2">
      <c r="A131" s="46" t="s">
        <v>8890</v>
      </c>
      <c r="B131" s="46" t="s">
        <v>8893</v>
      </c>
      <c r="C131" s="46" t="s">
        <v>8907</v>
      </c>
      <c r="D131" s="46" t="s">
        <v>8908</v>
      </c>
      <c r="E131" s="46" t="s">
        <v>8909</v>
      </c>
    </row>
    <row r="132" spans="1:5" ht="10" customHeight="1" x14ac:dyDescent="0.2">
      <c r="A132" s="46"/>
      <c r="B132" s="46"/>
      <c r="C132" s="46"/>
      <c r="D132" s="46"/>
      <c r="E132" s="46"/>
    </row>
    <row r="133" spans="1:5" ht="10" customHeight="1" x14ac:dyDescent="0.2">
      <c r="A133" s="46" t="s">
        <v>8890</v>
      </c>
      <c r="B133" s="46" t="s">
        <v>8893</v>
      </c>
      <c r="C133" s="46" t="s">
        <v>8910</v>
      </c>
      <c r="D133" s="46" t="s">
        <v>8911</v>
      </c>
      <c r="E133" s="46" t="s">
        <v>8896</v>
      </c>
    </row>
    <row r="134" spans="1:5" ht="10" customHeight="1" x14ac:dyDescent="0.2">
      <c r="A134" s="46" t="s">
        <v>8890</v>
      </c>
      <c r="B134" s="46" t="s">
        <v>8893</v>
      </c>
      <c r="C134" s="46" t="s">
        <v>8912</v>
      </c>
      <c r="D134" s="46" t="s">
        <v>8913</v>
      </c>
      <c r="E134" s="46" t="s">
        <v>8896</v>
      </c>
    </row>
    <row r="135" spans="1:5" ht="10" customHeight="1" x14ac:dyDescent="0.2">
      <c r="A135" s="46"/>
      <c r="B135" s="46"/>
      <c r="C135" s="46"/>
      <c r="D135" s="46"/>
      <c r="E135" s="46"/>
    </row>
    <row r="136" spans="1:5" ht="10" customHeight="1" x14ac:dyDescent="0.2">
      <c r="A136" s="46" t="s">
        <v>8890</v>
      </c>
      <c r="B136" s="46" t="s">
        <v>8893</v>
      </c>
      <c r="C136" s="46" t="s">
        <v>8914</v>
      </c>
      <c r="D136" s="46" t="s">
        <v>8915</v>
      </c>
      <c r="E136" s="46" t="s">
        <v>8906</v>
      </c>
    </row>
    <row r="137" spans="1:5" ht="10" customHeight="1" x14ac:dyDescent="0.2">
      <c r="A137" s="46" t="s">
        <v>8890</v>
      </c>
      <c r="B137" s="46" t="s">
        <v>8893</v>
      </c>
      <c r="C137" s="46" t="s">
        <v>8916</v>
      </c>
      <c r="D137" s="46" t="s">
        <v>8917</v>
      </c>
      <c r="E137" s="46" t="s">
        <v>8896</v>
      </c>
    </row>
    <row r="138" spans="1:5" ht="10" customHeight="1" x14ac:dyDescent="0.2">
      <c r="A138" s="46" t="s">
        <v>8890</v>
      </c>
      <c r="B138" s="46" t="s">
        <v>8893</v>
      </c>
      <c r="C138" s="46" t="s">
        <v>8918</v>
      </c>
      <c r="D138" s="46" t="s">
        <v>8919</v>
      </c>
      <c r="E138" s="46" t="s">
        <v>8899</v>
      </c>
    </row>
    <row r="139" spans="1:5" ht="10" customHeight="1" x14ac:dyDescent="0.2">
      <c r="A139" s="46"/>
      <c r="B139" s="46"/>
      <c r="C139" s="46"/>
      <c r="D139" s="46"/>
      <c r="E139" s="46"/>
    </row>
    <row r="140" spans="1:5" ht="10" customHeight="1" x14ac:dyDescent="0.2">
      <c r="A140" s="46" t="s">
        <v>8890</v>
      </c>
      <c r="B140" s="46" t="s">
        <v>8893</v>
      </c>
      <c r="C140" s="46" t="s">
        <v>8920</v>
      </c>
      <c r="D140" s="46" t="s">
        <v>8921</v>
      </c>
      <c r="E140" s="46" t="s">
        <v>8906</v>
      </c>
    </row>
    <row r="141" spans="1:5" ht="10" customHeight="1" x14ac:dyDescent="0.2">
      <c r="A141" s="46" t="s">
        <v>8890</v>
      </c>
      <c r="B141" s="46" t="s">
        <v>8893</v>
      </c>
      <c r="C141" s="46" t="s">
        <v>8922</v>
      </c>
      <c r="D141" s="46" t="s">
        <v>8923</v>
      </c>
      <c r="E141" s="46" t="s">
        <v>8909</v>
      </c>
    </row>
    <row r="142" spans="1:5" ht="10" customHeight="1" x14ac:dyDescent="0.2">
      <c r="A142" s="46"/>
      <c r="B142" s="46"/>
      <c r="C142" s="46"/>
      <c r="D142" s="46"/>
      <c r="E142" s="46"/>
    </row>
    <row r="143" spans="1:5" ht="10" customHeight="1" x14ac:dyDescent="0.2">
      <c r="A143" s="46" t="s">
        <v>8890</v>
      </c>
      <c r="B143" s="46" t="s">
        <v>8893</v>
      </c>
      <c r="C143" s="46" t="s">
        <v>8924</v>
      </c>
      <c r="D143" s="46" t="s">
        <v>8925</v>
      </c>
      <c r="E143" s="46" t="s">
        <v>8899</v>
      </c>
    </row>
    <row r="144" spans="1:5" ht="10" customHeight="1" x14ac:dyDescent="0.2">
      <c r="A144" s="46" t="s">
        <v>8890</v>
      </c>
      <c r="B144" s="46" t="s">
        <v>8893</v>
      </c>
      <c r="C144" s="46" t="s">
        <v>8926</v>
      </c>
      <c r="D144" s="46" t="s">
        <v>8927</v>
      </c>
      <c r="E144" s="46" t="s">
        <v>8896</v>
      </c>
    </row>
    <row r="145" spans="1:5" ht="10" customHeight="1" x14ac:dyDescent="0.2">
      <c r="A145" s="46" t="s">
        <v>8890</v>
      </c>
      <c r="B145" s="46" t="s">
        <v>8893</v>
      </c>
      <c r="C145" s="46" t="s">
        <v>8928</v>
      </c>
      <c r="D145" s="46" t="s">
        <v>8929</v>
      </c>
      <c r="E145" s="46" t="s">
        <v>8899</v>
      </c>
    </row>
    <row r="146" spans="1:5" ht="10" customHeight="1" x14ac:dyDescent="0.2">
      <c r="A146" s="46" t="s">
        <v>8890</v>
      </c>
      <c r="B146" s="46" t="s">
        <v>8893</v>
      </c>
      <c r="C146" s="46" t="s">
        <v>8930</v>
      </c>
      <c r="D146" s="46" t="s">
        <v>8931</v>
      </c>
      <c r="E146" s="46" t="s">
        <v>8906</v>
      </c>
    </row>
    <row r="147" spans="1:5" ht="10" customHeight="1" x14ac:dyDescent="0.2">
      <c r="A147" s="46"/>
      <c r="B147" s="46"/>
      <c r="C147" s="46"/>
      <c r="D147" s="46"/>
      <c r="E147" s="46"/>
    </row>
    <row r="148" spans="1:5" ht="10" customHeight="1" x14ac:dyDescent="0.2">
      <c r="A148" s="46" t="s">
        <v>8890</v>
      </c>
      <c r="B148" s="46" t="s">
        <v>8893</v>
      </c>
      <c r="C148" s="46" t="s">
        <v>8932</v>
      </c>
      <c r="D148" s="46" t="s">
        <v>8933</v>
      </c>
      <c r="E148" s="46" t="s">
        <v>8906</v>
      </c>
    </row>
    <row r="149" spans="1:5" ht="10" customHeight="1" x14ac:dyDescent="0.2">
      <c r="A149" s="46"/>
      <c r="B149" s="46"/>
      <c r="C149" s="46"/>
      <c r="D149" s="46"/>
      <c r="E149" s="46"/>
    </row>
    <row r="150" spans="1:5" ht="10" customHeight="1" x14ac:dyDescent="0.2">
      <c r="A150" s="46" t="s">
        <v>8890</v>
      </c>
      <c r="B150" s="46" t="s">
        <v>8893</v>
      </c>
      <c r="C150" s="46" t="s">
        <v>8934</v>
      </c>
      <c r="D150" s="46" t="s">
        <v>8935</v>
      </c>
      <c r="E150" s="46" t="s">
        <v>8896</v>
      </c>
    </row>
    <row r="151" spans="1:5" ht="10" customHeight="1" x14ac:dyDescent="0.2">
      <c r="A151" s="46" t="s">
        <v>8890</v>
      </c>
      <c r="B151" s="46" t="s">
        <v>8893</v>
      </c>
      <c r="C151" s="46" t="s">
        <v>8936</v>
      </c>
      <c r="D151" s="46" t="s">
        <v>8937</v>
      </c>
      <c r="E151" s="46" t="s">
        <v>8909</v>
      </c>
    </row>
    <row r="152" spans="1:5" ht="10" customHeight="1" x14ac:dyDescent="0.2">
      <c r="A152" s="46" t="s">
        <v>8890</v>
      </c>
      <c r="B152" s="46" t="s">
        <v>8893</v>
      </c>
      <c r="C152" s="46" t="s">
        <v>8938</v>
      </c>
      <c r="D152" s="46" t="s">
        <v>8939</v>
      </c>
      <c r="E152" s="46" t="s">
        <v>8896</v>
      </c>
    </row>
    <row r="153" spans="1:5" ht="10" customHeight="1" x14ac:dyDescent="0.2">
      <c r="A153" s="46" t="s">
        <v>8890</v>
      </c>
      <c r="B153" s="46" t="s">
        <v>8893</v>
      </c>
      <c r="C153" s="46" t="s">
        <v>8940</v>
      </c>
      <c r="D153" s="46" t="s">
        <v>8941</v>
      </c>
      <c r="E153" s="46" t="s">
        <v>8942</v>
      </c>
    </row>
    <row r="154" spans="1:5" ht="10" customHeight="1" x14ac:dyDescent="0.2">
      <c r="A154" s="46"/>
      <c r="B154" s="46"/>
      <c r="C154" s="46"/>
      <c r="D154" s="46"/>
      <c r="E154" s="46"/>
    </row>
    <row r="155" spans="1:5" ht="10" customHeight="1" x14ac:dyDescent="0.2">
      <c r="A155" s="46" t="s">
        <v>8890</v>
      </c>
      <c r="B155" s="46" t="s">
        <v>8893</v>
      </c>
      <c r="C155" s="46" t="s">
        <v>8943</v>
      </c>
      <c r="D155" s="46" t="s">
        <v>8944</v>
      </c>
      <c r="E155" s="46" t="s">
        <v>8896</v>
      </c>
    </row>
    <row r="156" spans="1:5" ht="10" customHeight="1" x14ac:dyDescent="0.2">
      <c r="A156" s="46" t="s">
        <v>8890</v>
      </c>
      <c r="B156" s="46" t="s">
        <v>8893</v>
      </c>
      <c r="C156" s="46" t="s">
        <v>8945</v>
      </c>
      <c r="D156" s="46" t="s">
        <v>8946</v>
      </c>
      <c r="E156" s="46" t="s">
        <v>8896</v>
      </c>
    </row>
    <row r="157" spans="1:5" ht="10" customHeight="1" x14ac:dyDescent="0.2">
      <c r="A157" s="46" t="s">
        <v>8890</v>
      </c>
      <c r="B157" s="46" t="s">
        <v>8893</v>
      </c>
      <c r="C157" s="46" t="s">
        <v>8947</v>
      </c>
      <c r="D157" s="46" t="s">
        <v>8948</v>
      </c>
      <c r="E157" s="46" t="s">
        <v>8949</v>
      </c>
    </row>
    <row r="158" spans="1:5" ht="10" customHeight="1" x14ac:dyDescent="0.2">
      <c r="A158" s="46" t="s">
        <v>8890</v>
      </c>
      <c r="B158" s="46" t="s">
        <v>8893</v>
      </c>
      <c r="C158" s="46" t="s">
        <v>8950</v>
      </c>
      <c r="D158" s="46" t="s">
        <v>8951</v>
      </c>
      <c r="E158" s="46" t="s">
        <v>8909</v>
      </c>
    </row>
    <row r="159" spans="1:5" ht="10" customHeight="1" x14ac:dyDescent="0.2">
      <c r="A159" s="46" t="s">
        <v>8890</v>
      </c>
      <c r="B159" s="46" t="s">
        <v>8893</v>
      </c>
      <c r="C159" s="46" t="s">
        <v>238</v>
      </c>
      <c r="D159" s="46" t="s">
        <v>8952</v>
      </c>
      <c r="E159" s="46" t="s">
        <v>8909</v>
      </c>
    </row>
    <row r="160" spans="1:5" ht="10" customHeight="1" x14ac:dyDescent="0.2">
      <c r="A160" s="46"/>
      <c r="B160" s="46"/>
      <c r="C160" s="46"/>
      <c r="D160" s="46"/>
      <c r="E160" s="46"/>
    </row>
    <row r="161" spans="1:5" ht="10" customHeight="1" x14ac:dyDescent="0.2">
      <c r="A161" s="46" t="s">
        <v>8890</v>
      </c>
      <c r="B161" s="46" t="s">
        <v>8893</v>
      </c>
      <c r="C161" s="46" t="s">
        <v>8953</v>
      </c>
      <c r="D161" s="46" t="s">
        <v>8954</v>
      </c>
      <c r="E161" s="46" t="s">
        <v>8896</v>
      </c>
    </row>
    <row r="162" spans="1:5" ht="10" customHeight="1" x14ac:dyDescent="0.2">
      <c r="A162" s="46" t="s">
        <v>8890</v>
      </c>
      <c r="B162" s="46" t="s">
        <v>8893</v>
      </c>
      <c r="C162" s="46" t="s">
        <v>8955</v>
      </c>
      <c r="D162" s="46" t="s">
        <v>8956</v>
      </c>
      <c r="E162" s="46" t="s">
        <v>8896</v>
      </c>
    </row>
    <row r="163" spans="1:5" ht="10" customHeight="1" x14ac:dyDescent="0.2">
      <c r="A163" s="46" t="s">
        <v>8890</v>
      </c>
      <c r="B163" s="46" t="s">
        <v>8893</v>
      </c>
      <c r="C163" s="46" t="s">
        <v>8957</v>
      </c>
      <c r="D163" s="46" t="s">
        <v>8958</v>
      </c>
      <c r="E163" s="46" t="s">
        <v>8896</v>
      </c>
    </row>
    <row r="164" spans="1:5" ht="10" customHeight="1" x14ac:dyDescent="0.2">
      <c r="A164" s="46" t="s">
        <v>8890</v>
      </c>
      <c r="B164" s="46" t="s">
        <v>8893</v>
      </c>
      <c r="C164" s="46" t="s">
        <v>8959</v>
      </c>
      <c r="D164" s="46" t="s">
        <v>8960</v>
      </c>
      <c r="E164" s="46" t="s">
        <v>8896</v>
      </c>
    </row>
    <row r="165" spans="1:5" ht="10" customHeight="1" x14ac:dyDescent="0.2">
      <c r="A165" s="46" t="s">
        <v>8890</v>
      </c>
      <c r="B165" s="46" t="s">
        <v>8893</v>
      </c>
      <c r="C165" s="46" t="s">
        <v>8961</v>
      </c>
      <c r="D165" s="46" t="s">
        <v>8962</v>
      </c>
      <c r="E165" s="46" t="s">
        <v>8896</v>
      </c>
    </row>
    <row r="166" spans="1:5" ht="10" customHeight="1" x14ac:dyDescent="0.2">
      <c r="A166" s="46" t="s">
        <v>8890</v>
      </c>
      <c r="B166" s="46" t="s">
        <v>8893</v>
      </c>
      <c r="C166" s="46" t="s">
        <v>8963</v>
      </c>
      <c r="D166" s="46" t="s">
        <v>8964</v>
      </c>
      <c r="E166" s="46" t="s">
        <v>8909</v>
      </c>
    </row>
    <row r="167" spans="1:5" ht="10" customHeight="1" x14ac:dyDescent="0.2">
      <c r="A167" s="46" t="s">
        <v>8890</v>
      </c>
      <c r="B167" s="46" t="s">
        <v>8893</v>
      </c>
      <c r="C167" s="46" t="s">
        <v>8965</v>
      </c>
      <c r="D167" s="46" t="s">
        <v>8966</v>
      </c>
      <c r="E167" s="46" t="s">
        <v>8896</v>
      </c>
    </row>
    <row r="168" spans="1:5" ht="10" customHeight="1" x14ac:dyDescent="0.2">
      <c r="A168" s="46"/>
      <c r="B168" s="46"/>
      <c r="C168" s="46"/>
      <c r="D168" s="46"/>
      <c r="E168" s="46"/>
    </row>
    <row r="169" spans="1:5" ht="10" customHeight="1" x14ac:dyDescent="0.2">
      <c r="A169" s="46" t="s">
        <v>8890</v>
      </c>
      <c r="B169" s="46" t="s">
        <v>8893</v>
      </c>
      <c r="C169" s="46" t="s">
        <v>8967</v>
      </c>
      <c r="D169" s="46" t="s">
        <v>8185</v>
      </c>
      <c r="E169" s="46" t="s">
        <v>8896</v>
      </c>
    </row>
    <row r="170" spans="1:5" ht="10" customHeight="1" x14ac:dyDescent="0.2">
      <c r="A170" s="46" t="s">
        <v>8890</v>
      </c>
      <c r="B170" s="46" t="s">
        <v>8893</v>
      </c>
      <c r="C170" s="46" t="s">
        <v>8968</v>
      </c>
      <c r="D170" s="46" t="s">
        <v>8188</v>
      </c>
      <c r="E170" s="46" t="s">
        <v>8909</v>
      </c>
    </row>
    <row r="171" spans="1:5" ht="10" customHeight="1" x14ac:dyDescent="0.2">
      <c r="A171" s="46" t="s">
        <v>8890</v>
      </c>
      <c r="B171" s="46" t="s">
        <v>8893</v>
      </c>
      <c r="C171" s="46" t="s">
        <v>8969</v>
      </c>
      <c r="D171" s="46" t="s">
        <v>8193</v>
      </c>
      <c r="E171" s="46" t="s">
        <v>8899</v>
      </c>
    </row>
    <row r="172" spans="1:5" ht="10" customHeight="1" x14ac:dyDescent="0.2">
      <c r="A172" s="46" t="s">
        <v>8890</v>
      </c>
      <c r="B172" s="46" t="s">
        <v>8893</v>
      </c>
      <c r="C172" s="46" t="s">
        <v>8970</v>
      </c>
      <c r="D172" s="46" t="s">
        <v>8971</v>
      </c>
      <c r="E172" s="46" t="s">
        <v>8896</v>
      </c>
    </row>
    <row r="173" spans="1:5" ht="10" customHeight="1" x14ac:dyDescent="0.2">
      <c r="A173" s="46" t="s">
        <v>8890</v>
      </c>
      <c r="B173" s="46" t="s">
        <v>8893</v>
      </c>
      <c r="C173" s="46" t="s">
        <v>8972</v>
      </c>
      <c r="D173" s="46" t="s">
        <v>8973</v>
      </c>
      <c r="E173" s="46" t="s">
        <v>8974</v>
      </c>
    </row>
    <row r="174" spans="1:5" ht="10" customHeight="1" x14ac:dyDescent="0.2">
      <c r="A174" s="46" t="s">
        <v>8890</v>
      </c>
      <c r="B174" s="46" t="s">
        <v>8893</v>
      </c>
      <c r="C174" s="46" t="s">
        <v>8975</v>
      </c>
      <c r="D174" s="46" t="s">
        <v>8976</v>
      </c>
      <c r="E174" s="46" t="s">
        <v>8977</v>
      </c>
    </row>
    <row r="175" spans="1:5" ht="10" customHeight="1" x14ac:dyDescent="0.2">
      <c r="A175" s="46" t="s">
        <v>8890</v>
      </c>
      <c r="B175" s="46" t="s">
        <v>8893</v>
      </c>
      <c r="C175" s="46" t="s">
        <v>8978</v>
      </c>
      <c r="D175" s="46" t="s">
        <v>8979</v>
      </c>
      <c r="E175" s="46" t="s">
        <v>8909</v>
      </c>
    </row>
    <row r="176" spans="1:5" ht="10" customHeight="1" x14ac:dyDescent="0.2">
      <c r="A176" s="46" t="s">
        <v>8890</v>
      </c>
      <c r="B176" s="46" t="s">
        <v>8893</v>
      </c>
      <c r="C176" s="46" t="s">
        <v>8980</v>
      </c>
      <c r="D176" s="46" t="s">
        <v>8981</v>
      </c>
      <c r="E176" s="46" t="s">
        <v>8896</v>
      </c>
    </row>
    <row r="177" spans="1:5" ht="10" customHeight="1" x14ac:dyDescent="0.2">
      <c r="A177" s="46" t="s">
        <v>8890</v>
      </c>
      <c r="B177" s="46" t="s">
        <v>8893</v>
      </c>
      <c r="C177" s="46" t="s">
        <v>8982</v>
      </c>
      <c r="D177" s="46" t="s">
        <v>8983</v>
      </c>
      <c r="E177" s="46" t="s">
        <v>8896</v>
      </c>
    </row>
    <row r="178" spans="1:5" ht="10" customHeight="1" x14ac:dyDescent="0.2">
      <c r="A178" s="46" t="s">
        <v>8890</v>
      </c>
      <c r="B178" s="46" t="s">
        <v>8893</v>
      </c>
      <c r="C178" s="46" t="s">
        <v>8984</v>
      </c>
      <c r="D178" s="46" t="s">
        <v>8985</v>
      </c>
      <c r="E178" s="46" t="s">
        <v>8896</v>
      </c>
    </row>
    <row r="179" spans="1:5" ht="10" customHeight="1" x14ac:dyDescent="0.2">
      <c r="A179" s="46"/>
      <c r="B179" s="46"/>
      <c r="C179" s="46"/>
      <c r="D179" s="46"/>
      <c r="E179" s="46"/>
    </row>
    <row r="180" spans="1:5" ht="10" customHeight="1" x14ac:dyDescent="0.2">
      <c r="A180" s="44" t="s">
        <v>8986</v>
      </c>
      <c r="B180" s="44"/>
      <c r="C180" s="44"/>
      <c r="D180" s="45"/>
      <c r="E180" s="45"/>
    </row>
    <row r="181" spans="1:5" ht="10" customHeight="1" x14ac:dyDescent="0.2">
      <c r="A181" s="46"/>
      <c r="B181" s="46"/>
      <c r="C181" s="46"/>
      <c r="D181" s="46"/>
      <c r="E181" s="46"/>
    </row>
    <row r="182" spans="1:5" ht="10" customHeight="1" x14ac:dyDescent="0.2">
      <c r="A182" s="46" t="s">
        <v>8987</v>
      </c>
      <c r="B182" s="46" t="s">
        <v>8988</v>
      </c>
      <c r="C182" s="46" t="s">
        <v>8989</v>
      </c>
      <c r="D182" s="46" t="s">
        <v>8990</v>
      </c>
      <c r="E182" s="46" t="s">
        <v>8991</v>
      </c>
    </row>
    <row r="183" spans="1:5" ht="10" customHeight="1" x14ac:dyDescent="0.2">
      <c r="A183" s="46" t="s">
        <v>8987</v>
      </c>
      <c r="B183" s="46" t="s">
        <v>8988</v>
      </c>
      <c r="C183" s="46" t="s">
        <v>8992</v>
      </c>
      <c r="D183" s="46" t="s">
        <v>8993</v>
      </c>
      <c r="E183" s="46"/>
    </row>
    <row r="184" spans="1:5" ht="10" customHeight="1" x14ac:dyDescent="0.2">
      <c r="A184" s="46" t="s">
        <v>8987</v>
      </c>
      <c r="B184" s="46" t="s">
        <v>8988</v>
      </c>
      <c r="C184" s="46" t="s">
        <v>8994</v>
      </c>
      <c r="D184" s="46" t="s">
        <v>8995</v>
      </c>
      <c r="E184" s="46" t="s">
        <v>8996</v>
      </c>
    </row>
    <row r="185" spans="1:5" ht="10" customHeight="1" x14ac:dyDescent="0.2">
      <c r="A185" s="46" t="s">
        <v>8987</v>
      </c>
      <c r="B185" s="46" t="s">
        <v>8988</v>
      </c>
      <c r="C185" s="46" t="s">
        <v>8997</v>
      </c>
      <c r="D185" s="46" t="s">
        <v>8998</v>
      </c>
      <c r="E185" s="46"/>
    </row>
    <row r="186" spans="1:5" ht="10" customHeight="1" x14ac:dyDescent="0.2">
      <c r="A186" s="46" t="s">
        <v>8987</v>
      </c>
      <c r="B186" s="46" t="s">
        <v>8988</v>
      </c>
      <c r="C186" s="46" t="s">
        <v>8999</v>
      </c>
      <c r="D186" s="46" t="s">
        <v>9000</v>
      </c>
      <c r="E186" s="46"/>
    </row>
    <row r="187" spans="1:5" ht="10" customHeight="1" x14ac:dyDescent="0.2">
      <c r="A187" s="46" t="s">
        <v>8987</v>
      </c>
      <c r="B187" s="46" t="s">
        <v>8988</v>
      </c>
      <c r="C187" s="46" t="s">
        <v>9001</v>
      </c>
      <c r="D187" s="46" t="s">
        <v>9002</v>
      </c>
      <c r="E187" s="46"/>
    </row>
    <row r="188" spans="1:5" ht="10" customHeight="1" x14ac:dyDescent="0.2">
      <c r="A188" s="46" t="s">
        <v>8987</v>
      </c>
      <c r="B188" s="46" t="s">
        <v>8988</v>
      </c>
      <c r="C188" s="46" t="s">
        <v>9003</v>
      </c>
      <c r="D188" s="46" t="s">
        <v>9004</v>
      </c>
      <c r="E188" s="46"/>
    </row>
    <row r="189" spans="1:5" ht="10" customHeight="1" x14ac:dyDescent="0.2">
      <c r="A189" s="42"/>
      <c r="B189" s="42"/>
      <c r="C189" s="42"/>
      <c r="D189" s="42"/>
      <c r="E189" s="42"/>
    </row>
    <row r="190" spans="1:5" ht="10" customHeight="1" x14ac:dyDescent="0.2">
      <c r="A190" s="44" t="s">
        <v>9005</v>
      </c>
      <c r="B190" s="44"/>
      <c r="C190" s="44"/>
      <c r="D190" s="45"/>
      <c r="E190" s="45"/>
    </row>
    <row r="191" spans="1:5" ht="10" customHeight="1" x14ac:dyDescent="0.2">
      <c r="A191" s="46"/>
      <c r="B191" s="46"/>
      <c r="C191" s="46"/>
      <c r="D191" s="46"/>
      <c r="E191" s="46"/>
    </row>
    <row r="192" spans="1:5" ht="10" customHeight="1" x14ac:dyDescent="0.2">
      <c r="A192" s="46" t="s">
        <v>8710</v>
      </c>
      <c r="B192" s="46" t="s">
        <v>8702</v>
      </c>
      <c r="C192" s="46" t="s">
        <v>9006</v>
      </c>
      <c r="D192" s="46" t="s">
        <v>9007</v>
      </c>
      <c r="E192" s="46" t="s">
        <v>9008</v>
      </c>
    </row>
    <row r="193" spans="1:5" ht="10" customHeight="1" x14ac:dyDescent="0.2">
      <c r="A193" s="46" t="s">
        <v>8710</v>
      </c>
      <c r="B193" s="46" t="s">
        <v>8702</v>
      </c>
      <c r="C193" s="46" t="s">
        <v>9009</v>
      </c>
      <c r="D193" s="46" t="s">
        <v>9010</v>
      </c>
      <c r="E193" s="46" t="s">
        <v>9011</v>
      </c>
    </row>
    <row r="194" spans="1:5" ht="10" customHeight="1" x14ac:dyDescent="0.2">
      <c r="A194" s="42"/>
      <c r="B194" s="42"/>
      <c r="C194" s="42"/>
      <c r="D194" s="42"/>
      <c r="E194" s="42"/>
    </row>
    <row r="195" spans="1:5" ht="10" customHeight="1" x14ac:dyDescent="0.2">
      <c r="A195" s="44" t="s">
        <v>9012</v>
      </c>
      <c r="B195" s="44"/>
      <c r="C195" s="44"/>
      <c r="D195" s="45"/>
      <c r="E195" s="45"/>
    </row>
    <row r="196" spans="1:5" ht="10" customHeight="1" x14ac:dyDescent="0.2">
      <c r="A196" s="46"/>
      <c r="B196" s="46"/>
      <c r="C196" s="46"/>
      <c r="D196" s="46"/>
      <c r="E196" s="46"/>
    </row>
    <row r="197" spans="1:5" ht="10" customHeight="1" x14ac:dyDescent="0.2">
      <c r="A197" s="46" t="s">
        <v>9013</v>
      </c>
      <c r="B197" s="46" t="s">
        <v>8351</v>
      </c>
      <c r="C197" s="46" t="s">
        <v>4328</v>
      </c>
      <c r="D197" s="46" t="s">
        <v>9014</v>
      </c>
      <c r="E197" s="46" t="s">
        <v>9015</v>
      </c>
    </row>
    <row r="198" spans="1:5" ht="10" customHeight="1" x14ac:dyDescent="0.2">
      <c r="A198" s="46" t="s">
        <v>9013</v>
      </c>
      <c r="B198" s="46" t="s">
        <v>8351</v>
      </c>
      <c r="C198" s="46" t="s">
        <v>5554</v>
      </c>
      <c r="D198" s="46" t="s">
        <v>9016</v>
      </c>
      <c r="E198" s="46" t="s">
        <v>9017</v>
      </c>
    </row>
    <row r="199" spans="1:5" ht="10" customHeight="1" x14ac:dyDescent="0.2">
      <c r="A199" s="46"/>
      <c r="B199" s="46"/>
      <c r="C199" s="46"/>
      <c r="D199" s="46"/>
      <c r="E199" s="46"/>
    </row>
    <row r="200" spans="1:5" ht="10" customHeight="1" x14ac:dyDescent="0.2">
      <c r="A200" s="46" t="s">
        <v>9018</v>
      </c>
      <c r="B200" s="46" t="s">
        <v>8351</v>
      </c>
      <c r="C200" s="46" t="s">
        <v>250</v>
      </c>
      <c r="D200" s="46" t="s">
        <v>9019</v>
      </c>
      <c r="E200" s="46" t="s">
        <v>9020</v>
      </c>
    </row>
    <row r="201" spans="1:5" ht="10" customHeight="1" x14ac:dyDescent="0.2">
      <c r="A201" s="46"/>
      <c r="B201" s="46"/>
      <c r="C201" s="46"/>
      <c r="D201" s="46"/>
      <c r="E201" s="46"/>
    </row>
    <row r="202" spans="1:5" ht="10" customHeight="1" x14ac:dyDescent="0.2">
      <c r="A202" s="46" t="s">
        <v>9021</v>
      </c>
      <c r="B202" s="46" t="s">
        <v>8351</v>
      </c>
      <c r="C202" s="46" t="s">
        <v>104</v>
      </c>
      <c r="D202" s="46" t="s">
        <v>9022</v>
      </c>
      <c r="E202" s="46" t="s">
        <v>9023</v>
      </c>
    </row>
    <row r="203" spans="1:5" ht="10" customHeight="1" x14ac:dyDescent="0.2">
      <c r="A203" s="46" t="s">
        <v>9021</v>
      </c>
      <c r="B203" s="46" t="s">
        <v>8351</v>
      </c>
      <c r="C203" s="46" t="s">
        <v>290</v>
      </c>
      <c r="D203" s="46" t="s">
        <v>9024</v>
      </c>
      <c r="E203" s="46" t="s">
        <v>9025</v>
      </c>
    </row>
    <row r="204" spans="1:5" ht="10" customHeight="1" x14ac:dyDescent="0.2">
      <c r="A204" s="46"/>
      <c r="B204" s="46"/>
      <c r="C204" s="46"/>
      <c r="D204" s="46"/>
      <c r="E204" s="46"/>
    </row>
    <row r="205" spans="1:5" ht="10" customHeight="1" x14ac:dyDescent="0.2">
      <c r="A205" s="46" t="s">
        <v>9026</v>
      </c>
      <c r="B205" s="46" t="s">
        <v>8351</v>
      </c>
      <c r="C205" s="46" t="s">
        <v>4425</v>
      </c>
      <c r="D205" s="46" t="s">
        <v>9027</v>
      </c>
      <c r="E205" s="46" t="s">
        <v>9028</v>
      </c>
    </row>
    <row r="206" spans="1:5" ht="10" customHeight="1" x14ac:dyDescent="0.2">
      <c r="A206" s="46"/>
      <c r="B206" s="46"/>
      <c r="C206" s="46"/>
      <c r="D206" s="46"/>
      <c r="E206" s="46"/>
    </row>
    <row r="207" spans="1:5" ht="10" customHeight="1" x14ac:dyDescent="0.2">
      <c r="A207" s="46" t="s">
        <v>9029</v>
      </c>
      <c r="B207" s="46" t="s">
        <v>8351</v>
      </c>
      <c r="C207" s="46" t="s">
        <v>5517</v>
      </c>
      <c r="D207" s="46" t="s">
        <v>9030</v>
      </c>
      <c r="E207" s="46" t="s">
        <v>9031</v>
      </c>
    </row>
    <row r="208" spans="1:5" ht="10" customHeight="1" x14ac:dyDescent="0.2">
      <c r="A208" s="46"/>
      <c r="B208" s="46"/>
      <c r="C208" s="46"/>
      <c r="D208" s="46"/>
      <c r="E208" s="46"/>
    </row>
    <row r="209" spans="1:5" ht="10" customHeight="1" x14ac:dyDescent="0.2">
      <c r="A209" s="46" t="s">
        <v>2574</v>
      </c>
      <c r="B209" s="46" t="s">
        <v>8351</v>
      </c>
      <c r="C209" s="46" t="s">
        <v>6407</v>
      </c>
      <c r="D209" s="46" t="s">
        <v>9032</v>
      </c>
      <c r="E209" s="46" t="s">
        <v>9033</v>
      </c>
    </row>
    <row r="210" spans="1:5" ht="10" customHeight="1" x14ac:dyDescent="0.2">
      <c r="A210" s="46" t="s">
        <v>2574</v>
      </c>
      <c r="B210" s="46" t="s">
        <v>8351</v>
      </c>
      <c r="C210" s="46" t="s">
        <v>8189</v>
      </c>
      <c r="D210" s="46" t="s">
        <v>9034</v>
      </c>
      <c r="E210" s="46" t="s">
        <v>9035</v>
      </c>
    </row>
    <row r="211" spans="1:5" ht="10" customHeight="1" x14ac:dyDescent="0.2">
      <c r="A211" s="42"/>
      <c r="B211" s="42"/>
      <c r="C211" s="42"/>
      <c r="D211" s="42"/>
      <c r="E211" s="42"/>
    </row>
    <row r="213" spans="1:5" ht="10" customHeight="1" x14ac:dyDescent="0.2">
      <c r="A213" s="44" t="s">
        <v>9036</v>
      </c>
      <c r="B213" s="44"/>
      <c r="C213" s="44"/>
      <c r="D213" s="45"/>
      <c r="E213" s="45"/>
    </row>
    <row r="215" spans="1:5" ht="10" customHeight="1" x14ac:dyDescent="0.2">
      <c r="A215" s="47" t="s">
        <v>9037</v>
      </c>
      <c r="B215" s="47" t="s">
        <v>9038</v>
      </c>
      <c r="C215" s="47" t="s">
        <v>9039</v>
      </c>
      <c r="D215" s="48" t="s">
        <v>9040</v>
      </c>
      <c r="E215" s="48" t="s">
        <v>9041</v>
      </c>
    </row>
    <row r="216" spans="1:5" ht="10" customHeight="1" x14ac:dyDescent="0.2">
      <c r="A216" s="47"/>
      <c r="B216" s="47"/>
      <c r="C216" s="47"/>
      <c r="D216" s="47"/>
      <c r="E216" s="47"/>
    </row>
    <row r="217" spans="1:5" ht="10" customHeight="1" x14ac:dyDescent="0.2">
      <c r="A217" s="47" t="s">
        <v>9037</v>
      </c>
      <c r="B217" s="47" t="s">
        <v>9042</v>
      </c>
      <c r="C217" s="47" t="s">
        <v>9043</v>
      </c>
      <c r="D217" s="48" t="s">
        <v>9044</v>
      </c>
      <c r="E217" s="48" t="s">
        <v>9045</v>
      </c>
    </row>
    <row r="218" spans="1:5" ht="10" customHeight="1" x14ac:dyDescent="0.2">
      <c r="A218" s="47"/>
      <c r="B218" s="47"/>
      <c r="C218" s="47"/>
      <c r="D218" s="47"/>
      <c r="E218" s="47"/>
    </row>
    <row r="219" spans="1:5" ht="10" customHeight="1" x14ac:dyDescent="0.2">
      <c r="A219" s="47" t="s">
        <v>9037</v>
      </c>
      <c r="B219" s="47" t="s">
        <v>8697</v>
      </c>
      <c r="C219" s="47" t="s">
        <v>9046</v>
      </c>
      <c r="D219" s="48" t="s">
        <v>9047</v>
      </c>
      <c r="E219" s="48" t="s">
        <v>9048</v>
      </c>
    </row>
    <row r="220" spans="1:5" ht="10" customHeight="1" x14ac:dyDescent="0.2">
      <c r="A220" s="47"/>
      <c r="B220" s="47"/>
      <c r="C220" s="47"/>
      <c r="D220" s="47"/>
      <c r="E220" s="47"/>
    </row>
    <row r="221" spans="1:5" ht="10" customHeight="1" x14ac:dyDescent="0.2">
      <c r="A221" s="47" t="s">
        <v>9037</v>
      </c>
      <c r="B221" s="47" t="s">
        <v>9049</v>
      </c>
      <c r="C221" s="47" t="s">
        <v>9050</v>
      </c>
      <c r="D221" s="48" t="s">
        <v>9051</v>
      </c>
      <c r="E221" s="48" t="s">
        <v>9052</v>
      </c>
    </row>
    <row r="222" spans="1:5" ht="10" customHeight="1" x14ac:dyDescent="0.2">
      <c r="A222" s="47"/>
      <c r="B222" s="47"/>
      <c r="C222" s="47"/>
      <c r="D222" s="47"/>
      <c r="E222" s="47"/>
    </row>
    <row r="223" spans="1:5" ht="10" customHeight="1" x14ac:dyDescent="0.2">
      <c r="A223" s="47" t="s">
        <v>9037</v>
      </c>
      <c r="B223" s="47" t="s">
        <v>9053</v>
      </c>
      <c r="C223" s="47" t="s">
        <v>9054</v>
      </c>
      <c r="D223" s="48" t="s">
        <v>9055</v>
      </c>
      <c r="E223" s="48" t="s">
        <v>9056</v>
      </c>
    </row>
    <row r="224" spans="1:5" ht="10" customHeight="1" x14ac:dyDescent="0.2">
      <c r="A224" s="47"/>
      <c r="B224" s="47"/>
      <c r="C224" s="47"/>
      <c r="D224" s="47"/>
      <c r="E224" s="47"/>
    </row>
    <row r="225" spans="1:5" ht="10" customHeight="1" x14ac:dyDescent="0.2">
      <c r="A225" s="47" t="s">
        <v>9037</v>
      </c>
      <c r="B225" s="47" t="s">
        <v>9057</v>
      </c>
      <c r="C225" s="47" t="s">
        <v>9058</v>
      </c>
      <c r="D225" s="48" t="s">
        <v>9059</v>
      </c>
      <c r="E225" s="48" t="s">
        <v>9060</v>
      </c>
    </row>
    <row r="226" spans="1:5" ht="10" customHeight="1" x14ac:dyDescent="0.2">
      <c r="A226" s="47"/>
      <c r="B226" s="47"/>
      <c r="C226" s="47"/>
      <c r="D226" s="47"/>
      <c r="E226" s="47"/>
    </row>
    <row r="227" spans="1:5" ht="10" customHeight="1" x14ac:dyDescent="0.2">
      <c r="A227" s="47" t="s">
        <v>9037</v>
      </c>
      <c r="B227" s="47" t="s">
        <v>9061</v>
      </c>
      <c r="C227" s="47" t="s">
        <v>9062</v>
      </c>
      <c r="D227" s="48" t="s">
        <v>9063</v>
      </c>
      <c r="E227" s="48" t="s">
        <v>9064</v>
      </c>
    </row>
    <row r="228" spans="1:5" ht="10" customHeight="1" x14ac:dyDescent="0.2">
      <c r="A228" s="47"/>
      <c r="B228" s="47"/>
      <c r="C228" s="47"/>
      <c r="D228" s="47"/>
      <c r="E228" s="47"/>
    </row>
    <row r="229" spans="1:5" ht="10" customHeight="1" x14ac:dyDescent="0.2">
      <c r="A229" s="47" t="s">
        <v>9037</v>
      </c>
      <c r="B229" s="47" t="s">
        <v>9065</v>
      </c>
      <c r="C229" s="47" t="s">
        <v>9066</v>
      </c>
      <c r="D229" s="48" t="s">
        <v>9067</v>
      </c>
      <c r="E229" s="48" t="s">
        <v>9068</v>
      </c>
    </row>
    <row r="230" spans="1:5" ht="10" customHeight="1" x14ac:dyDescent="0.2">
      <c r="A230" s="47"/>
      <c r="B230" s="47"/>
      <c r="C230" s="47"/>
      <c r="D230" s="47"/>
      <c r="E230" s="47"/>
    </row>
    <row r="231" spans="1:5" ht="10" customHeight="1" x14ac:dyDescent="0.2">
      <c r="A231" s="47" t="s">
        <v>9037</v>
      </c>
      <c r="B231" s="47" t="s">
        <v>9069</v>
      </c>
      <c r="C231" s="47" t="s">
        <v>9070</v>
      </c>
      <c r="D231" s="48" t="s">
        <v>9071</v>
      </c>
      <c r="E231" s="48" t="s">
        <v>9072</v>
      </c>
    </row>
    <row r="232" spans="1:5" ht="10" customHeight="1" x14ac:dyDescent="0.2">
      <c r="A232" s="47"/>
      <c r="B232" s="47"/>
      <c r="C232" s="47"/>
      <c r="D232" s="47"/>
      <c r="E232" s="47"/>
    </row>
    <row r="233" spans="1:5" ht="10" customHeight="1" x14ac:dyDescent="0.2">
      <c r="A233" s="47" t="s">
        <v>9037</v>
      </c>
      <c r="B233" s="47" t="s">
        <v>9073</v>
      </c>
      <c r="C233" s="47" t="s">
        <v>9074</v>
      </c>
      <c r="D233" s="48" t="s">
        <v>9075</v>
      </c>
      <c r="E233" s="48" t="s">
        <v>9076</v>
      </c>
    </row>
    <row r="235" spans="1:5" ht="10" customHeight="1" x14ac:dyDescent="0.2">
      <c r="A235" s="44" t="s">
        <v>9077</v>
      </c>
      <c r="B235" s="44"/>
      <c r="C235" s="44"/>
      <c r="D235" s="45"/>
      <c r="E235" s="45"/>
    </row>
    <row r="237" spans="1:5" ht="10" customHeight="1" x14ac:dyDescent="0.2">
      <c r="A237" s="47" t="s">
        <v>9078</v>
      </c>
      <c r="B237" s="47" t="s">
        <v>9079</v>
      </c>
      <c r="C237" s="47" t="s">
        <v>9080</v>
      </c>
      <c r="D237" s="48" t="s">
        <v>9081</v>
      </c>
      <c r="E237" s="48" t="s">
        <v>9082</v>
      </c>
    </row>
    <row r="238" spans="1:5" ht="10" customHeight="1" x14ac:dyDescent="0.2">
      <c r="A238" s="47"/>
      <c r="B238" s="47"/>
      <c r="C238" s="47"/>
      <c r="D238" s="47"/>
      <c r="E238" s="47"/>
    </row>
    <row r="239" spans="1:5" ht="10" customHeight="1" x14ac:dyDescent="0.2">
      <c r="A239" s="47" t="s">
        <v>9078</v>
      </c>
      <c r="B239" s="47" t="s">
        <v>9083</v>
      </c>
      <c r="C239" s="47" t="s">
        <v>9084</v>
      </c>
      <c r="D239" s="48" t="s">
        <v>9085</v>
      </c>
      <c r="E239" s="48" t="s">
        <v>9086</v>
      </c>
    </row>
    <row r="240" spans="1:5" ht="10" customHeight="1" x14ac:dyDescent="0.2">
      <c r="A240" s="47"/>
      <c r="B240" s="47"/>
      <c r="C240" s="47"/>
      <c r="D240" s="47"/>
      <c r="E240" s="47"/>
    </row>
    <row r="241" spans="1:5" ht="10" customHeight="1" x14ac:dyDescent="0.2">
      <c r="A241" s="47" t="s">
        <v>9078</v>
      </c>
      <c r="B241" s="47" t="s">
        <v>9087</v>
      </c>
      <c r="C241" s="47" t="s">
        <v>9088</v>
      </c>
      <c r="D241" s="48" t="s">
        <v>9089</v>
      </c>
      <c r="E241" s="48" t="s">
        <v>9090</v>
      </c>
    </row>
    <row r="242" spans="1:5" ht="10" customHeight="1" x14ac:dyDescent="0.2">
      <c r="A242" s="47"/>
      <c r="B242" s="47"/>
      <c r="C242" s="47"/>
      <c r="D242" s="47"/>
      <c r="E242" s="47"/>
    </row>
    <row r="243" spans="1:5" ht="10" customHeight="1" x14ac:dyDescent="0.2">
      <c r="A243" s="47" t="s">
        <v>9078</v>
      </c>
      <c r="B243" s="47" t="s">
        <v>9091</v>
      </c>
      <c r="C243" s="47" t="s">
        <v>9092</v>
      </c>
      <c r="D243" s="48" t="s">
        <v>9093</v>
      </c>
      <c r="E243" s="48" t="s">
        <v>9094</v>
      </c>
    </row>
    <row r="244" spans="1:5" ht="10" customHeight="1" x14ac:dyDescent="0.2">
      <c r="A244" s="47"/>
      <c r="B244" s="47"/>
      <c r="C244" s="47"/>
      <c r="D244" s="47"/>
      <c r="E244" s="47"/>
    </row>
    <row r="245" spans="1:5" ht="10" customHeight="1" x14ac:dyDescent="0.2">
      <c r="A245" s="47" t="s">
        <v>9078</v>
      </c>
      <c r="B245" s="47" t="s">
        <v>9095</v>
      </c>
      <c r="C245" s="47" t="s">
        <v>9096</v>
      </c>
      <c r="D245" s="48" t="s">
        <v>9097</v>
      </c>
      <c r="E245" s="48" t="s">
        <v>9098</v>
      </c>
    </row>
    <row r="246" spans="1:5" ht="10" customHeight="1" x14ac:dyDescent="0.2">
      <c r="A246" s="47"/>
      <c r="B246" s="47"/>
      <c r="C246" s="47"/>
      <c r="D246" s="47"/>
      <c r="E246" s="47"/>
    </row>
    <row r="247" spans="1:5" ht="10" customHeight="1" x14ac:dyDescent="0.2">
      <c r="A247" s="47" t="s">
        <v>9078</v>
      </c>
      <c r="B247" s="47" t="s">
        <v>9099</v>
      </c>
      <c r="C247" s="47" t="s">
        <v>9100</v>
      </c>
      <c r="D247" s="48" t="s">
        <v>9101</v>
      </c>
      <c r="E247" s="48" t="s">
        <v>9102</v>
      </c>
    </row>
    <row r="248" spans="1:5" ht="10" customHeight="1" x14ac:dyDescent="0.2">
      <c r="A248" s="47"/>
      <c r="B248" s="47"/>
      <c r="C248" s="47"/>
      <c r="D248" s="47"/>
      <c r="E248" s="47"/>
    </row>
    <row r="249" spans="1:5" ht="10" customHeight="1" x14ac:dyDescent="0.2">
      <c r="A249" s="47" t="s">
        <v>9078</v>
      </c>
      <c r="B249" s="47" t="s">
        <v>9103</v>
      </c>
      <c r="C249" s="47" t="s">
        <v>9104</v>
      </c>
      <c r="D249" s="48" t="s">
        <v>9105</v>
      </c>
      <c r="E249" s="48" t="s">
        <v>9106</v>
      </c>
    </row>
    <row r="252" spans="1:5" ht="10" customHeight="1" x14ac:dyDescent="0.2">
      <c r="A252" s="44" t="s">
        <v>9107</v>
      </c>
      <c r="B252" s="44"/>
      <c r="C252" s="44"/>
      <c r="D252" s="45"/>
      <c r="E252" s="45"/>
    </row>
    <row r="254" spans="1:5" ht="10" customHeight="1" x14ac:dyDescent="0.2">
      <c r="A254" s="47" t="s">
        <v>9108</v>
      </c>
      <c r="B254" s="47" t="s">
        <v>9109</v>
      </c>
      <c r="C254" s="47" t="s">
        <v>9110</v>
      </c>
      <c r="D254" s="48" t="s">
        <v>9111</v>
      </c>
      <c r="E254" s="48" t="s">
        <v>9112</v>
      </c>
    </row>
    <row r="255" spans="1:5" ht="10" customHeight="1" x14ac:dyDescent="0.2">
      <c r="A255" s="47"/>
      <c r="B255" s="47"/>
      <c r="C255" s="47"/>
      <c r="D255" s="47"/>
      <c r="E255" s="47"/>
    </row>
    <row r="256" spans="1:5" ht="10" customHeight="1" x14ac:dyDescent="0.2">
      <c r="A256" s="47" t="s">
        <v>9108</v>
      </c>
      <c r="B256" s="47" t="s">
        <v>9113</v>
      </c>
      <c r="C256" s="47" t="s">
        <v>9114</v>
      </c>
      <c r="D256" s="48" t="s">
        <v>9115</v>
      </c>
      <c r="E256" s="48" t="s">
        <v>9116</v>
      </c>
    </row>
    <row r="257" spans="1:5" ht="10" customHeight="1" x14ac:dyDescent="0.2">
      <c r="A257" s="47"/>
      <c r="B257" s="47"/>
      <c r="C257" s="47"/>
      <c r="D257" s="47"/>
      <c r="E257" s="47"/>
    </row>
    <row r="258" spans="1:5" ht="10" customHeight="1" x14ac:dyDescent="0.2">
      <c r="A258" s="47" t="s">
        <v>9108</v>
      </c>
      <c r="B258" s="47" t="s">
        <v>9117</v>
      </c>
      <c r="C258" s="47" t="s">
        <v>9118</v>
      </c>
      <c r="D258" s="48" t="s">
        <v>9119</v>
      </c>
      <c r="E258" s="48" t="s">
        <v>9120</v>
      </c>
    </row>
    <row r="259" spans="1:5" ht="10" customHeight="1" x14ac:dyDescent="0.2">
      <c r="A259" s="47"/>
      <c r="B259" s="47"/>
      <c r="C259" s="47"/>
      <c r="D259" s="47"/>
      <c r="E259" s="47"/>
    </row>
    <row r="260" spans="1:5" ht="10" customHeight="1" x14ac:dyDescent="0.2">
      <c r="A260" s="47" t="s">
        <v>9108</v>
      </c>
      <c r="B260" s="47" t="s">
        <v>9121</v>
      </c>
      <c r="C260" s="47" t="s">
        <v>9122</v>
      </c>
      <c r="D260" s="48" t="s">
        <v>9123</v>
      </c>
      <c r="E260" s="48" t="s">
        <v>9124</v>
      </c>
    </row>
    <row r="261" spans="1:5" ht="10" customHeight="1" x14ac:dyDescent="0.2">
      <c r="A261" s="47"/>
      <c r="B261" s="47"/>
      <c r="C261" s="47"/>
      <c r="D261" s="47"/>
      <c r="E261" s="47"/>
    </row>
    <row r="262" spans="1:5" ht="10" customHeight="1" x14ac:dyDescent="0.2">
      <c r="A262" s="47" t="s">
        <v>9108</v>
      </c>
      <c r="B262" s="47" t="s">
        <v>9125</v>
      </c>
      <c r="C262" s="47" t="s">
        <v>9126</v>
      </c>
      <c r="D262" s="48" t="s">
        <v>9127</v>
      </c>
      <c r="E262" s="48" t="s">
        <v>9128</v>
      </c>
    </row>
    <row r="263" spans="1:5" ht="10" customHeight="1" x14ac:dyDescent="0.2">
      <c r="A263" s="47"/>
      <c r="B263" s="47"/>
      <c r="C263" s="47"/>
      <c r="D263" s="47"/>
      <c r="E263" s="47"/>
    </row>
    <row r="264" spans="1:5" ht="10" customHeight="1" x14ac:dyDescent="0.2">
      <c r="A264" s="47" t="s">
        <v>9108</v>
      </c>
      <c r="B264" s="47" t="s">
        <v>9129</v>
      </c>
      <c r="C264" s="47" t="s">
        <v>9130</v>
      </c>
      <c r="D264" s="48" t="s">
        <v>9131</v>
      </c>
      <c r="E264" s="48" t="s">
        <v>9132</v>
      </c>
    </row>
    <row r="265" spans="1:5" ht="10" customHeight="1" x14ac:dyDescent="0.2">
      <c r="A265" s="47"/>
      <c r="B265" s="47"/>
      <c r="C265" s="47"/>
      <c r="D265" s="47"/>
      <c r="E265" s="47"/>
    </row>
    <row r="266" spans="1:5" ht="10" customHeight="1" x14ac:dyDescent="0.2">
      <c r="A266" s="47" t="s">
        <v>9108</v>
      </c>
      <c r="B266" s="47" t="s">
        <v>9133</v>
      </c>
      <c r="C266" s="47" t="s">
        <v>9134</v>
      </c>
      <c r="D266" s="48" t="s">
        <v>9135</v>
      </c>
      <c r="E266" s="48" t="s">
        <v>9076</v>
      </c>
    </row>
    <row r="267" spans="1:5" ht="10" customHeight="1" x14ac:dyDescent="0.2">
      <c r="A267" s="47"/>
      <c r="B267" s="47"/>
      <c r="C267" s="47"/>
      <c r="D267" s="47"/>
      <c r="E267" s="47"/>
    </row>
    <row r="268" spans="1:5" ht="10" customHeight="1" x14ac:dyDescent="0.2">
      <c r="A268" s="47" t="s">
        <v>9108</v>
      </c>
      <c r="B268" s="47" t="s">
        <v>9136</v>
      </c>
      <c r="C268" s="47" t="s">
        <v>9137</v>
      </c>
      <c r="D268" s="48" t="s">
        <v>9138</v>
      </c>
      <c r="E268" s="48" t="s">
        <v>9139</v>
      </c>
    </row>
    <row r="270" spans="1:5" ht="11" customHeight="1" x14ac:dyDescent="0.2">
      <c r="A270" s="49" t="s">
        <v>9140</v>
      </c>
    </row>
    <row r="272" spans="1:5" ht="11" customHeight="1" x14ac:dyDescent="0.2">
      <c r="A272" s="50" t="s">
        <v>9141</v>
      </c>
      <c r="B272" s="50" t="s">
        <v>9142</v>
      </c>
      <c r="C272" s="50" t="s">
        <v>9143</v>
      </c>
      <c r="D272" s="50" t="s">
        <v>9144</v>
      </c>
      <c r="E272" s="50" t="s">
        <v>9145</v>
      </c>
    </row>
    <row r="273" spans="1:5" ht="11" customHeight="1" x14ac:dyDescent="0.2">
      <c r="A273" s="50" t="s">
        <v>9141</v>
      </c>
      <c r="B273" s="50" t="s">
        <v>9146</v>
      </c>
      <c r="C273" s="50" t="s">
        <v>9147</v>
      </c>
      <c r="D273" s="50" t="s">
        <v>9148</v>
      </c>
    </row>
    <row r="274" spans="1:5" ht="11" customHeight="1" x14ac:dyDescent="0.2">
      <c r="A274" s="50" t="s">
        <v>9141</v>
      </c>
      <c r="B274" s="50" t="s">
        <v>9149</v>
      </c>
      <c r="C274" s="50" t="s">
        <v>9150</v>
      </c>
      <c r="D274" s="50" t="s">
        <v>9151</v>
      </c>
    </row>
    <row r="275" spans="1:5" ht="11" customHeight="1" x14ac:dyDescent="0.2">
      <c r="A275" s="50" t="s">
        <v>9141</v>
      </c>
      <c r="B275" s="50" t="s">
        <v>9152</v>
      </c>
      <c r="C275" s="50" t="s">
        <v>9153</v>
      </c>
      <c r="D275" s="50" t="s">
        <v>9154</v>
      </c>
      <c r="E275" s="50" t="s">
        <v>9155</v>
      </c>
    </row>
    <row r="276" spans="1:5" ht="11" customHeight="1" x14ac:dyDescent="0.2">
      <c r="A276" s="50" t="s">
        <v>9141</v>
      </c>
      <c r="B276" s="50" t="s">
        <v>9156</v>
      </c>
      <c r="C276" s="50" t="s">
        <v>9157</v>
      </c>
      <c r="D276" s="50" t="s">
        <v>9158</v>
      </c>
      <c r="E276" s="50" t="s">
        <v>9159</v>
      </c>
    </row>
    <row r="277" spans="1:5" ht="11" customHeight="1" x14ac:dyDescent="0.2">
      <c r="A277" s="50" t="s">
        <v>9141</v>
      </c>
      <c r="B277" s="50" t="s">
        <v>9160</v>
      </c>
      <c r="C277" s="50" t="s">
        <v>9161</v>
      </c>
      <c r="D277" s="50" t="s">
        <v>9162</v>
      </c>
      <c r="E277" s="50" t="s">
        <v>9163</v>
      </c>
    </row>
    <row r="278" spans="1:5" ht="11" customHeight="1" x14ac:dyDescent="0.2">
      <c r="A278" s="50" t="s">
        <v>9141</v>
      </c>
      <c r="B278" s="50" t="s">
        <v>9164</v>
      </c>
      <c r="C278" s="50" t="s">
        <v>9165</v>
      </c>
      <c r="D278" s="50" t="s">
        <v>9166</v>
      </c>
      <c r="E278" s="50" t="s">
        <v>9167</v>
      </c>
    </row>
    <row r="279" spans="1:5" ht="11" customHeight="1" x14ac:dyDescent="0.2">
      <c r="A279" s="50" t="s">
        <v>9141</v>
      </c>
      <c r="B279" s="50" t="s">
        <v>9168</v>
      </c>
      <c r="C279" s="50" t="s">
        <v>9169</v>
      </c>
      <c r="D279" s="50" t="s">
        <v>9170</v>
      </c>
      <c r="E279" s="50" t="s">
        <v>9171</v>
      </c>
    </row>
    <row r="282" spans="1:5" ht="11" customHeight="1" x14ac:dyDescent="0.2">
      <c r="A282" s="51" t="s">
        <v>9172</v>
      </c>
    </row>
    <row r="284" spans="1:5" ht="11" customHeight="1" x14ac:dyDescent="0.2">
      <c r="A284" s="50" t="s">
        <v>9173</v>
      </c>
      <c r="B284" s="50" t="s">
        <v>9174</v>
      </c>
      <c r="C284" s="50" t="s">
        <v>9175</v>
      </c>
      <c r="D284" s="50" t="s">
        <v>9176</v>
      </c>
      <c r="E284" s="50" t="s">
        <v>9177</v>
      </c>
    </row>
    <row r="285" spans="1:5" ht="11" customHeight="1" x14ac:dyDescent="0.2">
      <c r="A285" s="50" t="s">
        <v>9173</v>
      </c>
      <c r="B285" s="50" t="s">
        <v>9174</v>
      </c>
      <c r="C285" s="50" t="s">
        <v>9178</v>
      </c>
      <c r="D285" s="50" t="s">
        <v>9179</v>
      </c>
      <c r="E285" s="50" t="s">
        <v>9180</v>
      </c>
    </row>
    <row r="287" spans="1:5" ht="11" customHeight="1" x14ac:dyDescent="0.2">
      <c r="A287" s="51" t="s">
        <v>9181</v>
      </c>
    </row>
    <row r="289" spans="1:5" ht="11" customHeight="1" x14ac:dyDescent="0.2">
      <c r="A289" s="50" t="s">
        <v>8383</v>
      </c>
      <c r="B289" s="50" t="s">
        <v>9182</v>
      </c>
      <c r="C289" s="50" t="s">
        <v>9183</v>
      </c>
      <c r="D289" s="50" t="s">
        <v>9184</v>
      </c>
      <c r="E289" s="50" t="s">
        <v>9185</v>
      </c>
    </row>
    <row r="290" spans="1:5" ht="11" customHeight="1" x14ac:dyDescent="0.2">
      <c r="A290" s="50" t="s">
        <v>8383</v>
      </c>
      <c r="B290" s="50" t="s">
        <v>9182</v>
      </c>
      <c r="C290" s="50" t="s">
        <v>9186</v>
      </c>
      <c r="D290" s="50" t="s">
        <v>9187</v>
      </c>
      <c r="E290" s="50" t="s">
        <v>9188</v>
      </c>
    </row>
    <row r="292" spans="1:5" ht="11" customHeight="1" x14ac:dyDescent="0.2">
      <c r="A292" s="51" t="s">
        <v>9189</v>
      </c>
    </row>
    <row r="294" spans="1:5" ht="11" customHeight="1" x14ac:dyDescent="0.2">
      <c r="A294" s="50" t="s">
        <v>9190</v>
      </c>
      <c r="B294" s="50" t="s">
        <v>9182</v>
      </c>
      <c r="C294" s="50" t="s">
        <v>9191</v>
      </c>
      <c r="D294" s="50" t="s">
        <v>9192</v>
      </c>
      <c r="E294" s="50" t="s">
        <v>9193</v>
      </c>
    </row>
    <row r="295" spans="1:5" ht="11" customHeight="1" x14ac:dyDescent="0.2">
      <c r="A295" s="50" t="s">
        <v>9190</v>
      </c>
      <c r="B295" s="50" t="s">
        <v>9182</v>
      </c>
      <c r="C295" s="50" t="s">
        <v>9194</v>
      </c>
      <c r="D295" s="50" t="s">
        <v>9195</v>
      </c>
      <c r="E295" s="50" t="s">
        <v>9196</v>
      </c>
    </row>
    <row r="296" spans="1:5" ht="11" customHeight="1" x14ac:dyDescent="0.2">
      <c r="A296" s="50" t="s">
        <v>9190</v>
      </c>
      <c r="B296" s="50" t="s">
        <v>9182</v>
      </c>
      <c r="C296" s="50" t="s">
        <v>9197</v>
      </c>
      <c r="D296" s="50" t="s">
        <v>9198</v>
      </c>
      <c r="E296" s="50" t="s">
        <v>9199</v>
      </c>
    </row>
    <row r="298" spans="1:5" ht="11" customHeight="1" x14ac:dyDescent="0.2">
      <c r="A298" s="51" t="s">
        <v>9200</v>
      </c>
    </row>
    <row r="300" spans="1:5" ht="11" customHeight="1" x14ac:dyDescent="0.2">
      <c r="A300" s="50" t="s">
        <v>8383</v>
      </c>
      <c r="B300" s="50" t="s">
        <v>8702</v>
      </c>
      <c r="C300" s="50" t="s">
        <v>9201</v>
      </c>
      <c r="D300" s="50" t="s">
        <v>9202</v>
      </c>
      <c r="E300" s="50" t="s">
        <v>9203</v>
      </c>
    </row>
    <row r="302" spans="1:5" ht="11" customHeight="1" x14ac:dyDescent="0.2">
      <c r="A302" s="51" t="s">
        <v>9204</v>
      </c>
    </row>
    <row r="304" spans="1:5" ht="11" customHeight="1" x14ac:dyDescent="0.2">
      <c r="A304" s="50" t="s">
        <v>9173</v>
      </c>
      <c r="B304" s="50" t="s">
        <v>9205</v>
      </c>
      <c r="C304" s="50" t="s">
        <v>9206</v>
      </c>
      <c r="D304" s="50" t="s">
        <v>9207</v>
      </c>
      <c r="E304" s="50" t="s">
        <v>9208</v>
      </c>
    </row>
    <row r="305" spans="1:5" ht="11" customHeight="1" x14ac:dyDescent="0.2">
      <c r="A305" s="50" t="s">
        <v>9173</v>
      </c>
      <c r="B305" s="50" t="s">
        <v>9205</v>
      </c>
      <c r="C305" s="50" t="s">
        <v>9209</v>
      </c>
      <c r="D305" s="50" t="s">
        <v>9210</v>
      </c>
      <c r="E305" s="50" t="s">
        <v>9211</v>
      </c>
    </row>
    <row r="306" spans="1:5" ht="11" customHeight="1" x14ac:dyDescent="0.2">
      <c r="A306" s="50" t="s">
        <v>9173</v>
      </c>
      <c r="B306" s="50" t="s">
        <v>9205</v>
      </c>
      <c r="C306" s="50" t="s">
        <v>9212</v>
      </c>
      <c r="D306" s="50" t="s">
        <v>9213</v>
      </c>
      <c r="E306" s="50" t="s">
        <v>9214</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9215</v>
      </c>
      <c r="B1" s="2"/>
      <c r="C1" s="2"/>
      <c r="D1" s="2"/>
    </row>
    <row r="2" spans="1:4" ht="10" customHeight="1" x14ac:dyDescent="0.2">
      <c r="A2" s="3" t="s">
        <v>9216</v>
      </c>
    </row>
    <row r="3" spans="1:4" ht="10" customHeight="1" x14ac:dyDescent="0.2">
      <c r="A3" s="4" t="s">
        <v>9217</v>
      </c>
      <c r="B3" s="4" t="s">
        <v>8</v>
      </c>
      <c r="C3" s="4" t="s">
        <v>11</v>
      </c>
      <c r="D3" s="4" t="s">
        <v>8678</v>
      </c>
    </row>
    <row r="4" spans="1:4" ht="10" customHeight="1" x14ac:dyDescent="0.2">
      <c r="A4" s="5">
        <v>6</v>
      </c>
      <c r="B4" s="5" t="s">
        <v>44</v>
      </c>
      <c r="C4" s="5" t="s">
        <v>47</v>
      </c>
      <c r="D4" s="5" t="s">
        <v>9218</v>
      </c>
    </row>
    <row r="5" spans="1:4" ht="10" customHeight="1" x14ac:dyDescent="0.2">
      <c r="A5" s="5">
        <v>10</v>
      </c>
      <c r="B5" s="5" t="s">
        <v>44</v>
      </c>
      <c r="C5" s="5" t="s">
        <v>68</v>
      </c>
      <c r="D5" s="5" t="s">
        <v>9219</v>
      </c>
    </row>
    <row r="6" spans="1:4" ht="10" customHeight="1" x14ac:dyDescent="0.2">
      <c r="A6" s="5">
        <v>13</v>
      </c>
      <c r="B6" s="5" t="s">
        <v>44</v>
      </c>
      <c r="C6" s="5" t="s">
        <v>79</v>
      </c>
      <c r="D6" s="5" t="s">
        <v>9220</v>
      </c>
    </row>
    <row r="7" spans="1:4" ht="10" customHeight="1" x14ac:dyDescent="0.2">
      <c r="A7" s="5">
        <v>14</v>
      </c>
      <c r="B7" s="5" t="s">
        <v>44</v>
      </c>
      <c r="C7" s="5" t="s">
        <v>83</v>
      </c>
      <c r="D7" s="5" t="s">
        <v>9219</v>
      </c>
    </row>
    <row r="8" spans="1:4" ht="10" customHeight="1" x14ac:dyDescent="0.2">
      <c r="A8" s="5">
        <v>15</v>
      </c>
      <c r="B8" s="5" t="s">
        <v>44</v>
      </c>
      <c r="C8" s="5" t="s">
        <v>87</v>
      </c>
      <c r="D8" s="5" t="s">
        <v>9221</v>
      </c>
    </row>
    <row r="9" spans="1:4" ht="10" customHeight="1" x14ac:dyDescent="0.2">
      <c r="A9" s="5">
        <v>19</v>
      </c>
      <c r="B9" s="5" t="s">
        <v>44</v>
      </c>
      <c r="C9" s="5" t="s">
        <v>99</v>
      </c>
      <c r="D9" s="5" t="s">
        <v>9222</v>
      </c>
    </row>
    <row r="10" spans="1:4" ht="10" customHeight="1" x14ac:dyDescent="0.2">
      <c r="A10" s="5">
        <v>20</v>
      </c>
      <c r="B10" s="5" t="s">
        <v>44</v>
      </c>
      <c r="C10" s="5" t="s">
        <v>103</v>
      </c>
      <c r="D10" s="5" t="s">
        <v>9223</v>
      </c>
    </row>
    <row r="11" spans="1:4" ht="10" customHeight="1" x14ac:dyDescent="0.2">
      <c r="A11" s="5">
        <v>24</v>
      </c>
      <c r="B11" s="5" t="s">
        <v>44</v>
      </c>
      <c r="C11" s="5" t="s">
        <v>114</v>
      </c>
      <c r="D11" s="5" t="s">
        <v>9224</v>
      </c>
    </row>
    <row r="12" spans="1:4" ht="10" customHeight="1" x14ac:dyDescent="0.2">
      <c r="A12" s="5">
        <v>25</v>
      </c>
      <c r="B12" s="5" t="s">
        <v>44</v>
      </c>
      <c r="C12" s="5" t="s">
        <v>118</v>
      </c>
      <c r="D12" s="5" t="s">
        <v>9225</v>
      </c>
    </row>
    <row r="13" spans="1:4" ht="10" customHeight="1" x14ac:dyDescent="0.2">
      <c r="A13" s="5">
        <v>26</v>
      </c>
      <c r="B13" s="5" t="s">
        <v>44</v>
      </c>
      <c r="C13" s="5" t="s">
        <v>124</v>
      </c>
      <c r="D13" s="5" t="s">
        <v>9226</v>
      </c>
    </row>
    <row r="14" spans="1:4" ht="10" customHeight="1" x14ac:dyDescent="0.2">
      <c r="A14" s="5">
        <v>30</v>
      </c>
      <c r="B14" s="5" t="s">
        <v>44</v>
      </c>
      <c r="C14" s="5" t="s">
        <v>134</v>
      </c>
      <c r="D14" s="5" t="s">
        <v>9227</v>
      </c>
    </row>
    <row r="15" spans="1:4" ht="10" customHeight="1" x14ac:dyDescent="0.2">
      <c r="A15" s="5">
        <v>31</v>
      </c>
      <c r="B15" s="5" t="s">
        <v>44</v>
      </c>
      <c r="C15" s="5" t="s">
        <v>138</v>
      </c>
      <c r="D15" s="5" t="s">
        <v>9228</v>
      </c>
    </row>
    <row r="16" spans="1:4" ht="10" customHeight="1" x14ac:dyDescent="0.2">
      <c r="A16" s="5">
        <v>32</v>
      </c>
      <c r="B16" s="5" t="s">
        <v>44</v>
      </c>
      <c r="C16" s="5" t="s">
        <v>143</v>
      </c>
      <c r="D16" s="5" t="s">
        <v>9229</v>
      </c>
    </row>
    <row r="17" spans="1:4" ht="10" customHeight="1" x14ac:dyDescent="0.2">
      <c r="A17" s="5">
        <v>33</v>
      </c>
      <c r="B17" s="5" t="s">
        <v>44</v>
      </c>
      <c r="C17" s="5" t="s">
        <v>148</v>
      </c>
      <c r="D17" s="5" t="s">
        <v>9230</v>
      </c>
    </row>
    <row r="18" spans="1:4" ht="10" customHeight="1" x14ac:dyDescent="0.2">
      <c r="A18" s="5">
        <v>37</v>
      </c>
      <c r="B18" s="5" t="s">
        <v>44</v>
      </c>
      <c r="C18" s="5" t="s">
        <v>161</v>
      </c>
      <c r="D18" s="5" t="s">
        <v>9231</v>
      </c>
    </row>
    <row r="19" spans="1:4" ht="10" customHeight="1" x14ac:dyDescent="0.2">
      <c r="A19" s="5">
        <v>39</v>
      </c>
      <c r="B19" s="5" t="s">
        <v>44</v>
      </c>
      <c r="C19" s="5" t="s">
        <v>167</v>
      </c>
      <c r="D19" s="5" t="s">
        <v>9232</v>
      </c>
    </row>
    <row r="20" spans="1:4" ht="10" customHeight="1" x14ac:dyDescent="0.2">
      <c r="A20" s="5">
        <v>42</v>
      </c>
      <c r="B20" s="5" t="s">
        <v>44</v>
      </c>
      <c r="C20" s="5" t="s">
        <v>176</v>
      </c>
      <c r="D20" s="5" t="s">
        <v>9233</v>
      </c>
    </row>
    <row r="21" spans="1:4" ht="10" customHeight="1" x14ac:dyDescent="0.2">
      <c r="A21" s="5">
        <v>43</v>
      </c>
      <c r="B21" s="5" t="s">
        <v>44</v>
      </c>
      <c r="C21" s="5" t="s">
        <v>181</v>
      </c>
      <c r="D21" s="5" t="s">
        <v>9234</v>
      </c>
    </row>
    <row r="22" spans="1:4" ht="10" customHeight="1" x14ac:dyDescent="0.2">
      <c r="A22" s="5">
        <v>44</v>
      </c>
      <c r="B22" s="5" t="s">
        <v>44</v>
      </c>
      <c r="C22" s="5" t="s">
        <v>187</v>
      </c>
      <c r="D22" s="5" t="s">
        <v>9235</v>
      </c>
    </row>
    <row r="23" spans="1:4" ht="10" customHeight="1" x14ac:dyDescent="0.2">
      <c r="A23" s="5">
        <v>45</v>
      </c>
      <c r="B23" s="5" t="s">
        <v>44</v>
      </c>
      <c r="C23" s="5" t="s">
        <v>195</v>
      </c>
      <c r="D23" s="5" t="s">
        <v>9236</v>
      </c>
    </row>
    <row r="24" spans="1:4" ht="10" customHeight="1" x14ac:dyDescent="0.2">
      <c r="A24" s="5">
        <v>46</v>
      </c>
      <c r="B24" s="5" t="s">
        <v>44</v>
      </c>
      <c r="C24" s="5" t="s">
        <v>201</v>
      </c>
      <c r="D24" s="5" t="s">
        <v>9237</v>
      </c>
    </row>
    <row r="25" spans="1:4" ht="10" customHeight="1" x14ac:dyDescent="0.2">
      <c r="A25" s="5">
        <v>49</v>
      </c>
      <c r="B25" s="5" t="s">
        <v>44</v>
      </c>
      <c r="C25" s="5" t="s">
        <v>213</v>
      </c>
      <c r="D25" s="5" t="s">
        <v>9238</v>
      </c>
    </row>
    <row r="26" spans="1:4" ht="10" customHeight="1" x14ac:dyDescent="0.2">
      <c r="A26" s="5">
        <v>52</v>
      </c>
      <c r="B26" s="5" t="s">
        <v>44</v>
      </c>
      <c r="C26" s="5" t="s">
        <v>225</v>
      </c>
      <c r="D26" s="5" t="s">
        <v>9239</v>
      </c>
    </row>
    <row r="27" spans="1:4" ht="10" customHeight="1" x14ac:dyDescent="0.2">
      <c r="A27" s="5">
        <v>53</v>
      </c>
      <c r="B27" s="5" t="s">
        <v>44</v>
      </c>
      <c r="C27" s="5" t="s">
        <v>231</v>
      </c>
      <c r="D27" s="5" t="s">
        <v>9240</v>
      </c>
    </row>
    <row r="28" spans="1:4" ht="10" customHeight="1" x14ac:dyDescent="0.2">
      <c r="A28" s="5">
        <v>54</v>
      </c>
      <c r="B28" s="5" t="s">
        <v>44</v>
      </c>
      <c r="C28" s="5" t="s">
        <v>238</v>
      </c>
      <c r="D28" s="5" t="s">
        <v>9241</v>
      </c>
    </row>
    <row r="29" spans="1:4" ht="10" customHeight="1" x14ac:dyDescent="0.2">
      <c r="A29" s="5">
        <v>56</v>
      </c>
      <c r="B29" s="5" t="s">
        <v>44</v>
      </c>
      <c r="C29" s="5" t="s">
        <v>249</v>
      </c>
      <c r="D29" s="5" t="s">
        <v>9242</v>
      </c>
    </row>
    <row r="30" spans="1:4" ht="10" customHeight="1" x14ac:dyDescent="0.2">
      <c r="A30" s="5">
        <v>76</v>
      </c>
      <c r="B30" s="5" t="s">
        <v>44</v>
      </c>
      <c r="C30" s="5" t="s">
        <v>295</v>
      </c>
      <c r="D30" s="5" t="s">
        <v>9243</v>
      </c>
    </row>
    <row r="31" spans="1:4" ht="10" customHeight="1" x14ac:dyDescent="0.2">
      <c r="A31" s="5">
        <v>77</v>
      </c>
      <c r="B31" s="5" t="s">
        <v>44</v>
      </c>
      <c r="C31" s="5" t="s">
        <v>299</v>
      </c>
      <c r="D31" s="5" t="s">
        <v>9244</v>
      </c>
    </row>
    <row r="32" spans="1:4" ht="10" customHeight="1" x14ac:dyDescent="0.2">
      <c r="A32" s="5">
        <v>78</v>
      </c>
      <c r="B32" s="5" t="s">
        <v>44</v>
      </c>
      <c r="C32" s="5" t="s">
        <v>303</v>
      </c>
      <c r="D32" s="5" t="s">
        <v>9245</v>
      </c>
    </row>
    <row r="33" spans="1:4" ht="10" customHeight="1" x14ac:dyDescent="0.2">
      <c r="A33" s="5">
        <v>79</v>
      </c>
      <c r="B33" s="5" t="s">
        <v>44</v>
      </c>
      <c r="C33" s="5" t="s">
        <v>310</v>
      </c>
      <c r="D33" s="5" t="s">
        <v>9246</v>
      </c>
    </row>
    <row r="34" spans="1:4" ht="10" customHeight="1" x14ac:dyDescent="0.2">
      <c r="A34" s="5">
        <v>80</v>
      </c>
      <c r="B34" s="5" t="s">
        <v>44</v>
      </c>
      <c r="C34" s="5" t="s">
        <v>314</v>
      </c>
      <c r="D34" s="5" t="s">
        <v>9247</v>
      </c>
    </row>
    <row r="35" spans="1:4" ht="10" customHeight="1" x14ac:dyDescent="0.2">
      <c r="A35" s="5">
        <v>1781</v>
      </c>
      <c r="B35" s="5" t="s">
        <v>4317</v>
      </c>
      <c r="C35" s="5" t="s">
        <v>4319</v>
      </c>
      <c r="D35" s="5" t="s">
        <v>9248</v>
      </c>
    </row>
    <row r="36" spans="1:4" ht="10" customHeight="1" x14ac:dyDescent="0.2">
      <c r="A36" s="5">
        <v>1784</v>
      </c>
      <c r="B36" s="5" t="s">
        <v>4317</v>
      </c>
      <c r="C36" s="5" t="s">
        <v>4326</v>
      </c>
      <c r="D36" s="5" t="s">
        <v>9249</v>
      </c>
    </row>
    <row r="37" spans="1:4" ht="10" customHeight="1" x14ac:dyDescent="0.2">
      <c r="A37" s="5">
        <v>1785</v>
      </c>
      <c r="B37" s="5" t="s">
        <v>4317</v>
      </c>
      <c r="C37" s="5" t="s">
        <v>4331</v>
      </c>
      <c r="D37" s="5" t="s">
        <v>9250</v>
      </c>
    </row>
    <row r="38" spans="1:4" ht="10" customHeight="1" x14ac:dyDescent="0.2">
      <c r="A38" s="5">
        <v>1786</v>
      </c>
      <c r="B38" s="5" t="s">
        <v>4317</v>
      </c>
      <c r="C38" s="5" t="s">
        <v>4334</v>
      </c>
      <c r="D38" s="5" t="s">
        <v>9251</v>
      </c>
    </row>
    <row r="39" spans="1:4" ht="10" customHeight="1" x14ac:dyDescent="0.2">
      <c r="A39" s="5">
        <v>1787</v>
      </c>
      <c r="B39" s="5" t="s">
        <v>4317</v>
      </c>
      <c r="C39" s="5" t="s">
        <v>4338</v>
      </c>
      <c r="D39" s="5" t="s">
        <v>9252</v>
      </c>
    </row>
    <row r="40" spans="1:4" ht="10" customHeight="1" x14ac:dyDescent="0.2">
      <c r="A40" s="5">
        <v>1788</v>
      </c>
      <c r="B40" s="5" t="s">
        <v>4317</v>
      </c>
      <c r="C40" s="5" t="s">
        <v>4327</v>
      </c>
      <c r="D40" s="5" t="s">
        <v>9253</v>
      </c>
    </row>
    <row r="41" spans="1:4" ht="10" customHeight="1" x14ac:dyDescent="0.2">
      <c r="A41" s="5">
        <v>1821</v>
      </c>
      <c r="B41" s="5" t="s">
        <v>4317</v>
      </c>
      <c r="C41" s="5" t="s">
        <v>4421</v>
      </c>
      <c r="D41" s="5" t="s">
        <v>9254</v>
      </c>
    </row>
    <row r="42" spans="1:4" ht="10" customHeight="1" x14ac:dyDescent="0.2">
      <c r="A42" s="5">
        <v>1822</v>
      </c>
      <c r="B42" s="5" t="s">
        <v>4317</v>
      </c>
      <c r="C42" s="5" t="s">
        <v>4424</v>
      </c>
      <c r="D42" s="5" t="s">
        <v>9255</v>
      </c>
    </row>
    <row r="43" spans="1:4" ht="10" customHeight="1" x14ac:dyDescent="0.2">
      <c r="A43" s="5">
        <v>1826</v>
      </c>
      <c r="B43" s="5" t="s">
        <v>4317</v>
      </c>
      <c r="C43" s="5" t="s">
        <v>4435</v>
      </c>
      <c r="D43" s="5" t="s">
        <v>9256</v>
      </c>
    </row>
    <row r="44" spans="1:4" ht="10" customHeight="1" x14ac:dyDescent="0.2">
      <c r="A44" s="5">
        <v>1886</v>
      </c>
      <c r="B44" s="5" t="s">
        <v>4317</v>
      </c>
      <c r="C44" s="5" t="s">
        <v>4579</v>
      </c>
      <c r="D44" s="5" t="s">
        <v>9257</v>
      </c>
    </row>
    <row r="45" spans="1:4" ht="10" customHeight="1" x14ac:dyDescent="0.2">
      <c r="A45" s="5">
        <v>1887</v>
      </c>
      <c r="B45" s="5" t="s">
        <v>4317</v>
      </c>
      <c r="C45" s="5" t="s">
        <v>4581</v>
      </c>
      <c r="D45" s="5" t="s">
        <v>9258</v>
      </c>
    </row>
    <row r="46" spans="1:4" ht="10" customHeight="1" x14ac:dyDescent="0.2">
      <c r="A46" s="5">
        <v>1888</v>
      </c>
      <c r="B46" s="5" t="s">
        <v>4317</v>
      </c>
      <c r="C46" s="5" t="s">
        <v>4583</v>
      </c>
      <c r="D46" s="5" t="s">
        <v>9259</v>
      </c>
    </row>
    <row r="47" spans="1:4" ht="10" customHeight="1" x14ac:dyDescent="0.2">
      <c r="A47" s="5">
        <v>1893</v>
      </c>
      <c r="B47" s="5" t="s">
        <v>4317</v>
      </c>
      <c r="C47" s="5" t="s">
        <v>4598</v>
      </c>
      <c r="D47" s="5" t="s">
        <v>9260</v>
      </c>
    </row>
    <row r="48" spans="1:4" ht="10" customHeight="1" x14ac:dyDescent="0.2">
      <c r="A48" s="5">
        <v>1912</v>
      </c>
      <c r="B48" s="5" t="s">
        <v>4317</v>
      </c>
      <c r="C48" s="5" t="s">
        <v>4642</v>
      </c>
      <c r="D48" s="5" t="s">
        <v>9261</v>
      </c>
    </row>
    <row r="49" spans="1:4" ht="10" customHeight="1" x14ac:dyDescent="0.2">
      <c r="A49" s="5">
        <v>1913</v>
      </c>
      <c r="B49" s="5" t="s">
        <v>4317</v>
      </c>
      <c r="C49" s="5" t="s">
        <v>4646</v>
      </c>
      <c r="D49" s="5" t="s">
        <v>9262</v>
      </c>
    </row>
    <row r="50" spans="1:4" ht="10" customHeight="1" x14ac:dyDescent="0.2">
      <c r="A50" s="5">
        <v>1914</v>
      </c>
      <c r="B50" s="5" t="s">
        <v>4317</v>
      </c>
      <c r="C50" s="5" t="s">
        <v>4651</v>
      </c>
      <c r="D50" s="5" t="s">
        <v>9263</v>
      </c>
    </row>
    <row r="51" spans="1:4" ht="10" customHeight="1" x14ac:dyDescent="0.2">
      <c r="A51" s="5">
        <v>1915</v>
      </c>
      <c r="B51" s="5" t="s">
        <v>4317</v>
      </c>
      <c r="C51" s="5" t="s">
        <v>4654</v>
      </c>
      <c r="D51" s="5" t="s">
        <v>9264</v>
      </c>
    </row>
    <row r="52" spans="1:4" ht="10" customHeight="1" x14ac:dyDescent="0.2">
      <c r="A52" s="5">
        <v>1916</v>
      </c>
      <c r="B52" s="5" t="s">
        <v>4317</v>
      </c>
      <c r="C52" s="5" t="s">
        <v>4656</v>
      </c>
      <c r="D52" s="5" t="s">
        <v>9265</v>
      </c>
    </row>
    <row r="53" spans="1:4" ht="10" customHeight="1" x14ac:dyDescent="0.2">
      <c r="A53" s="5">
        <v>1917</v>
      </c>
      <c r="B53" s="5" t="s">
        <v>4317</v>
      </c>
      <c r="C53" s="5" t="s">
        <v>4658</v>
      </c>
      <c r="D53" s="5" t="s">
        <v>9266</v>
      </c>
    </row>
    <row r="54" spans="1:4" ht="10" customHeight="1" x14ac:dyDescent="0.2">
      <c r="A54" s="5">
        <v>1918</v>
      </c>
      <c r="B54" s="5" t="s">
        <v>4317</v>
      </c>
      <c r="C54" s="5" t="s">
        <v>4662</v>
      </c>
      <c r="D54" s="5" t="s">
        <v>9267</v>
      </c>
    </row>
    <row r="55" spans="1:4" ht="10" customHeight="1" x14ac:dyDescent="0.2">
      <c r="A55" s="5">
        <v>1919</v>
      </c>
      <c r="B55" s="5" t="s">
        <v>4317</v>
      </c>
      <c r="C55" s="5" t="s">
        <v>4664</v>
      </c>
      <c r="D55" s="5" t="s">
        <v>9268</v>
      </c>
    </row>
    <row r="56" spans="1:4" ht="10" customHeight="1" x14ac:dyDescent="0.2">
      <c r="A56" s="5">
        <v>1920</v>
      </c>
      <c r="B56" s="5" t="s">
        <v>4317</v>
      </c>
      <c r="C56" s="5" t="s">
        <v>4667</v>
      </c>
      <c r="D56" s="5" t="s">
        <v>9269</v>
      </c>
    </row>
    <row r="57" spans="1:4" ht="10" customHeight="1" x14ac:dyDescent="0.2">
      <c r="A57" s="5">
        <v>1921</v>
      </c>
      <c r="B57" s="5" t="s">
        <v>4317</v>
      </c>
      <c r="C57" s="5" t="s">
        <v>4669</v>
      </c>
      <c r="D57" s="5" t="s">
        <v>9270</v>
      </c>
    </row>
    <row r="58" spans="1:4" ht="10" customHeight="1" x14ac:dyDescent="0.2">
      <c r="A58" s="5">
        <v>1922</v>
      </c>
      <c r="B58" s="5" t="s">
        <v>4317</v>
      </c>
      <c r="C58" s="5" t="s">
        <v>4671</v>
      </c>
      <c r="D58" s="5" t="s">
        <v>9271</v>
      </c>
    </row>
    <row r="59" spans="1:4" ht="10" customHeight="1" x14ac:dyDescent="0.2">
      <c r="A59" s="5">
        <v>1923</v>
      </c>
      <c r="B59" s="5" t="s">
        <v>4317</v>
      </c>
      <c r="C59" s="5" t="s">
        <v>4672</v>
      </c>
      <c r="D59" s="5" t="s">
        <v>9272</v>
      </c>
    </row>
    <row r="60" spans="1:4" ht="10" customHeight="1" x14ac:dyDescent="0.2">
      <c r="A60" s="5">
        <v>1924</v>
      </c>
      <c r="B60" s="5" t="s">
        <v>4317</v>
      </c>
      <c r="C60" s="5" t="s">
        <v>4673</v>
      </c>
      <c r="D60" s="5" t="s">
        <v>9273</v>
      </c>
    </row>
    <row r="61" spans="1:4" ht="10" customHeight="1" x14ac:dyDescent="0.2">
      <c r="A61" s="5">
        <v>1925</v>
      </c>
      <c r="B61" s="5" t="s">
        <v>4317</v>
      </c>
      <c r="C61" s="5" t="s">
        <v>4674</v>
      </c>
      <c r="D61" s="5" t="s">
        <v>9274</v>
      </c>
    </row>
    <row r="62" spans="1:4" ht="10" customHeight="1" x14ac:dyDescent="0.2">
      <c r="A62" s="5">
        <v>1926</v>
      </c>
      <c r="B62" s="5" t="s">
        <v>4317</v>
      </c>
      <c r="C62" s="5" t="s">
        <v>4679</v>
      </c>
      <c r="D62" s="5" t="s">
        <v>9275</v>
      </c>
    </row>
    <row r="63" spans="1:4" ht="10" customHeight="1" x14ac:dyDescent="0.2">
      <c r="A63" s="5">
        <v>1927</v>
      </c>
      <c r="B63" s="5" t="s">
        <v>4317</v>
      </c>
      <c r="C63" s="5" t="s">
        <v>4682</v>
      </c>
      <c r="D63" s="5" t="s">
        <v>9276</v>
      </c>
    </row>
    <row r="64" spans="1:4" ht="10" customHeight="1" x14ac:dyDescent="0.2">
      <c r="A64" s="5">
        <v>1928</v>
      </c>
      <c r="B64" s="5" t="s">
        <v>4317</v>
      </c>
      <c r="C64" s="5" t="s">
        <v>4683</v>
      </c>
      <c r="D64" s="5" t="s">
        <v>9277</v>
      </c>
    </row>
    <row r="65" spans="1:4" ht="10" customHeight="1" x14ac:dyDescent="0.2">
      <c r="A65" s="5">
        <v>1929</v>
      </c>
      <c r="B65" s="5" t="s">
        <v>4317</v>
      </c>
      <c r="C65" s="5" t="s">
        <v>4688</v>
      </c>
      <c r="D65" s="5" t="s">
        <v>9278</v>
      </c>
    </row>
    <row r="66" spans="1:4" ht="10" customHeight="1" x14ac:dyDescent="0.2">
      <c r="A66" s="5">
        <v>1930</v>
      </c>
      <c r="B66" s="5" t="s">
        <v>4317</v>
      </c>
      <c r="C66" s="5" t="s">
        <v>4691</v>
      </c>
      <c r="D66" s="5" t="s">
        <v>9279</v>
      </c>
    </row>
    <row r="67" spans="1:4" ht="10" customHeight="1" x14ac:dyDescent="0.2">
      <c r="A67" s="5">
        <v>1931</v>
      </c>
      <c r="B67" s="5" t="s">
        <v>4317</v>
      </c>
      <c r="C67" s="5" t="s">
        <v>4694</v>
      </c>
      <c r="D67" s="5" t="s">
        <v>9280</v>
      </c>
    </row>
    <row r="68" spans="1:4" ht="10" customHeight="1" x14ac:dyDescent="0.2">
      <c r="A68" s="5">
        <v>1938</v>
      </c>
      <c r="B68" s="5" t="s">
        <v>4712</v>
      </c>
      <c r="C68" s="5" t="s">
        <v>4714</v>
      </c>
      <c r="D68" s="5" t="s">
        <v>9281</v>
      </c>
    </row>
    <row r="69" spans="1:4" ht="10" customHeight="1" x14ac:dyDescent="0.2">
      <c r="A69" s="5">
        <v>1958</v>
      </c>
      <c r="B69" s="5" t="s">
        <v>4712</v>
      </c>
      <c r="C69" s="5" t="s">
        <v>4744</v>
      </c>
      <c r="D69" s="5" t="s">
        <v>9282</v>
      </c>
    </row>
    <row r="70" spans="1:4" ht="10" customHeight="1" x14ac:dyDescent="0.2">
      <c r="A70" s="5">
        <v>1959</v>
      </c>
      <c r="B70" s="5" t="s">
        <v>4712</v>
      </c>
      <c r="C70" s="5" t="s">
        <v>4748</v>
      </c>
      <c r="D70" s="5" t="s">
        <v>9283</v>
      </c>
    </row>
    <row r="71" spans="1:4" ht="10" customHeight="1" x14ac:dyDescent="0.2">
      <c r="A71" s="5">
        <v>1960</v>
      </c>
      <c r="B71" s="5" t="s">
        <v>4712</v>
      </c>
      <c r="C71" s="5" t="s">
        <v>4751</v>
      </c>
      <c r="D71" s="5" t="s">
        <v>9284</v>
      </c>
    </row>
    <row r="72" spans="1:4" ht="10" customHeight="1" x14ac:dyDescent="0.2">
      <c r="A72" s="5">
        <v>1961</v>
      </c>
      <c r="B72" s="5" t="s">
        <v>4712</v>
      </c>
      <c r="C72" s="5" t="s">
        <v>4755</v>
      </c>
      <c r="D72" s="5" t="s">
        <v>9285</v>
      </c>
    </row>
    <row r="73" spans="1:4" ht="10" customHeight="1" x14ac:dyDescent="0.2">
      <c r="A73" s="5">
        <v>1962</v>
      </c>
      <c r="B73" s="5" t="s">
        <v>4712</v>
      </c>
      <c r="C73" s="5" t="s">
        <v>4758</v>
      </c>
      <c r="D73" s="5" t="s">
        <v>9286</v>
      </c>
    </row>
    <row r="74" spans="1:4" ht="10" customHeight="1" x14ac:dyDescent="0.2">
      <c r="A74" s="5">
        <v>1963</v>
      </c>
      <c r="B74" s="5" t="s">
        <v>4712</v>
      </c>
      <c r="C74" s="5" t="s">
        <v>4761</v>
      </c>
      <c r="D74" s="5" t="s">
        <v>9287</v>
      </c>
    </row>
    <row r="75" spans="1:4" ht="10" customHeight="1" x14ac:dyDescent="0.2">
      <c r="A75" s="5">
        <v>1964</v>
      </c>
      <c r="B75" s="5" t="s">
        <v>4712</v>
      </c>
      <c r="C75" s="5" t="s">
        <v>4764</v>
      </c>
      <c r="D75" s="5" t="s">
        <v>9288</v>
      </c>
    </row>
    <row r="76" spans="1:4" ht="10" customHeight="1" x14ac:dyDescent="0.2">
      <c r="A76" s="5">
        <v>1965</v>
      </c>
      <c r="B76" s="5" t="s">
        <v>4712</v>
      </c>
      <c r="C76" s="5" t="s">
        <v>4767</v>
      </c>
      <c r="D76" s="5" t="s">
        <v>9289</v>
      </c>
    </row>
    <row r="77" spans="1:4" ht="10" customHeight="1" x14ac:dyDescent="0.2">
      <c r="A77" s="5">
        <v>1966</v>
      </c>
      <c r="B77" s="5" t="s">
        <v>4712</v>
      </c>
      <c r="C77" s="5" t="s">
        <v>4770</v>
      </c>
      <c r="D77" s="5" t="s">
        <v>9290</v>
      </c>
    </row>
    <row r="78" spans="1:4" ht="10" customHeight="1" x14ac:dyDescent="0.2">
      <c r="A78" s="5">
        <v>1967</v>
      </c>
      <c r="B78" s="5" t="s">
        <v>4712</v>
      </c>
      <c r="C78" s="5" t="s">
        <v>4773</v>
      </c>
      <c r="D78" s="5" t="s">
        <v>9291</v>
      </c>
    </row>
    <row r="79" spans="1:4" ht="10" customHeight="1" x14ac:dyDescent="0.2">
      <c r="A79" s="5">
        <v>1968</v>
      </c>
      <c r="B79" s="5" t="s">
        <v>4712</v>
      </c>
      <c r="C79" s="5" t="s">
        <v>4776</v>
      </c>
      <c r="D79" s="5" t="s">
        <v>9292</v>
      </c>
    </row>
    <row r="80" spans="1:4" ht="10" customHeight="1" x14ac:dyDescent="0.2">
      <c r="A80" s="5">
        <v>1969</v>
      </c>
      <c r="B80" s="5" t="s">
        <v>4712</v>
      </c>
      <c r="C80" s="5" t="s">
        <v>4779</v>
      </c>
      <c r="D80" s="5" t="s">
        <v>9293</v>
      </c>
    </row>
    <row r="81" spans="1:4" ht="10" customHeight="1" x14ac:dyDescent="0.2">
      <c r="A81" s="5">
        <v>1970</v>
      </c>
      <c r="B81" s="5" t="s">
        <v>4712</v>
      </c>
      <c r="C81" s="5" t="s">
        <v>4782</v>
      </c>
      <c r="D81" s="5" t="s">
        <v>9294</v>
      </c>
    </row>
    <row r="82" spans="1:4" ht="10" customHeight="1" x14ac:dyDescent="0.2">
      <c r="A82" s="5">
        <v>1971</v>
      </c>
      <c r="B82" s="5" t="s">
        <v>4712</v>
      </c>
      <c r="C82" s="5" t="s">
        <v>4786</v>
      </c>
      <c r="D82" s="5" t="s">
        <v>9295</v>
      </c>
    </row>
    <row r="83" spans="1:4" ht="10" customHeight="1" x14ac:dyDescent="0.2">
      <c r="A83" s="5">
        <v>1972</v>
      </c>
      <c r="B83" s="5" t="s">
        <v>4712</v>
      </c>
      <c r="C83" s="5" t="s">
        <v>4789</v>
      </c>
      <c r="D83" s="5" t="s">
        <v>9296</v>
      </c>
    </row>
    <row r="84" spans="1:4" ht="10" customHeight="1" x14ac:dyDescent="0.2">
      <c r="A84" s="5">
        <v>1973</v>
      </c>
      <c r="B84" s="5" t="s">
        <v>4712</v>
      </c>
      <c r="C84" s="5" t="s">
        <v>4792</v>
      </c>
      <c r="D84" s="5" t="s">
        <v>9297</v>
      </c>
    </row>
    <row r="85" spans="1:4" ht="10" customHeight="1" x14ac:dyDescent="0.2">
      <c r="A85" s="5">
        <v>1974</v>
      </c>
      <c r="B85" s="5" t="s">
        <v>4712</v>
      </c>
      <c r="C85" s="5" t="s">
        <v>4794</v>
      </c>
      <c r="D85" s="5" t="s">
        <v>9298</v>
      </c>
    </row>
    <row r="86" spans="1:4" ht="10" customHeight="1" x14ac:dyDescent="0.2">
      <c r="A86" s="5">
        <v>2159</v>
      </c>
      <c r="B86" s="5" t="s">
        <v>4712</v>
      </c>
      <c r="C86" s="5" t="s">
        <v>5188</v>
      </c>
      <c r="D86" s="5" t="s">
        <v>9299</v>
      </c>
    </row>
    <row r="87" spans="1:4" ht="10" customHeight="1" x14ac:dyDescent="0.2">
      <c r="A87" s="5">
        <v>2163</v>
      </c>
      <c r="B87" s="5" t="s">
        <v>4712</v>
      </c>
      <c r="C87" s="5" t="s">
        <v>5194</v>
      </c>
      <c r="D87" s="5" t="s">
        <v>9300</v>
      </c>
    </row>
    <row r="88" spans="1:4" ht="10" customHeight="1" x14ac:dyDescent="0.2">
      <c r="A88" s="5">
        <v>2170</v>
      </c>
      <c r="B88" s="5" t="s">
        <v>4712</v>
      </c>
      <c r="C88" s="5" t="s">
        <v>5205</v>
      </c>
      <c r="D88" s="5" t="s">
        <v>9301</v>
      </c>
    </row>
    <row r="89" spans="1:4" ht="10" customHeight="1" x14ac:dyDescent="0.2">
      <c r="A89" s="5">
        <v>2171</v>
      </c>
      <c r="B89" s="5" t="s">
        <v>4712</v>
      </c>
      <c r="C89" s="5" t="s">
        <v>5207</v>
      </c>
      <c r="D89" s="5" t="s">
        <v>9302</v>
      </c>
    </row>
    <row r="90" spans="1:4" ht="10" customHeight="1" x14ac:dyDescent="0.2">
      <c r="A90" s="5">
        <v>2173</v>
      </c>
      <c r="B90" s="5" t="s">
        <v>4712</v>
      </c>
      <c r="C90" s="5" t="s">
        <v>5212</v>
      </c>
      <c r="D90" s="5" t="s">
        <v>9303</v>
      </c>
    </row>
    <row r="91" spans="1:4" ht="10" customHeight="1" x14ac:dyDescent="0.2">
      <c r="A91" s="5">
        <v>2179</v>
      </c>
      <c r="B91" s="5" t="s">
        <v>4712</v>
      </c>
      <c r="C91" s="5" t="s">
        <v>5228</v>
      </c>
      <c r="D91" s="5" t="s">
        <v>9304</v>
      </c>
    </row>
    <row r="92" spans="1:4" ht="10" customHeight="1" x14ac:dyDescent="0.2">
      <c r="A92" s="5">
        <v>2182</v>
      </c>
      <c r="B92" s="5" t="s">
        <v>4712</v>
      </c>
      <c r="C92" s="5" t="s">
        <v>5236</v>
      </c>
      <c r="D92" s="5" t="s">
        <v>9305</v>
      </c>
    </row>
    <row r="93" spans="1:4" ht="10" customHeight="1" x14ac:dyDescent="0.2">
      <c r="A93" s="5">
        <v>2185</v>
      </c>
      <c r="B93" s="5" t="s">
        <v>4712</v>
      </c>
      <c r="C93" s="5" t="s">
        <v>5245</v>
      </c>
      <c r="D93" s="5" t="s">
        <v>9306</v>
      </c>
    </row>
    <row r="94" spans="1:4" ht="10" customHeight="1" x14ac:dyDescent="0.2">
      <c r="A94" s="5">
        <v>2186</v>
      </c>
      <c r="B94" s="5" t="s">
        <v>4712</v>
      </c>
      <c r="C94" s="5" t="s">
        <v>5248</v>
      </c>
      <c r="D94" s="5" t="s">
        <v>9307</v>
      </c>
    </row>
    <row r="95" spans="1:4" ht="10" customHeight="1" x14ac:dyDescent="0.2">
      <c r="A95" s="5">
        <v>2187</v>
      </c>
      <c r="B95" s="5" t="s">
        <v>4712</v>
      </c>
      <c r="C95" s="5" t="s">
        <v>5252</v>
      </c>
      <c r="D95" s="5" t="s">
        <v>9308</v>
      </c>
    </row>
    <row r="96" spans="1:4" ht="10" customHeight="1" x14ac:dyDescent="0.2">
      <c r="A96" s="5">
        <v>2192</v>
      </c>
      <c r="B96" s="5" t="s">
        <v>4712</v>
      </c>
      <c r="C96" s="5" t="s">
        <v>5267</v>
      </c>
      <c r="D96" s="5" t="s">
        <v>9309</v>
      </c>
    </row>
    <row r="97" spans="1:4" ht="10" customHeight="1" x14ac:dyDescent="0.2">
      <c r="A97" s="5">
        <v>2198</v>
      </c>
      <c r="B97" s="5" t="s">
        <v>4712</v>
      </c>
      <c r="C97" s="5" t="s">
        <v>5289</v>
      </c>
      <c r="D97" s="5" t="s">
        <v>9310</v>
      </c>
    </row>
    <row r="98" spans="1:4" ht="10" customHeight="1" x14ac:dyDescent="0.2">
      <c r="A98" s="5">
        <v>2199</v>
      </c>
      <c r="B98" s="5" t="s">
        <v>4712</v>
      </c>
      <c r="C98" s="5" t="s">
        <v>5293</v>
      </c>
      <c r="D98" s="5" t="s">
        <v>9311</v>
      </c>
    </row>
    <row r="99" spans="1:4" ht="10" customHeight="1" x14ac:dyDescent="0.2">
      <c r="A99" s="5">
        <v>2209</v>
      </c>
      <c r="B99" s="5" t="s">
        <v>4712</v>
      </c>
      <c r="C99" s="5" t="s">
        <v>5323</v>
      </c>
      <c r="D99" s="5" t="s">
        <v>9312</v>
      </c>
    </row>
    <row r="100" spans="1:4" ht="10" customHeight="1" x14ac:dyDescent="0.2">
      <c r="A100" s="5">
        <v>2211</v>
      </c>
      <c r="B100" s="5" t="s">
        <v>4712</v>
      </c>
      <c r="C100" s="5" t="s">
        <v>5325</v>
      </c>
      <c r="D100" s="5" t="s">
        <v>9313</v>
      </c>
    </row>
    <row r="101" spans="1:4" ht="10" customHeight="1" x14ac:dyDescent="0.2">
      <c r="A101" s="5">
        <v>2218</v>
      </c>
      <c r="B101" s="5" t="s">
        <v>4712</v>
      </c>
      <c r="C101" s="5" t="s">
        <v>5342</v>
      </c>
      <c r="D101" s="5" t="s">
        <v>9314</v>
      </c>
    </row>
    <row r="102" spans="1:4" ht="10" customHeight="1" x14ac:dyDescent="0.2">
      <c r="A102" s="5">
        <v>2220</v>
      </c>
      <c r="B102" s="5" t="s">
        <v>4712</v>
      </c>
      <c r="C102" s="5" t="s">
        <v>5349</v>
      </c>
      <c r="D102" s="5" t="s">
        <v>9315</v>
      </c>
    </row>
    <row r="103" spans="1:4" ht="10" customHeight="1" x14ac:dyDescent="0.2">
      <c r="A103" s="5">
        <v>2226</v>
      </c>
      <c r="B103" s="5" t="s">
        <v>4712</v>
      </c>
      <c r="C103" s="5" t="s">
        <v>5369</v>
      </c>
      <c r="D103" s="5" t="s">
        <v>9316</v>
      </c>
    </row>
    <row r="104" spans="1:4" ht="10" customHeight="1" x14ac:dyDescent="0.2">
      <c r="A104" s="5">
        <v>2228</v>
      </c>
      <c r="B104" s="5" t="s">
        <v>4712</v>
      </c>
      <c r="C104" s="5" t="s">
        <v>5377</v>
      </c>
      <c r="D104" s="5" t="s">
        <v>9317</v>
      </c>
    </row>
    <row r="105" spans="1:4" ht="10" customHeight="1" x14ac:dyDescent="0.2">
      <c r="A105" s="5">
        <v>2231</v>
      </c>
      <c r="B105" s="5" t="s">
        <v>4712</v>
      </c>
      <c r="C105" s="5" t="s">
        <v>5385</v>
      </c>
      <c r="D105" s="5" t="s">
        <v>9318</v>
      </c>
    </row>
    <row r="106" spans="1:4" ht="10" customHeight="1" x14ac:dyDescent="0.2">
      <c r="A106" s="5">
        <v>2235</v>
      </c>
      <c r="B106" s="5" t="s">
        <v>4712</v>
      </c>
      <c r="C106" s="5" t="s">
        <v>5396</v>
      </c>
      <c r="D106" s="5" t="s">
        <v>9319</v>
      </c>
    </row>
    <row r="107" spans="1:4" ht="10" customHeight="1" x14ac:dyDescent="0.2">
      <c r="A107" s="5">
        <v>2240</v>
      </c>
      <c r="B107" s="5" t="s">
        <v>4712</v>
      </c>
      <c r="C107" s="5" t="s">
        <v>5408</v>
      </c>
      <c r="D107" s="5" t="s">
        <v>9320</v>
      </c>
    </row>
    <row r="108" spans="1:4" ht="10" customHeight="1" x14ac:dyDescent="0.2">
      <c r="A108" s="5">
        <v>2243</v>
      </c>
      <c r="B108" s="5" t="s">
        <v>4712</v>
      </c>
      <c r="C108" s="5" t="s">
        <v>5420</v>
      </c>
      <c r="D108" s="5" t="s">
        <v>9321</v>
      </c>
    </row>
    <row r="109" spans="1:4" ht="10" customHeight="1" x14ac:dyDescent="0.2">
      <c r="A109" s="5">
        <v>2245</v>
      </c>
      <c r="B109" s="5" t="s">
        <v>4712</v>
      </c>
      <c r="C109" s="5" t="s">
        <v>5426</v>
      </c>
      <c r="D109" s="5" t="s">
        <v>9322</v>
      </c>
    </row>
    <row r="110" spans="1:4" ht="10" customHeight="1" x14ac:dyDescent="0.2">
      <c r="A110" s="5">
        <v>2246</v>
      </c>
      <c r="B110" s="5" t="s">
        <v>4712</v>
      </c>
      <c r="C110" s="5" t="s">
        <v>5430</v>
      </c>
      <c r="D110" s="5" t="s">
        <v>9323</v>
      </c>
    </row>
    <row r="111" spans="1:4" ht="10" customHeight="1" x14ac:dyDescent="0.2">
      <c r="A111" s="5">
        <v>2247</v>
      </c>
      <c r="B111" s="5" t="s">
        <v>4712</v>
      </c>
      <c r="C111" s="5" t="s">
        <v>5433</v>
      </c>
      <c r="D111" s="5" t="s">
        <v>9324</v>
      </c>
    </row>
    <row r="112" spans="1:4" ht="10" customHeight="1" x14ac:dyDescent="0.2">
      <c r="A112" s="5">
        <v>2248</v>
      </c>
      <c r="B112" s="5" t="s">
        <v>4712</v>
      </c>
      <c r="C112" s="5" t="s">
        <v>5435</v>
      </c>
      <c r="D112" s="5" t="s">
        <v>9325</v>
      </c>
    </row>
    <row r="113" spans="1:4" ht="10" customHeight="1" x14ac:dyDescent="0.2">
      <c r="A113" s="5">
        <v>2654</v>
      </c>
      <c r="B113" s="5" t="s">
        <v>6258</v>
      </c>
      <c r="C113" s="5" t="s">
        <v>6260</v>
      </c>
      <c r="D113" s="5" t="s">
        <v>9326</v>
      </c>
    </row>
    <row r="114" spans="1:4" ht="10" customHeight="1" x14ac:dyDescent="0.2">
      <c r="A114" s="5">
        <v>2655</v>
      </c>
      <c r="B114" s="5" t="s">
        <v>6258</v>
      </c>
      <c r="C114" s="5" t="s">
        <v>6264</v>
      </c>
      <c r="D114" s="5" t="s">
        <v>9327</v>
      </c>
    </row>
    <row r="115" spans="1:4" ht="10" customHeight="1" x14ac:dyDescent="0.2">
      <c r="A115" s="5">
        <v>2656</v>
      </c>
      <c r="B115" s="5" t="s">
        <v>6258</v>
      </c>
      <c r="C115" s="5" t="s">
        <v>6268</v>
      </c>
      <c r="D115" s="5" t="s">
        <v>9328</v>
      </c>
    </row>
    <row r="116" spans="1:4" ht="10" customHeight="1" x14ac:dyDescent="0.2">
      <c r="A116" s="5">
        <v>2657</v>
      </c>
      <c r="B116" s="5" t="s">
        <v>6258</v>
      </c>
      <c r="C116" s="5" t="s">
        <v>6272</v>
      </c>
      <c r="D116" s="5" t="s">
        <v>9329</v>
      </c>
    </row>
    <row r="117" spans="1:4" ht="10" customHeight="1" x14ac:dyDescent="0.2">
      <c r="A117" s="5">
        <v>2658</v>
      </c>
      <c r="B117" s="5" t="s">
        <v>6258</v>
      </c>
      <c r="C117" s="5" t="s">
        <v>6276</v>
      </c>
      <c r="D117" s="5" t="s">
        <v>9330</v>
      </c>
    </row>
    <row r="118" spans="1:4" ht="10" customHeight="1" x14ac:dyDescent="0.2">
      <c r="A118" s="5">
        <v>2663</v>
      </c>
      <c r="B118" s="5" t="s">
        <v>6258</v>
      </c>
      <c r="C118" s="5" t="s">
        <v>6299</v>
      </c>
      <c r="D118" s="5" t="s">
        <v>9331</v>
      </c>
    </row>
    <row r="119" spans="1:4" ht="10" customHeight="1" x14ac:dyDescent="0.2">
      <c r="A119" s="5">
        <v>2664</v>
      </c>
      <c r="B119" s="5" t="s">
        <v>6258</v>
      </c>
      <c r="C119" s="5" t="s">
        <v>6303</v>
      </c>
      <c r="D119" s="5" t="s">
        <v>9332</v>
      </c>
    </row>
    <row r="120" spans="1:4" ht="10" customHeight="1" x14ac:dyDescent="0.2">
      <c r="A120" s="5">
        <v>2665</v>
      </c>
      <c r="B120" s="5" t="s">
        <v>6258</v>
      </c>
      <c r="C120" s="5" t="s">
        <v>6307</v>
      </c>
      <c r="D120" s="5" t="s">
        <v>9333</v>
      </c>
    </row>
    <row r="121" spans="1:4" ht="10" customHeight="1" x14ac:dyDescent="0.2">
      <c r="A121" s="5">
        <v>2666</v>
      </c>
      <c r="B121" s="5" t="s">
        <v>6258</v>
      </c>
      <c r="C121" s="5" t="s">
        <v>6310</v>
      </c>
      <c r="D121" s="5" t="s">
        <v>9334</v>
      </c>
    </row>
    <row r="122" spans="1:4" ht="10" customHeight="1" x14ac:dyDescent="0.2">
      <c r="A122" s="5">
        <v>2667</v>
      </c>
      <c r="B122" s="5" t="s">
        <v>6258</v>
      </c>
      <c r="C122" s="5" t="s">
        <v>6314</v>
      </c>
      <c r="D122" s="5" t="s">
        <v>9335</v>
      </c>
    </row>
    <row r="123" spans="1:4" ht="10" customHeight="1" x14ac:dyDescent="0.2">
      <c r="A123" s="5">
        <v>2668</v>
      </c>
      <c r="B123" s="5" t="s">
        <v>6258</v>
      </c>
      <c r="C123" s="5" t="s">
        <v>6318</v>
      </c>
      <c r="D123" s="5" t="s">
        <v>9336</v>
      </c>
    </row>
    <row r="124" spans="1:4" ht="10" customHeight="1" x14ac:dyDescent="0.2">
      <c r="A124" s="5">
        <v>2669</v>
      </c>
      <c r="B124" s="5" t="s">
        <v>6258</v>
      </c>
      <c r="C124" s="5" t="s">
        <v>6321</v>
      </c>
      <c r="D124" s="5" t="s">
        <v>9337</v>
      </c>
    </row>
    <row r="125" spans="1:4" ht="10" customHeight="1" x14ac:dyDescent="0.2">
      <c r="A125" s="5">
        <v>2670</v>
      </c>
      <c r="B125" s="5" t="s">
        <v>6258</v>
      </c>
      <c r="C125" s="5" t="s">
        <v>6325</v>
      </c>
      <c r="D125" s="5" t="s">
        <v>9338</v>
      </c>
    </row>
    <row r="126" spans="1:4" ht="10" customHeight="1" x14ac:dyDescent="0.2">
      <c r="A126" s="5">
        <v>2671</v>
      </c>
      <c r="B126" s="5" t="s">
        <v>6258</v>
      </c>
      <c r="C126" s="5" t="s">
        <v>6328</v>
      </c>
      <c r="D126" s="5" t="s">
        <v>9339</v>
      </c>
    </row>
    <row r="127" spans="1:4" ht="10" customHeight="1" x14ac:dyDescent="0.2">
      <c r="A127" s="5">
        <v>2672</v>
      </c>
      <c r="B127" s="5" t="s">
        <v>6258</v>
      </c>
      <c r="C127" s="5" t="s">
        <v>6331</v>
      </c>
      <c r="D127" s="5" t="s">
        <v>9340</v>
      </c>
    </row>
    <row r="128" spans="1:4" ht="10" customHeight="1" x14ac:dyDescent="0.2">
      <c r="A128" s="5">
        <v>2673</v>
      </c>
      <c r="B128" s="5" t="s">
        <v>6258</v>
      </c>
      <c r="C128" s="5" t="s">
        <v>6336</v>
      </c>
      <c r="D128" s="5" t="s">
        <v>9341</v>
      </c>
    </row>
    <row r="129" spans="1:4" ht="10" customHeight="1" x14ac:dyDescent="0.2">
      <c r="A129" s="5">
        <v>2675</v>
      </c>
      <c r="B129" s="5" t="s">
        <v>6258</v>
      </c>
      <c r="C129" s="5" t="s">
        <v>6347</v>
      </c>
      <c r="D129" s="5" t="s">
        <v>9342</v>
      </c>
    </row>
    <row r="130" spans="1:4" ht="10" customHeight="1" x14ac:dyDescent="0.2">
      <c r="A130" s="5">
        <v>2676</v>
      </c>
      <c r="B130" s="5" t="s">
        <v>6258</v>
      </c>
      <c r="C130" s="5" t="s">
        <v>6351</v>
      </c>
      <c r="D130" s="5" t="s">
        <v>9343</v>
      </c>
    </row>
    <row r="131" spans="1:4" ht="10" customHeight="1" x14ac:dyDescent="0.2">
      <c r="A131" s="5">
        <v>2677</v>
      </c>
      <c r="B131" s="5" t="s">
        <v>6258</v>
      </c>
      <c r="C131" s="5" t="s">
        <v>6356</v>
      </c>
      <c r="D131" s="5" t="s">
        <v>9344</v>
      </c>
    </row>
    <row r="132" spans="1:4" ht="10" customHeight="1" x14ac:dyDescent="0.2">
      <c r="A132" s="5">
        <v>2678</v>
      </c>
      <c r="B132" s="5" t="s">
        <v>6258</v>
      </c>
      <c r="C132" s="5" t="s">
        <v>287</v>
      </c>
      <c r="D132" s="5" t="s">
        <v>9345</v>
      </c>
    </row>
    <row r="133" spans="1:4" ht="10" customHeight="1" x14ac:dyDescent="0.2">
      <c r="A133" s="5">
        <v>2679</v>
      </c>
      <c r="B133" s="5" t="s">
        <v>6258</v>
      </c>
      <c r="C133" s="5" t="s">
        <v>6363</v>
      </c>
      <c r="D133" s="5" t="s">
        <v>9346</v>
      </c>
    </row>
    <row r="134" spans="1:4" ht="10" customHeight="1" x14ac:dyDescent="0.2">
      <c r="A134" s="5">
        <v>2680</v>
      </c>
      <c r="B134" s="5" t="s">
        <v>6258</v>
      </c>
      <c r="C134" s="5" t="s">
        <v>6369</v>
      </c>
      <c r="D134" s="5" t="s">
        <v>9347</v>
      </c>
    </row>
    <row r="135" spans="1:4" ht="10" customHeight="1" x14ac:dyDescent="0.2">
      <c r="A135" s="5">
        <v>2681</v>
      </c>
      <c r="B135" s="5" t="s">
        <v>6258</v>
      </c>
      <c r="C135" s="5" t="s">
        <v>3562</v>
      </c>
      <c r="D135" s="5" t="s">
        <v>9348</v>
      </c>
    </row>
    <row r="136" spans="1:4" ht="10" customHeight="1" x14ac:dyDescent="0.2">
      <c r="A136" s="5">
        <v>2682</v>
      </c>
      <c r="B136" s="5" t="s">
        <v>6258</v>
      </c>
      <c r="C136" s="5" t="s">
        <v>6378</v>
      </c>
      <c r="D136" s="5" t="s">
        <v>9349</v>
      </c>
    </row>
    <row r="137" spans="1:4" ht="10" customHeight="1" x14ac:dyDescent="0.2">
      <c r="A137" s="5">
        <v>2686</v>
      </c>
      <c r="B137" s="5" t="s">
        <v>6258</v>
      </c>
      <c r="C137" s="5" t="s">
        <v>6397</v>
      </c>
      <c r="D137" s="5" t="s">
        <v>9350</v>
      </c>
    </row>
    <row r="138" spans="1:4" ht="10" customHeight="1" x14ac:dyDescent="0.2">
      <c r="A138" s="5">
        <v>2687</v>
      </c>
      <c r="B138" s="5" t="s">
        <v>6258</v>
      </c>
      <c r="C138" s="5" t="s">
        <v>6402</v>
      </c>
      <c r="D138" s="5" t="s">
        <v>9351</v>
      </c>
    </row>
    <row r="139" spans="1:4" ht="10" customHeight="1" x14ac:dyDescent="0.2">
      <c r="A139" s="5">
        <v>2689</v>
      </c>
      <c r="B139" s="5" t="s">
        <v>6258</v>
      </c>
      <c r="C139" s="5" t="s">
        <v>6409</v>
      </c>
      <c r="D139" s="5" t="s">
        <v>9352</v>
      </c>
    </row>
    <row r="140" spans="1:4" ht="10" customHeight="1" x14ac:dyDescent="0.2">
      <c r="A140" s="5">
        <v>2692</v>
      </c>
      <c r="B140" s="5" t="s">
        <v>6258</v>
      </c>
      <c r="C140" s="5" t="s">
        <v>6424</v>
      </c>
      <c r="D140" s="5" t="s">
        <v>9353</v>
      </c>
    </row>
    <row r="141" spans="1:4" ht="10" customHeight="1" x14ac:dyDescent="0.2">
      <c r="A141" s="5">
        <v>2693</v>
      </c>
      <c r="B141" s="5" t="s">
        <v>6258</v>
      </c>
      <c r="C141" s="5" t="s">
        <v>6428</v>
      </c>
      <c r="D141" s="5" t="s">
        <v>9354</v>
      </c>
    </row>
    <row r="142" spans="1:4" ht="10" customHeight="1" x14ac:dyDescent="0.2">
      <c r="A142" s="5">
        <v>2694</v>
      </c>
      <c r="B142" s="5" t="s">
        <v>6258</v>
      </c>
      <c r="C142" s="5" t="s">
        <v>6433</v>
      </c>
      <c r="D142" s="5" t="s">
        <v>9355</v>
      </c>
    </row>
    <row r="143" spans="1:4" ht="10" customHeight="1" x14ac:dyDescent="0.2">
      <c r="A143" s="5">
        <v>2695</v>
      </c>
      <c r="B143" s="5" t="s">
        <v>6258</v>
      </c>
      <c r="C143" s="5" t="s">
        <v>6439</v>
      </c>
      <c r="D143" s="5" t="s">
        <v>9356</v>
      </c>
    </row>
    <row r="144" spans="1:4" ht="10" customHeight="1" x14ac:dyDescent="0.2">
      <c r="A144" s="5">
        <v>2696</v>
      </c>
      <c r="B144" s="5" t="s">
        <v>6258</v>
      </c>
      <c r="C144" s="5" t="s">
        <v>6444</v>
      </c>
      <c r="D144" s="5" t="s">
        <v>9357</v>
      </c>
    </row>
    <row r="145" spans="1:4" ht="10" customHeight="1" x14ac:dyDescent="0.2">
      <c r="A145" s="5">
        <v>2697</v>
      </c>
      <c r="B145" s="5" t="s">
        <v>6258</v>
      </c>
      <c r="C145" s="5" t="s">
        <v>6449</v>
      </c>
      <c r="D145" s="5" t="s">
        <v>9358</v>
      </c>
    </row>
    <row r="146" spans="1:4" ht="10" customHeight="1" x14ac:dyDescent="0.2">
      <c r="A146" s="5">
        <v>2699</v>
      </c>
      <c r="B146" s="5" t="s">
        <v>6258</v>
      </c>
      <c r="C146" s="5" t="s">
        <v>6456</v>
      </c>
      <c r="D146" s="5" t="s">
        <v>9359</v>
      </c>
    </row>
    <row r="147" spans="1:4" ht="10" customHeight="1" x14ac:dyDescent="0.2">
      <c r="A147" s="5">
        <v>2700</v>
      </c>
      <c r="B147" s="5" t="s">
        <v>6461</v>
      </c>
      <c r="C147" s="5" t="s">
        <v>6462</v>
      </c>
      <c r="D147" s="5" t="s">
        <v>9360</v>
      </c>
    </row>
    <row r="148" spans="1:4" ht="10" customHeight="1" x14ac:dyDescent="0.2">
      <c r="A148" s="5">
        <v>2701</v>
      </c>
      <c r="B148" s="5" t="s">
        <v>6461</v>
      </c>
      <c r="C148" s="5" t="s">
        <v>2909</v>
      </c>
      <c r="D148" s="5" t="s">
        <v>9361</v>
      </c>
    </row>
    <row r="149" spans="1:4" ht="10" customHeight="1" x14ac:dyDescent="0.2">
      <c r="A149" s="5">
        <v>2702</v>
      </c>
      <c r="B149" s="5" t="s">
        <v>6461</v>
      </c>
      <c r="C149" s="5" t="s">
        <v>6468</v>
      </c>
      <c r="D149" s="5" t="s">
        <v>9362</v>
      </c>
    </row>
    <row r="150" spans="1:4" ht="10" customHeight="1" x14ac:dyDescent="0.2">
      <c r="A150" s="5">
        <v>2703</v>
      </c>
      <c r="B150" s="5" t="s">
        <v>6461</v>
      </c>
      <c r="C150" s="5" t="s">
        <v>6473</v>
      </c>
      <c r="D150" s="5" t="s">
        <v>9363</v>
      </c>
    </row>
    <row r="151" spans="1:4" ht="10" customHeight="1" x14ac:dyDescent="0.2">
      <c r="A151" s="5">
        <v>2704</v>
      </c>
      <c r="B151" s="5" t="s">
        <v>6461</v>
      </c>
      <c r="C151" s="5" t="s">
        <v>6476</v>
      </c>
      <c r="D151" s="5" t="s">
        <v>9364</v>
      </c>
    </row>
    <row r="152" spans="1:4" ht="10" customHeight="1" x14ac:dyDescent="0.2">
      <c r="A152" s="5">
        <v>2709</v>
      </c>
      <c r="B152" s="5" t="s">
        <v>6461</v>
      </c>
      <c r="C152" s="5" t="s">
        <v>6491</v>
      </c>
      <c r="D152" s="5" t="s">
        <v>9365</v>
      </c>
    </row>
    <row r="153" spans="1:4" ht="10" customHeight="1" x14ac:dyDescent="0.2">
      <c r="A153" s="5">
        <v>2710</v>
      </c>
      <c r="B153" s="5" t="s">
        <v>6461</v>
      </c>
      <c r="C153" s="5" t="s">
        <v>6495</v>
      </c>
      <c r="D153" s="5" t="s">
        <v>9366</v>
      </c>
    </row>
    <row r="154" spans="1:4" ht="10" customHeight="1" x14ac:dyDescent="0.2">
      <c r="A154" s="5">
        <v>2711</v>
      </c>
      <c r="B154" s="5" t="s">
        <v>6461</v>
      </c>
      <c r="C154" s="5" t="s">
        <v>6498</v>
      </c>
      <c r="D154" s="5" t="s">
        <v>9367</v>
      </c>
    </row>
    <row r="155" spans="1:4" ht="10" customHeight="1" x14ac:dyDescent="0.2">
      <c r="A155" s="5">
        <v>2712</v>
      </c>
      <c r="B155" s="5" t="s">
        <v>6461</v>
      </c>
      <c r="C155" s="5" t="s">
        <v>6501</v>
      </c>
      <c r="D155" s="5" t="s">
        <v>9368</v>
      </c>
    </row>
    <row r="156" spans="1:4" ht="10" customHeight="1" x14ac:dyDescent="0.2">
      <c r="A156" s="5">
        <v>2713</v>
      </c>
      <c r="B156" s="5" t="s">
        <v>6461</v>
      </c>
      <c r="C156" s="5" t="s">
        <v>6503</v>
      </c>
      <c r="D156" s="5" t="s">
        <v>9369</v>
      </c>
    </row>
    <row r="157" spans="1:4" ht="10" customHeight="1" x14ac:dyDescent="0.2">
      <c r="A157" s="5">
        <v>2714</v>
      </c>
      <c r="B157" s="5" t="s">
        <v>6461</v>
      </c>
      <c r="C157" s="5" t="s">
        <v>6505</v>
      </c>
      <c r="D157" s="5" t="s">
        <v>9370</v>
      </c>
    </row>
    <row r="158" spans="1:4" ht="10" customHeight="1" x14ac:dyDescent="0.2">
      <c r="A158" s="5">
        <v>2715</v>
      </c>
      <c r="B158" s="5" t="s">
        <v>6461</v>
      </c>
      <c r="C158" s="5" t="s">
        <v>6507</v>
      </c>
      <c r="D158" s="5" t="s">
        <v>9371</v>
      </c>
    </row>
    <row r="159" spans="1:4" ht="10" customHeight="1" x14ac:dyDescent="0.2">
      <c r="A159" s="5">
        <v>2716</v>
      </c>
      <c r="B159" s="5" t="s">
        <v>6461</v>
      </c>
      <c r="C159" s="5" t="s">
        <v>6509</v>
      </c>
      <c r="D159" s="5" t="s">
        <v>9372</v>
      </c>
    </row>
    <row r="160" spans="1:4" ht="10" customHeight="1" x14ac:dyDescent="0.2">
      <c r="A160" s="5">
        <v>2717</v>
      </c>
      <c r="B160" s="5" t="s">
        <v>6461</v>
      </c>
      <c r="C160" s="5" t="s">
        <v>6511</v>
      </c>
      <c r="D160" s="5" t="s">
        <v>9373</v>
      </c>
    </row>
    <row r="161" spans="1:4" ht="10" customHeight="1" x14ac:dyDescent="0.2">
      <c r="A161" s="5">
        <v>2718</v>
      </c>
      <c r="B161" s="5" t="s">
        <v>6461</v>
      </c>
      <c r="C161" s="5" t="s">
        <v>6513</v>
      </c>
      <c r="D161" s="5" t="s">
        <v>9374</v>
      </c>
    </row>
    <row r="162" spans="1:4" ht="10" customHeight="1" x14ac:dyDescent="0.2">
      <c r="A162" s="5">
        <v>2719</v>
      </c>
      <c r="B162" s="5" t="s">
        <v>6461</v>
      </c>
      <c r="C162" s="5" t="s">
        <v>6515</v>
      </c>
      <c r="D162" s="5" t="s">
        <v>9375</v>
      </c>
    </row>
    <row r="163" spans="1:4" ht="10" customHeight="1" x14ac:dyDescent="0.2">
      <c r="A163" s="5">
        <v>2720</v>
      </c>
      <c r="B163" s="5" t="s">
        <v>6461</v>
      </c>
      <c r="C163" s="5" t="s">
        <v>6517</v>
      </c>
      <c r="D163" s="5" t="s">
        <v>9376</v>
      </c>
    </row>
    <row r="164" spans="1:4" ht="10" customHeight="1" x14ac:dyDescent="0.2">
      <c r="A164" s="5">
        <v>2721</v>
      </c>
      <c r="B164" s="5" t="s">
        <v>6461</v>
      </c>
      <c r="C164" s="5" t="s">
        <v>6519</v>
      </c>
      <c r="D164" s="5" t="s">
        <v>9377</v>
      </c>
    </row>
    <row r="165" spans="1:4" ht="10" customHeight="1" x14ac:dyDescent="0.2">
      <c r="A165" s="5">
        <v>2722</v>
      </c>
      <c r="B165" s="5" t="s">
        <v>6461</v>
      </c>
      <c r="C165" s="5" t="s">
        <v>6522</v>
      </c>
      <c r="D165" s="5" t="s">
        <v>9378</v>
      </c>
    </row>
    <row r="166" spans="1:4" ht="10" customHeight="1" x14ac:dyDescent="0.2">
      <c r="A166" s="5">
        <v>2723</v>
      </c>
      <c r="B166" s="5" t="s">
        <v>6461</v>
      </c>
      <c r="C166" s="5" t="s">
        <v>6526</v>
      </c>
      <c r="D166" s="5" t="s">
        <v>9379</v>
      </c>
    </row>
    <row r="167" spans="1:4" ht="10" customHeight="1" x14ac:dyDescent="0.2">
      <c r="A167" s="5">
        <v>2724</v>
      </c>
      <c r="B167" s="5" t="s">
        <v>6461</v>
      </c>
      <c r="C167" s="5" t="s">
        <v>6529</v>
      </c>
      <c r="D167" s="5" t="s">
        <v>9380</v>
      </c>
    </row>
    <row r="168" spans="1:4" ht="10" customHeight="1" x14ac:dyDescent="0.2">
      <c r="A168" s="5">
        <v>2725</v>
      </c>
      <c r="B168" s="5" t="s">
        <v>6461</v>
      </c>
      <c r="C168" s="5" t="s">
        <v>6532</v>
      </c>
      <c r="D168" s="5" t="s">
        <v>9381</v>
      </c>
    </row>
    <row r="169" spans="1:4" ht="10" customHeight="1" x14ac:dyDescent="0.2">
      <c r="A169" s="5">
        <v>2726</v>
      </c>
      <c r="B169" s="5" t="s">
        <v>6461</v>
      </c>
      <c r="C169" s="5" t="s">
        <v>6536</v>
      </c>
      <c r="D169" s="5" t="s">
        <v>9382</v>
      </c>
    </row>
    <row r="170" spans="1:4" ht="10" customHeight="1" x14ac:dyDescent="0.2">
      <c r="A170" s="5">
        <v>2728</v>
      </c>
      <c r="B170" s="5" t="s">
        <v>6461</v>
      </c>
      <c r="C170" s="5" t="s">
        <v>6541</v>
      </c>
      <c r="D170" s="5" t="s">
        <v>9383</v>
      </c>
    </row>
    <row r="171" spans="1:4" ht="10" customHeight="1" x14ac:dyDescent="0.2">
      <c r="A171" s="5">
        <v>2729</v>
      </c>
      <c r="B171" s="5" t="s">
        <v>6461</v>
      </c>
      <c r="C171" s="5" t="s">
        <v>6543</v>
      </c>
      <c r="D171" s="5" t="s">
        <v>9384</v>
      </c>
    </row>
    <row r="172" spans="1:4" ht="10" customHeight="1" x14ac:dyDescent="0.2">
      <c r="A172" s="5">
        <v>2730</v>
      </c>
      <c r="B172" s="5" t="s">
        <v>6461</v>
      </c>
      <c r="C172" s="5" t="s">
        <v>6547</v>
      </c>
      <c r="D172" s="5" t="s">
        <v>9385</v>
      </c>
    </row>
    <row r="173" spans="1:4" ht="10" customHeight="1" x14ac:dyDescent="0.2">
      <c r="A173" s="5">
        <v>2732</v>
      </c>
      <c r="B173" s="5" t="s">
        <v>6461</v>
      </c>
      <c r="C173" s="5" t="s">
        <v>6553</v>
      </c>
      <c r="D173" s="5" t="s">
        <v>9386</v>
      </c>
    </row>
    <row r="174" spans="1:4" ht="10" customHeight="1" x14ac:dyDescent="0.2">
      <c r="A174" s="5">
        <v>2733</v>
      </c>
      <c r="B174" s="5" t="s">
        <v>6461</v>
      </c>
      <c r="C174" s="5" t="s">
        <v>6555</v>
      </c>
      <c r="D174" s="5" t="s">
        <v>9387</v>
      </c>
    </row>
    <row r="175" spans="1:4" ht="10" customHeight="1" x14ac:dyDescent="0.2">
      <c r="A175" s="5">
        <v>2734</v>
      </c>
      <c r="B175" s="5" t="s">
        <v>6461</v>
      </c>
      <c r="C175" s="5" t="s">
        <v>6557</v>
      </c>
      <c r="D175" s="5" t="s">
        <v>9388</v>
      </c>
    </row>
    <row r="176" spans="1:4" ht="10" customHeight="1" x14ac:dyDescent="0.2">
      <c r="A176" s="5">
        <v>2736</v>
      </c>
      <c r="B176" s="5" t="s">
        <v>6461</v>
      </c>
      <c r="C176" s="5" t="s">
        <v>6564</v>
      </c>
      <c r="D176" s="5" t="s">
        <v>9389</v>
      </c>
    </row>
    <row r="177" spans="1:4" ht="10" customHeight="1" x14ac:dyDescent="0.2">
      <c r="A177" s="5">
        <v>2741</v>
      </c>
      <c r="B177" s="5" t="s">
        <v>6461</v>
      </c>
      <c r="C177" s="5" t="s">
        <v>6579</v>
      </c>
      <c r="D177" s="5" t="s">
        <v>9390</v>
      </c>
    </row>
    <row r="178" spans="1:4" ht="10" customHeight="1" x14ac:dyDescent="0.2">
      <c r="A178" s="5">
        <v>2742</v>
      </c>
      <c r="B178" s="5" t="s">
        <v>6461</v>
      </c>
      <c r="C178" s="5" t="s">
        <v>6583</v>
      </c>
      <c r="D178" s="5" t="s">
        <v>9391</v>
      </c>
    </row>
    <row r="179" spans="1:4" ht="10" customHeight="1" x14ac:dyDescent="0.2">
      <c r="A179" s="5">
        <v>2743</v>
      </c>
      <c r="B179" s="5" t="s">
        <v>6461</v>
      </c>
      <c r="C179" s="5" t="s">
        <v>6586</v>
      </c>
      <c r="D179" s="5" t="s">
        <v>9392</v>
      </c>
    </row>
    <row r="180" spans="1:4" ht="10" customHeight="1" x14ac:dyDescent="0.2">
      <c r="A180" s="5">
        <v>2744</v>
      </c>
      <c r="B180" s="5" t="s">
        <v>6461</v>
      </c>
      <c r="C180" s="5" t="s">
        <v>6589</v>
      </c>
      <c r="D180" s="5" t="s">
        <v>9393</v>
      </c>
    </row>
    <row r="181" spans="1:4" ht="10" customHeight="1" x14ac:dyDescent="0.2">
      <c r="A181" s="5">
        <v>2745</v>
      </c>
      <c r="B181" s="5" t="s">
        <v>6461</v>
      </c>
      <c r="C181" s="5" t="s">
        <v>6593</v>
      </c>
      <c r="D181" s="5" t="s">
        <v>9394</v>
      </c>
    </row>
    <row r="182" spans="1:4" ht="10" customHeight="1" x14ac:dyDescent="0.2">
      <c r="A182" s="5">
        <v>2746</v>
      </c>
      <c r="B182" s="5" t="s">
        <v>6461</v>
      </c>
      <c r="C182" s="5" t="s">
        <v>6596</v>
      </c>
      <c r="D182" s="5" t="s">
        <v>9395</v>
      </c>
    </row>
    <row r="183" spans="1:4" ht="10" customHeight="1" x14ac:dyDescent="0.2">
      <c r="A183" s="5">
        <v>2747</v>
      </c>
      <c r="B183" s="5" t="s">
        <v>6461</v>
      </c>
      <c r="C183" s="5" t="s">
        <v>6600</v>
      </c>
      <c r="D183" s="5" t="s">
        <v>9396</v>
      </c>
    </row>
    <row r="184" spans="1:4" ht="10" customHeight="1" x14ac:dyDescent="0.2">
      <c r="A184" s="5">
        <v>2748</v>
      </c>
      <c r="B184" s="5" t="s">
        <v>6461</v>
      </c>
      <c r="C184" s="5" t="s">
        <v>6603</v>
      </c>
      <c r="D184" s="5" t="s">
        <v>9397</v>
      </c>
    </row>
    <row r="185" spans="1:4" ht="10" customHeight="1" x14ac:dyDescent="0.2">
      <c r="A185" s="5">
        <v>2749</v>
      </c>
      <c r="B185" s="5" t="s">
        <v>6461</v>
      </c>
      <c r="C185" s="5" t="s">
        <v>6347</v>
      </c>
      <c r="D185" s="5" t="s">
        <v>9398</v>
      </c>
    </row>
    <row r="186" spans="1:4" ht="10" customHeight="1" x14ac:dyDescent="0.2">
      <c r="A186" s="5">
        <v>2750</v>
      </c>
      <c r="B186" s="5" t="s">
        <v>6461</v>
      </c>
      <c r="C186" s="5" t="s">
        <v>6610</v>
      </c>
      <c r="D186" s="5" t="s">
        <v>9399</v>
      </c>
    </row>
    <row r="187" spans="1:4" ht="10" customHeight="1" x14ac:dyDescent="0.2">
      <c r="A187" s="5">
        <v>2751</v>
      </c>
      <c r="B187" s="5" t="s">
        <v>6461</v>
      </c>
      <c r="C187" s="5" t="s">
        <v>6613</v>
      </c>
      <c r="D187" s="5" t="s">
        <v>9400</v>
      </c>
    </row>
    <row r="188" spans="1:4" ht="10" customHeight="1" x14ac:dyDescent="0.2">
      <c r="A188" s="5">
        <v>2754</v>
      </c>
      <c r="B188" s="5" t="s">
        <v>6461</v>
      </c>
      <c r="C188" s="5" t="s">
        <v>6623</v>
      </c>
      <c r="D188" s="5" t="s">
        <v>9401</v>
      </c>
    </row>
    <row r="189" spans="1:4" ht="10" customHeight="1" x14ac:dyDescent="0.2">
      <c r="A189" s="5">
        <v>2755</v>
      </c>
      <c r="B189" s="5" t="s">
        <v>6461</v>
      </c>
      <c r="C189" s="5" t="s">
        <v>6625</v>
      </c>
      <c r="D189" s="5" t="s">
        <v>9402</v>
      </c>
    </row>
    <row r="190" spans="1:4" ht="10" customHeight="1" x14ac:dyDescent="0.2">
      <c r="A190" s="5">
        <v>2757</v>
      </c>
      <c r="B190" s="5" t="s">
        <v>6461</v>
      </c>
      <c r="C190" s="5" t="s">
        <v>6633</v>
      </c>
      <c r="D190" s="5" t="s">
        <v>9403</v>
      </c>
    </row>
    <row r="191" spans="1:4" ht="10" customHeight="1" x14ac:dyDescent="0.2">
      <c r="A191" s="5">
        <v>2758</v>
      </c>
      <c r="B191" s="5" t="s">
        <v>6461</v>
      </c>
      <c r="C191" s="5" t="s">
        <v>6637</v>
      </c>
      <c r="D191" s="5" t="s">
        <v>9404</v>
      </c>
    </row>
    <row r="192" spans="1:4" ht="10" customHeight="1" x14ac:dyDescent="0.2">
      <c r="A192" s="5">
        <v>2759</v>
      </c>
      <c r="B192" s="5" t="s">
        <v>6461</v>
      </c>
      <c r="C192" s="5" t="s">
        <v>6642</v>
      </c>
      <c r="D192" s="5" t="s">
        <v>9405</v>
      </c>
    </row>
    <row r="193" spans="1:4" ht="10" customHeight="1" x14ac:dyDescent="0.2">
      <c r="A193" s="5">
        <v>2760</v>
      </c>
      <c r="B193" s="5" t="s">
        <v>6461</v>
      </c>
      <c r="C193" s="5" t="s">
        <v>6646</v>
      </c>
      <c r="D193" s="5" t="s">
        <v>9406</v>
      </c>
    </row>
    <row r="194" spans="1:4" ht="10" customHeight="1" x14ac:dyDescent="0.2">
      <c r="A194" s="5">
        <v>2761</v>
      </c>
      <c r="B194" s="5" t="s">
        <v>6461</v>
      </c>
      <c r="C194" s="5" t="s">
        <v>6652</v>
      </c>
      <c r="D194" s="5" t="s">
        <v>9407</v>
      </c>
    </row>
    <row r="195" spans="1:4" ht="10" customHeight="1" x14ac:dyDescent="0.2">
      <c r="A195" s="5">
        <v>2762</v>
      </c>
      <c r="B195" s="5" t="s">
        <v>6461</v>
      </c>
      <c r="C195" s="5" t="s">
        <v>6657</v>
      </c>
      <c r="D195" s="5" t="s">
        <v>9408</v>
      </c>
    </row>
    <row r="196" spans="1:4" ht="10" customHeight="1" x14ac:dyDescent="0.2">
      <c r="A196" s="5">
        <v>2763</v>
      </c>
      <c r="B196" s="5" t="s">
        <v>6461</v>
      </c>
      <c r="C196" s="5" t="s">
        <v>386</v>
      </c>
      <c r="D196" s="5" t="s">
        <v>9409</v>
      </c>
    </row>
    <row r="197" spans="1:4" ht="10" customHeight="1" x14ac:dyDescent="0.2">
      <c r="A197" s="5">
        <v>2764</v>
      </c>
      <c r="B197" s="5" t="s">
        <v>6461</v>
      </c>
      <c r="C197" s="5" t="s">
        <v>3537</v>
      </c>
      <c r="D197" s="5" t="s">
        <v>9410</v>
      </c>
    </row>
    <row r="198" spans="1:4" ht="10" customHeight="1" x14ac:dyDescent="0.2">
      <c r="A198" s="5">
        <v>2765</v>
      </c>
      <c r="B198" s="5" t="s">
        <v>6461</v>
      </c>
      <c r="C198" s="5" t="s">
        <v>6665</v>
      </c>
      <c r="D198" s="5" t="s">
        <v>9411</v>
      </c>
    </row>
    <row r="199" spans="1:4" ht="10" customHeight="1" x14ac:dyDescent="0.2">
      <c r="A199" s="5">
        <v>2766</v>
      </c>
      <c r="B199" s="5" t="s">
        <v>6461</v>
      </c>
      <c r="C199" s="5" t="s">
        <v>6669</v>
      </c>
      <c r="D199" s="5" t="s">
        <v>9412</v>
      </c>
    </row>
    <row r="200" spans="1:4" ht="10" customHeight="1" x14ac:dyDescent="0.2">
      <c r="A200" s="5">
        <v>2767</v>
      </c>
      <c r="B200" s="5" t="s">
        <v>6461</v>
      </c>
      <c r="C200" s="5" t="s">
        <v>6673</v>
      </c>
      <c r="D200" s="5" t="s">
        <v>9413</v>
      </c>
    </row>
    <row r="201" spans="1:4" ht="10" customHeight="1" x14ac:dyDescent="0.2">
      <c r="A201" s="5">
        <v>2768</v>
      </c>
      <c r="B201" s="5" t="s">
        <v>6461</v>
      </c>
      <c r="C201" s="5" t="s">
        <v>6678</v>
      </c>
      <c r="D201" s="5" t="s">
        <v>9414</v>
      </c>
    </row>
    <row r="202" spans="1:4" ht="10" customHeight="1" x14ac:dyDescent="0.2">
      <c r="A202" s="5">
        <v>2769</v>
      </c>
      <c r="B202" s="5" t="s">
        <v>6461</v>
      </c>
      <c r="C202" s="5" t="s">
        <v>6681</v>
      </c>
      <c r="D202" s="5" t="s">
        <v>9415</v>
      </c>
    </row>
    <row r="203" spans="1:4" ht="10" customHeight="1" x14ac:dyDescent="0.2">
      <c r="A203" s="5">
        <v>2770</v>
      </c>
      <c r="B203" s="5" t="s">
        <v>6461</v>
      </c>
      <c r="C203" s="5" t="s">
        <v>6686</v>
      </c>
      <c r="D203" s="5" t="s">
        <v>9416</v>
      </c>
    </row>
    <row r="204" spans="1:4" ht="10" customHeight="1" x14ac:dyDescent="0.2">
      <c r="A204" s="5">
        <v>2771</v>
      </c>
      <c r="B204" s="5" t="s">
        <v>6461</v>
      </c>
      <c r="C204" s="5" t="s">
        <v>6689</v>
      </c>
      <c r="D204" s="5" t="s">
        <v>9417</v>
      </c>
    </row>
    <row r="205" spans="1:4" ht="10" customHeight="1" x14ac:dyDescent="0.2">
      <c r="A205" s="5">
        <v>2776</v>
      </c>
      <c r="B205" s="5" t="s">
        <v>6461</v>
      </c>
      <c r="C205" s="5" t="s">
        <v>6707</v>
      </c>
      <c r="D205" s="5" t="s">
        <v>9418</v>
      </c>
    </row>
    <row r="206" spans="1:4" ht="10" customHeight="1" x14ac:dyDescent="0.2">
      <c r="A206" s="5">
        <v>2777</v>
      </c>
      <c r="B206" s="5" t="s">
        <v>6461</v>
      </c>
      <c r="C206" s="5" t="s">
        <v>6711</v>
      </c>
      <c r="D206" s="5" t="s">
        <v>9419</v>
      </c>
    </row>
    <row r="207" spans="1:4" ht="10" customHeight="1" x14ac:dyDescent="0.2">
      <c r="A207" s="5">
        <v>2778</v>
      </c>
      <c r="B207" s="5" t="s">
        <v>6461</v>
      </c>
      <c r="C207" s="5" t="s">
        <v>6714</v>
      </c>
      <c r="D207" s="5" t="s">
        <v>9420</v>
      </c>
    </row>
    <row r="208" spans="1:4" ht="10" customHeight="1" x14ac:dyDescent="0.2">
      <c r="A208" s="5">
        <v>2780</v>
      </c>
      <c r="B208" s="5" t="s">
        <v>6461</v>
      </c>
      <c r="C208" s="5" t="s">
        <v>6721</v>
      </c>
      <c r="D208" s="5" t="s">
        <v>9421</v>
      </c>
    </row>
    <row r="209" spans="1:4" ht="10" customHeight="1" x14ac:dyDescent="0.2">
      <c r="A209" s="5">
        <v>2782</v>
      </c>
      <c r="B209" s="5" t="s">
        <v>6461</v>
      </c>
      <c r="C209" s="5" t="s">
        <v>6729</v>
      </c>
      <c r="D209" s="5" t="s">
        <v>9422</v>
      </c>
    </row>
    <row r="210" spans="1:4" ht="10" customHeight="1" x14ac:dyDescent="0.2">
      <c r="A210" s="5">
        <v>2783</v>
      </c>
      <c r="B210" s="5" t="s">
        <v>6461</v>
      </c>
      <c r="C210" s="5" t="s">
        <v>6733</v>
      </c>
      <c r="D210" s="5" t="s">
        <v>9418</v>
      </c>
    </row>
    <row r="211" spans="1:4" ht="10" customHeight="1" x14ac:dyDescent="0.2">
      <c r="A211" s="5">
        <v>2784</v>
      </c>
      <c r="B211" s="5" t="s">
        <v>6461</v>
      </c>
      <c r="C211" s="5" t="s">
        <v>6736</v>
      </c>
      <c r="D211" s="5" t="s">
        <v>9418</v>
      </c>
    </row>
    <row r="212" spans="1:4" ht="10" customHeight="1" x14ac:dyDescent="0.2">
      <c r="A212" s="5">
        <v>2785</v>
      </c>
      <c r="B212" s="5" t="s">
        <v>6461</v>
      </c>
      <c r="C212" s="5" t="s">
        <v>6740</v>
      </c>
      <c r="D212" s="5" t="s">
        <v>9418</v>
      </c>
    </row>
    <row r="213" spans="1:4" ht="10" customHeight="1" x14ac:dyDescent="0.2">
      <c r="A213" s="5">
        <v>2786</v>
      </c>
      <c r="B213" s="5" t="s">
        <v>6461</v>
      </c>
      <c r="C213" s="5" t="s">
        <v>6744</v>
      </c>
      <c r="D213" s="5" t="s">
        <v>9423</v>
      </c>
    </row>
    <row r="214" spans="1:4" ht="10" customHeight="1" x14ac:dyDescent="0.2">
      <c r="A214" s="5">
        <v>2788</v>
      </c>
      <c r="B214" s="5" t="s">
        <v>6461</v>
      </c>
      <c r="C214" s="5" t="s">
        <v>4134</v>
      </c>
      <c r="D214" s="5" t="s">
        <v>9424</v>
      </c>
    </row>
    <row r="215" spans="1:4" ht="10" customHeight="1" x14ac:dyDescent="0.2">
      <c r="A215" s="5">
        <v>2790</v>
      </c>
      <c r="B215" s="5" t="s">
        <v>6461</v>
      </c>
      <c r="C215" s="5" t="s">
        <v>6759</v>
      </c>
      <c r="D215" s="5" t="s">
        <v>9425</v>
      </c>
    </row>
    <row r="216" spans="1:4" ht="10" customHeight="1" x14ac:dyDescent="0.2">
      <c r="A216" s="5">
        <v>2791</v>
      </c>
      <c r="B216" s="5" t="s">
        <v>6461</v>
      </c>
      <c r="C216" s="5" t="s">
        <v>6762</v>
      </c>
      <c r="D216" s="5" t="s">
        <v>9426</v>
      </c>
    </row>
    <row r="217" spans="1:4" ht="10" customHeight="1" x14ac:dyDescent="0.2">
      <c r="A217" s="5">
        <v>2792</v>
      </c>
      <c r="B217" s="5" t="s">
        <v>6461</v>
      </c>
      <c r="C217" s="5" t="s">
        <v>6767</v>
      </c>
      <c r="D217" s="5" t="s">
        <v>9427</v>
      </c>
    </row>
    <row r="218" spans="1:4" ht="10" customHeight="1" x14ac:dyDescent="0.2">
      <c r="A218" s="5">
        <v>2793</v>
      </c>
      <c r="B218" s="5" t="s">
        <v>6461</v>
      </c>
      <c r="C218" s="5" t="s">
        <v>6771</v>
      </c>
      <c r="D218" s="5" t="s">
        <v>9428</v>
      </c>
    </row>
    <row r="219" spans="1:4" ht="10" customHeight="1" x14ac:dyDescent="0.2">
      <c r="A219" s="5">
        <v>2794</v>
      </c>
      <c r="B219" s="5" t="s">
        <v>6461</v>
      </c>
      <c r="C219" s="5" t="s">
        <v>6776</v>
      </c>
      <c r="D219" s="5" t="s">
        <v>9429</v>
      </c>
    </row>
    <row r="220" spans="1:4" ht="10" customHeight="1" x14ac:dyDescent="0.2">
      <c r="A220" s="5">
        <v>2797</v>
      </c>
      <c r="B220" s="5" t="s">
        <v>6461</v>
      </c>
      <c r="C220" s="5" t="s">
        <v>6787</v>
      </c>
      <c r="D220" s="5" t="s">
        <v>9430</v>
      </c>
    </row>
    <row r="221" spans="1:4" ht="10" customHeight="1" x14ac:dyDescent="0.2">
      <c r="A221" s="5">
        <v>2798</v>
      </c>
      <c r="B221" s="5" t="s">
        <v>6461</v>
      </c>
      <c r="C221" s="5" t="s">
        <v>6791</v>
      </c>
      <c r="D221" s="5" t="s">
        <v>9431</v>
      </c>
    </row>
    <row r="222" spans="1:4" ht="10" customHeight="1" x14ac:dyDescent="0.2">
      <c r="A222" s="5">
        <v>2799</v>
      </c>
      <c r="B222" s="5" t="s">
        <v>6461</v>
      </c>
      <c r="C222" s="5" t="s">
        <v>6795</v>
      </c>
      <c r="D222" s="5" t="s">
        <v>9432</v>
      </c>
    </row>
    <row r="223" spans="1:4" ht="10" customHeight="1" x14ac:dyDescent="0.2">
      <c r="A223" s="5">
        <v>2800</v>
      </c>
      <c r="B223" s="5" t="s">
        <v>6461</v>
      </c>
      <c r="C223" s="5" t="s">
        <v>6800</v>
      </c>
      <c r="D223" s="5" t="s">
        <v>9433</v>
      </c>
    </row>
    <row r="224" spans="1:4" ht="10" customHeight="1" x14ac:dyDescent="0.2">
      <c r="A224" s="5">
        <v>2801</v>
      </c>
      <c r="B224" s="5" t="s">
        <v>6461</v>
      </c>
      <c r="C224" s="5" t="s">
        <v>6804</v>
      </c>
      <c r="D224" s="5" t="s">
        <v>9434</v>
      </c>
    </row>
    <row r="225" spans="1:4" ht="10" customHeight="1" x14ac:dyDescent="0.2">
      <c r="A225" s="5">
        <v>2802</v>
      </c>
      <c r="B225" s="5" t="s">
        <v>6461</v>
      </c>
      <c r="C225" s="5" t="s">
        <v>6807</v>
      </c>
      <c r="D225" s="5" t="s">
        <v>9435</v>
      </c>
    </row>
    <row r="226" spans="1:4" ht="10" customHeight="1" x14ac:dyDescent="0.2">
      <c r="A226" s="5">
        <v>2804</v>
      </c>
      <c r="B226" s="5" t="s">
        <v>6461</v>
      </c>
      <c r="C226" s="5" t="s">
        <v>6818</v>
      </c>
      <c r="D226" s="5" t="s">
        <v>9436</v>
      </c>
    </row>
    <row r="227" spans="1:4" ht="10" customHeight="1" x14ac:dyDescent="0.2">
      <c r="A227" s="5">
        <v>2805</v>
      </c>
      <c r="B227" s="5" t="s">
        <v>6461</v>
      </c>
      <c r="C227" s="5" t="s">
        <v>6821</v>
      </c>
      <c r="D227" s="5" t="s">
        <v>9437</v>
      </c>
    </row>
    <row r="228" spans="1:4" ht="10" customHeight="1" x14ac:dyDescent="0.2">
      <c r="A228" s="5">
        <v>2806</v>
      </c>
      <c r="B228" s="5" t="s">
        <v>6461</v>
      </c>
      <c r="C228" s="5" t="s">
        <v>6824</v>
      </c>
      <c r="D228" s="5" t="s">
        <v>9438</v>
      </c>
    </row>
    <row r="229" spans="1:4" ht="10" customHeight="1" x14ac:dyDescent="0.2">
      <c r="A229" s="5">
        <v>2807</v>
      </c>
      <c r="B229" s="5" t="s">
        <v>6461</v>
      </c>
      <c r="C229" s="5" t="s">
        <v>6828</v>
      </c>
      <c r="D229" s="5" t="s">
        <v>9439</v>
      </c>
    </row>
    <row r="230" spans="1:4" ht="10" customHeight="1" x14ac:dyDescent="0.2">
      <c r="A230" s="5">
        <v>2809</v>
      </c>
      <c r="B230" s="5" t="s">
        <v>6461</v>
      </c>
      <c r="C230" s="5" t="s">
        <v>6833</v>
      </c>
      <c r="D230" s="5" t="s">
        <v>9440</v>
      </c>
    </row>
    <row r="231" spans="1:4" ht="10" customHeight="1" x14ac:dyDescent="0.2">
      <c r="A231" s="5">
        <v>2810</v>
      </c>
      <c r="B231" s="5" t="s">
        <v>6836</v>
      </c>
      <c r="C231" s="5" t="s">
        <v>6837</v>
      </c>
      <c r="D231" s="5" t="s">
        <v>9441</v>
      </c>
    </row>
    <row r="232" spans="1:4" ht="10" customHeight="1" x14ac:dyDescent="0.2">
      <c r="A232" s="5">
        <v>2823</v>
      </c>
      <c r="B232" s="5" t="s">
        <v>6836</v>
      </c>
      <c r="C232" s="5" t="s">
        <v>6867</v>
      </c>
      <c r="D232" s="5" t="s">
        <v>9442</v>
      </c>
    </row>
    <row r="233" spans="1:4" ht="10" customHeight="1" x14ac:dyDescent="0.2">
      <c r="A233" s="5">
        <v>2831</v>
      </c>
      <c r="B233" s="5" t="s">
        <v>6836</v>
      </c>
      <c r="C233" s="5" t="s">
        <v>6881</v>
      </c>
      <c r="D233" s="5" t="s">
        <v>9443</v>
      </c>
    </row>
    <row r="234" spans="1:4" ht="10" customHeight="1" x14ac:dyDescent="0.2">
      <c r="A234" s="5">
        <v>2858</v>
      </c>
      <c r="B234" s="5" t="s">
        <v>6836</v>
      </c>
      <c r="C234" s="5" t="s">
        <v>6936</v>
      </c>
      <c r="D234" s="5" t="s">
        <v>9444</v>
      </c>
    </row>
    <row r="235" spans="1:4" ht="10" customHeight="1" x14ac:dyDescent="0.2">
      <c r="A235" s="5">
        <v>2859</v>
      </c>
      <c r="B235" s="5" t="s">
        <v>6836</v>
      </c>
      <c r="C235" s="5" t="s">
        <v>6939</v>
      </c>
      <c r="D235" s="5" t="s">
        <v>9445</v>
      </c>
    </row>
    <row r="236" spans="1:4" ht="10" customHeight="1" x14ac:dyDescent="0.2">
      <c r="A236" s="5">
        <v>2860</v>
      </c>
      <c r="B236" s="5" t="s">
        <v>6836</v>
      </c>
      <c r="C236" s="5" t="s">
        <v>6943</v>
      </c>
      <c r="D236" s="5" t="s">
        <v>9446</v>
      </c>
    </row>
    <row r="237" spans="1:4" ht="10" customHeight="1" x14ac:dyDescent="0.2">
      <c r="A237" s="5">
        <v>2861</v>
      </c>
      <c r="B237" s="5" t="s">
        <v>6836</v>
      </c>
      <c r="C237" s="5" t="s">
        <v>6946</v>
      </c>
      <c r="D237" s="5" t="s">
        <v>9447</v>
      </c>
    </row>
    <row r="238" spans="1:4" ht="10" customHeight="1" x14ac:dyDescent="0.2">
      <c r="A238" s="5">
        <v>2879</v>
      </c>
      <c r="B238" s="5" t="s">
        <v>6836</v>
      </c>
      <c r="C238" s="5" t="s">
        <v>6968</v>
      </c>
      <c r="D238" s="5" t="s">
        <v>9448</v>
      </c>
    </row>
    <row r="239" spans="1:4" ht="10" customHeight="1" x14ac:dyDescent="0.2">
      <c r="A239" s="5">
        <v>2880</v>
      </c>
      <c r="B239" s="5" t="s">
        <v>6836</v>
      </c>
      <c r="C239" s="5" t="s">
        <v>6971</v>
      </c>
      <c r="D239" s="5" t="s">
        <v>9449</v>
      </c>
    </row>
    <row r="240" spans="1:4" ht="10" customHeight="1" x14ac:dyDescent="0.2">
      <c r="A240" s="5">
        <v>2888</v>
      </c>
      <c r="B240" s="5" t="s">
        <v>6836</v>
      </c>
      <c r="C240" s="5" t="s">
        <v>6981</v>
      </c>
      <c r="D240" s="5" t="s">
        <v>9450</v>
      </c>
    </row>
    <row r="241" spans="1:4" ht="10" customHeight="1" x14ac:dyDescent="0.2">
      <c r="A241" s="5">
        <v>2891</v>
      </c>
      <c r="B241" s="5" t="s">
        <v>6836</v>
      </c>
      <c r="C241" s="5" t="s">
        <v>6986</v>
      </c>
      <c r="D241" s="5" t="s">
        <v>9451</v>
      </c>
    </row>
    <row r="242" spans="1:4" ht="10" customHeight="1" x14ac:dyDescent="0.2">
      <c r="A242" s="5">
        <v>2902</v>
      </c>
      <c r="B242" s="5" t="s">
        <v>6836</v>
      </c>
      <c r="C242" s="5" t="s">
        <v>7004</v>
      </c>
      <c r="D242" s="5" t="s">
        <v>9452</v>
      </c>
    </row>
    <row r="243" spans="1:4" ht="10" customHeight="1" x14ac:dyDescent="0.2">
      <c r="A243" s="5">
        <v>2913</v>
      </c>
      <c r="B243" s="5" t="s">
        <v>6836</v>
      </c>
      <c r="C243" s="5" t="s">
        <v>7025</v>
      </c>
      <c r="D243" s="5" t="s">
        <v>9453</v>
      </c>
    </row>
    <row r="244" spans="1:4" ht="10" customHeight="1" x14ac:dyDescent="0.2">
      <c r="A244" s="5">
        <v>2926</v>
      </c>
      <c r="B244" s="5" t="s">
        <v>6836</v>
      </c>
      <c r="C244" s="5" t="s">
        <v>7064</v>
      </c>
      <c r="D244" s="5" t="s">
        <v>9454</v>
      </c>
    </row>
    <row r="245" spans="1:4" ht="10" customHeight="1" x14ac:dyDescent="0.2">
      <c r="A245" s="5">
        <v>2931</v>
      </c>
      <c r="B245" s="5" t="s">
        <v>6836</v>
      </c>
      <c r="C245" s="5" t="s">
        <v>7074</v>
      </c>
      <c r="D245" s="5" t="s">
        <v>9455</v>
      </c>
    </row>
    <row r="246" spans="1:4" ht="10" customHeight="1" x14ac:dyDescent="0.2">
      <c r="A246" s="5">
        <v>2932</v>
      </c>
      <c r="B246" s="5" t="s">
        <v>6836</v>
      </c>
      <c r="C246" s="5" t="s">
        <v>7078</v>
      </c>
      <c r="D246" s="5" t="s">
        <v>9456</v>
      </c>
    </row>
    <row r="247" spans="1:4" ht="10" customHeight="1" x14ac:dyDescent="0.2">
      <c r="A247" s="5">
        <v>2940</v>
      </c>
      <c r="B247" s="5" t="s">
        <v>6836</v>
      </c>
      <c r="C247" s="5" t="s">
        <v>7096</v>
      </c>
      <c r="D247" s="5" t="s">
        <v>9457</v>
      </c>
    </row>
    <row r="248" spans="1:4" ht="10" customHeight="1" x14ac:dyDescent="0.2">
      <c r="A248" s="5">
        <v>2943</v>
      </c>
      <c r="B248" s="5" t="s">
        <v>6836</v>
      </c>
      <c r="C248" s="5" t="s">
        <v>7102</v>
      </c>
      <c r="D248" s="5" t="s">
        <v>9458</v>
      </c>
    </row>
    <row r="249" spans="1:4" ht="10" customHeight="1" x14ac:dyDescent="0.2">
      <c r="A249" s="5">
        <v>2948</v>
      </c>
      <c r="B249" s="5" t="s">
        <v>6836</v>
      </c>
      <c r="C249" s="5" t="s">
        <v>7112</v>
      </c>
      <c r="D249" s="5" t="s">
        <v>9459</v>
      </c>
    </row>
    <row r="250" spans="1:4" ht="10" customHeight="1" x14ac:dyDescent="0.2">
      <c r="A250" s="5">
        <v>2973</v>
      </c>
      <c r="B250" s="5" t="s">
        <v>6836</v>
      </c>
      <c r="C250" s="5" t="s">
        <v>7144</v>
      </c>
      <c r="D250" s="5" t="s">
        <v>9460</v>
      </c>
    </row>
    <row r="251" spans="1:4" ht="10" customHeight="1" x14ac:dyDescent="0.2">
      <c r="A251" s="5">
        <v>2976</v>
      </c>
      <c r="B251" s="5" t="s">
        <v>7153</v>
      </c>
      <c r="C251" s="5" t="s">
        <v>7155</v>
      </c>
      <c r="D251" s="5" t="s">
        <v>9461</v>
      </c>
    </row>
    <row r="252" spans="1:4" ht="10" customHeight="1" x14ac:dyDescent="0.2">
      <c r="A252" s="5">
        <v>2982</v>
      </c>
      <c r="B252" s="5" t="s">
        <v>7153</v>
      </c>
      <c r="C252" s="5" t="s">
        <v>7172</v>
      </c>
      <c r="D252" s="5" t="s">
        <v>9462</v>
      </c>
    </row>
    <row r="253" spans="1:4" ht="10" customHeight="1" x14ac:dyDescent="0.2">
      <c r="A253" s="5">
        <v>2986</v>
      </c>
      <c r="B253" s="5" t="s">
        <v>7153</v>
      </c>
      <c r="C253" s="5" t="s">
        <v>7181</v>
      </c>
      <c r="D253" s="5" t="s">
        <v>9463</v>
      </c>
    </row>
    <row r="254" spans="1:4" ht="10" customHeight="1" x14ac:dyDescent="0.2">
      <c r="A254" s="5">
        <v>2987</v>
      </c>
      <c r="B254" s="5" t="s">
        <v>7153</v>
      </c>
      <c r="C254" s="5" t="s">
        <v>7184</v>
      </c>
      <c r="D254" s="5" t="s">
        <v>9464</v>
      </c>
    </row>
    <row r="255" spans="1:4" ht="10" customHeight="1" x14ac:dyDescent="0.2">
      <c r="A255" s="5">
        <v>2988</v>
      </c>
      <c r="B255" s="5" t="s">
        <v>7153</v>
      </c>
      <c r="C255" s="5" t="s">
        <v>7188</v>
      </c>
      <c r="D255" s="5" t="s">
        <v>9465</v>
      </c>
    </row>
    <row r="256" spans="1:4" ht="10" customHeight="1" x14ac:dyDescent="0.2">
      <c r="A256" s="5">
        <v>2989</v>
      </c>
      <c r="B256" s="5" t="s">
        <v>7153</v>
      </c>
      <c r="C256" s="5" t="s">
        <v>7190</v>
      </c>
      <c r="D256" s="5" t="s">
        <v>9466</v>
      </c>
    </row>
    <row r="257" spans="1:4" ht="10" customHeight="1" x14ac:dyDescent="0.2">
      <c r="A257" s="5">
        <v>2991</v>
      </c>
      <c r="B257" s="5" t="s">
        <v>7153</v>
      </c>
      <c r="C257" s="5" t="s">
        <v>7195</v>
      </c>
      <c r="D257" s="5" t="s">
        <v>9467</v>
      </c>
    </row>
    <row r="258" spans="1:4" ht="10" customHeight="1" x14ac:dyDescent="0.2">
      <c r="A258" s="5">
        <v>2992</v>
      </c>
      <c r="B258" s="5" t="s">
        <v>7153</v>
      </c>
      <c r="C258" s="5" t="s">
        <v>7198</v>
      </c>
      <c r="D258" s="5" t="s">
        <v>9468</v>
      </c>
    </row>
    <row r="259" spans="1:4" ht="10" customHeight="1" x14ac:dyDescent="0.2">
      <c r="A259" s="5">
        <v>2993</v>
      </c>
      <c r="B259" s="5" t="s">
        <v>7153</v>
      </c>
      <c r="C259" s="5" t="s">
        <v>7200</v>
      </c>
      <c r="D259" s="5" t="s">
        <v>9469</v>
      </c>
    </row>
    <row r="260" spans="1:4" ht="10" customHeight="1" x14ac:dyDescent="0.2">
      <c r="A260" s="5">
        <v>2994</v>
      </c>
      <c r="B260" s="5" t="s">
        <v>7153</v>
      </c>
      <c r="C260" s="5" t="s">
        <v>7202</v>
      </c>
      <c r="D260" s="5" t="s">
        <v>9470</v>
      </c>
    </row>
    <row r="261" spans="1:4" ht="10" customHeight="1" x14ac:dyDescent="0.2">
      <c r="A261" s="5">
        <v>2995</v>
      </c>
      <c r="B261" s="5" t="s">
        <v>7153</v>
      </c>
      <c r="C261" s="5" t="s">
        <v>7204</v>
      </c>
      <c r="D261" s="5" t="s">
        <v>9471</v>
      </c>
    </row>
    <row r="262" spans="1:4" ht="10" customHeight="1" x14ac:dyDescent="0.2">
      <c r="A262" s="5">
        <v>2996</v>
      </c>
      <c r="B262" s="5" t="s">
        <v>7153</v>
      </c>
      <c r="C262" s="5" t="s">
        <v>7206</v>
      </c>
      <c r="D262" s="5" t="s">
        <v>9472</v>
      </c>
    </row>
    <row r="263" spans="1:4" ht="10" customHeight="1" x14ac:dyDescent="0.2">
      <c r="A263" s="5">
        <v>2997</v>
      </c>
      <c r="B263" s="5" t="s">
        <v>7153</v>
      </c>
      <c r="C263" s="5" t="s">
        <v>7208</v>
      </c>
      <c r="D263" s="5" t="s">
        <v>9473</v>
      </c>
    </row>
    <row r="264" spans="1:4" ht="10" customHeight="1" x14ac:dyDescent="0.2">
      <c r="A264" s="5">
        <v>2998</v>
      </c>
      <c r="B264" s="5" t="s">
        <v>7153</v>
      </c>
      <c r="C264" s="5" t="s">
        <v>7211</v>
      </c>
      <c r="D264" s="5" t="s">
        <v>9474</v>
      </c>
    </row>
    <row r="265" spans="1:4" ht="10" customHeight="1" x14ac:dyDescent="0.2">
      <c r="A265" s="5">
        <v>2999</v>
      </c>
      <c r="B265" s="5" t="s">
        <v>7153</v>
      </c>
      <c r="C265" s="5" t="s">
        <v>7213</v>
      </c>
      <c r="D265" s="5" t="s">
        <v>9475</v>
      </c>
    </row>
    <row r="266" spans="1:4" ht="10" customHeight="1" x14ac:dyDescent="0.2">
      <c r="A266" s="5">
        <v>3000</v>
      </c>
      <c r="B266" s="5" t="s">
        <v>7153</v>
      </c>
      <c r="C266" s="5" t="s">
        <v>7216</v>
      </c>
      <c r="D266" s="5" t="s">
        <v>9475</v>
      </c>
    </row>
    <row r="267" spans="1:4" ht="10" customHeight="1" x14ac:dyDescent="0.2">
      <c r="A267" s="5">
        <v>3001</v>
      </c>
      <c r="B267" s="5" t="s">
        <v>7153</v>
      </c>
      <c r="C267" s="5" t="s">
        <v>7219</v>
      </c>
      <c r="D267" s="5" t="s">
        <v>9476</v>
      </c>
    </row>
    <row r="268" spans="1:4" ht="10" customHeight="1" x14ac:dyDescent="0.2">
      <c r="A268" s="5">
        <v>3002</v>
      </c>
      <c r="B268" s="5" t="s">
        <v>7153</v>
      </c>
      <c r="C268" s="5" t="s">
        <v>7222</v>
      </c>
      <c r="D268" s="5" t="s">
        <v>9477</v>
      </c>
    </row>
    <row r="269" spans="1:4" ht="10" customHeight="1" x14ac:dyDescent="0.2">
      <c r="A269" s="5">
        <v>3003</v>
      </c>
      <c r="B269" s="5" t="s">
        <v>7153</v>
      </c>
      <c r="C269" s="5" t="s">
        <v>7225</v>
      </c>
      <c r="D269" s="5" t="s">
        <v>9478</v>
      </c>
    </row>
    <row r="270" spans="1:4" ht="10" customHeight="1" x14ac:dyDescent="0.2">
      <c r="A270" s="5">
        <v>3004</v>
      </c>
      <c r="B270" s="5" t="s">
        <v>7153</v>
      </c>
      <c r="C270" s="5" t="s">
        <v>7228</v>
      </c>
      <c r="D270" s="5" t="s">
        <v>9479</v>
      </c>
    </row>
    <row r="271" spans="1:4" ht="10" customHeight="1" x14ac:dyDescent="0.2">
      <c r="A271" s="5">
        <v>3005</v>
      </c>
      <c r="B271" s="5" t="s">
        <v>7153</v>
      </c>
      <c r="C271" s="5" t="s">
        <v>7231</v>
      </c>
      <c r="D271" s="5" t="s">
        <v>9480</v>
      </c>
    </row>
    <row r="272" spans="1:4" ht="10" customHeight="1" x14ac:dyDescent="0.2">
      <c r="A272" s="5">
        <v>3007</v>
      </c>
      <c r="B272" s="5" t="s">
        <v>7153</v>
      </c>
      <c r="C272" s="5" t="s">
        <v>7236</v>
      </c>
      <c r="D272" s="5" t="s">
        <v>9481</v>
      </c>
    </row>
    <row r="273" spans="1:4" ht="10" customHeight="1" x14ac:dyDescent="0.2">
      <c r="A273" s="5">
        <v>3011</v>
      </c>
      <c r="B273" s="5" t="s">
        <v>7153</v>
      </c>
      <c r="C273" s="5" t="s">
        <v>7248</v>
      </c>
      <c r="D273" s="5" t="s">
        <v>9482</v>
      </c>
    </row>
    <row r="274" spans="1:4" ht="10" customHeight="1" x14ac:dyDescent="0.2">
      <c r="A274" s="5">
        <v>3012</v>
      </c>
      <c r="B274" s="5" t="s">
        <v>7153</v>
      </c>
      <c r="C274" s="5" t="s">
        <v>7251</v>
      </c>
      <c r="D274" s="5" t="s">
        <v>9483</v>
      </c>
    </row>
    <row r="275" spans="1:4" ht="10" customHeight="1" x14ac:dyDescent="0.2">
      <c r="A275" s="5">
        <v>3013</v>
      </c>
      <c r="B275" s="5" t="s">
        <v>7153</v>
      </c>
      <c r="C275" s="5" t="s">
        <v>7254</v>
      </c>
      <c r="D275" s="5" t="s">
        <v>9484</v>
      </c>
    </row>
    <row r="276" spans="1:4" ht="10" customHeight="1" x14ac:dyDescent="0.2">
      <c r="A276" s="5">
        <v>3014</v>
      </c>
      <c r="B276" s="5" t="s">
        <v>7153</v>
      </c>
      <c r="C276" s="5" t="s">
        <v>7257</v>
      </c>
      <c r="D276" s="5" t="s">
        <v>9485</v>
      </c>
    </row>
    <row r="277" spans="1:4" ht="10" customHeight="1" x14ac:dyDescent="0.2">
      <c r="A277" s="5">
        <v>3016</v>
      </c>
      <c r="B277" s="5" t="s">
        <v>7153</v>
      </c>
      <c r="C277" s="5" t="s">
        <v>7263</v>
      </c>
      <c r="D277" s="5" t="s">
        <v>9486</v>
      </c>
    </row>
    <row r="278" spans="1:4" ht="10" customHeight="1" x14ac:dyDescent="0.2">
      <c r="A278" s="5">
        <v>3017</v>
      </c>
      <c r="B278" s="5" t="s">
        <v>7153</v>
      </c>
      <c r="C278" s="5" t="s">
        <v>7265</v>
      </c>
      <c r="D278" s="5" t="s">
        <v>9487</v>
      </c>
    </row>
    <row r="279" spans="1:4" ht="10" customHeight="1" x14ac:dyDescent="0.2">
      <c r="A279" s="5">
        <v>3018</v>
      </c>
      <c r="B279" s="5" t="s">
        <v>7153</v>
      </c>
      <c r="C279" s="5" t="s">
        <v>7267</v>
      </c>
      <c r="D279" s="5" t="s">
        <v>9488</v>
      </c>
    </row>
    <row r="280" spans="1:4" ht="10" customHeight="1" x14ac:dyDescent="0.2">
      <c r="A280" s="5">
        <v>3019</v>
      </c>
      <c r="B280" s="5" t="s">
        <v>7153</v>
      </c>
      <c r="C280" s="5" t="s">
        <v>7269</v>
      </c>
      <c r="D280" s="5" t="s">
        <v>9489</v>
      </c>
    </row>
    <row r="281" spans="1:4" ht="10" customHeight="1" x14ac:dyDescent="0.2">
      <c r="A281" s="5">
        <v>3021</v>
      </c>
      <c r="B281" s="5" t="s">
        <v>7153</v>
      </c>
      <c r="C281" s="5" t="s">
        <v>7274</v>
      </c>
      <c r="D281" s="5" t="s">
        <v>9490</v>
      </c>
    </row>
    <row r="282" spans="1:4" ht="10" customHeight="1" x14ac:dyDescent="0.2">
      <c r="A282" s="5">
        <v>3022</v>
      </c>
      <c r="B282" s="5" t="s">
        <v>7153</v>
      </c>
      <c r="C282" s="5" t="s">
        <v>7276</v>
      </c>
      <c r="D282" s="5" t="s">
        <v>9491</v>
      </c>
    </row>
    <row r="283" spans="1:4" ht="10" customHeight="1" x14ac:dyDescent="0.2">
      <c r="A283" s="5">
        <v>3024</v>
      </c>
      <c r="B283" s="5" t="s">
        <v>7153</v>
      </c>
      <c r="C283" s="5" t="s">
        <v>7280</v>
      </c>
      <c r="D283" s="5" t="s">
        <v>9492</v>
      </c>
    </row>
    <row r="284" spans="1:4" ht="10" customHeight="1" x14ac:dyDescent="0.2">
      <c r="A284" s="5">
        <v>3025</v>
      </c>
      <c r="B284" s="5" t="s">
        <v>7153</v>
      </c>
      <c r="C284" s="5" t="s">
        <v>7282</v>
      </c>
      <c r="D284" s="5" t="s">
        <v>9492</v>
      </c>
    </row>
    <row r="285" spans="1:4" ht="10" customHeight="1" x14ac:dyDescent="0.2">
      <c r="A285" s="5">
        <v>3026</v>
      </c>
      <c r="B285" s="5" t="s">
        <v>7153</v>
      </c>
      <c r="C285" s="5" t="s">
        <v>7284</v>
      </c>
      <c r="D285" s="5" t="s">
        <v>9493</v>
      </c>
    </row>
    <row r="286" spans="1:4" ht="10" customHeight="1" x14ac:dyDescent="0.2">
      <c r="A286" s="5">
        <v>3027</v>
      </c>
      <c r="B286" s="5" t="s">
        <v>7153</v>
      </c>
      <c r="C286" s="5" t="s">
        <v>7286</v>
      </c>
      <c r="D286" s="5" t="s">
        <v>9494</v>
      </c>
    </row>
    <row r="287" spans="1:4" ht="10" customHeight="1" x14ac:dyDescent="0.2">
      <c r="A287" s="5">
        <v>3028</v>
      </c>
      <c r="B287" s="5" t="s">
        <v>7153</v>
      </c>
      <c r="C287" s="5" t="s">
        <v>7288</v>
      </c>
      <c r="D287" s="5" t="s">
        <v>9495</v>
      </c>
    </row>
    <row r="288" spans="1:4" ht="10" customHeight="1" x14ac:dyDescent="0.2">
      <c r="A288" s="5">
        <v>3033</v>
      </c>
      <c r="B288" s="5" t="s">
        <v>7153</v>
      </c>
      <c r="C288" s="5" t="s">
        <v>7303</v>
      </c>
      <c r="D288" s="5" t="s">
        <v>9496</v>
      </c>
    </row>
    <row r="289" spans="1:4" ht="10" customHeight="1" x14ac:dyDescent="0.2">
      <c r="A289" s="5">
        <v>3038</v>
      </c>
      <c r="B289" s="5" t="s">
        <v>7153</v>
      </c>
      <c r="C289" s="5" t="s">
        <v>7319</v>
      </c>
      <c r="D289" s="5" t="s">
        <v>9497</v>
      </c>
    </row>
    <row r="290" spans="1:4" ht="10" customHeight="1" x14ac:dyDescent="0.2">
      <c r="A290" s="5">
        <v>3042</v>
      </c>
      <c r="B290" s="5" t="s">
        <v>7153</v>
      </c>
      <c r="C290" s="5" t="s">
        <v>7335</v>
      </c>
      <c r="D290" s="5" t="s">
        <v>9498</v>
      </c>
    </row>
    <row r="291" spans="1:4" ht="10" customHeight="1" x14ac:dyDescent="0.2">
      <c r="A291" s="5">
        <v>3043</v>
      </c>
      <c r="B291" s="5" t="s">
        <v>7153</v>
      </c>
      <c r="C291" s="5" t="s">
        <v>7338</v>
      </c>
      <c r="D291" s="5" t="s">
        <v>9499</v>
      </c>
    </row>
    <row r="292" spans="1:4" ht="10" customHeight="1" x14ac:dyDescent="0.2">
      <c r="A292" s="5">
        <v>3044</v>
      </c>
      <c r="B292" s="5" t="s">
        <v>7153</v>
      </c>
      <c r="C292" s="5" t="s">
        <v>7341</v>
      </c>
      <c r="D292" s="5" t="s">
        <v>9500</v>
      </c>
    </row>
    <row r="293" spans="1:4" ht="10" customHeight="1" x14ac:dyDescent="0.2">
      <c r="A293" s="5">
        <v>3045</v>
      </c>
      <c r="B293" s="5" t="s">
        <v>7153</v>
      </c>
      <c r="C293" s="5" t="s">
        <v>7343</v>
      </c>
      <c r="D293" s="5" t="s">
        <v>9501</v>
      </c>
    </row>
    <row r="294" spans="1:4" ht="10" customHeight="1" x14ac:dyDescent="0.2">
      <c r="A294" s="5">
        <v>3046</v>
      </c>
      <c r="B294" s="5" t="s">
        <v>7153</v>
      </c>
      <c r="C294" s="5" t="s">
        <v>7345</v>
      </c>
      <c r="D294" s="5" t="s">
        <v>9502</v>
      </c>
    </row>
    <row r="295" spans="1:4" ht="10" customHeight="1" x14ac:dyDescent="0.2">
      <c r="A295" s="5">
        <v>3047</v>
      </c>
      <c r="B295" s="5" t="s">
        <v>7153</v>
      </c>
      <c r="C295" s="5" t="s">
        <v>7347</v>
      </c>
      <c r="D295" s="5" t="s">
        <v>9503</v>
      </c>
    </row>
    <row r="296" spans="1:4" ht="10" customHeight="1" x14ac:dyDescent="0.2">
      <c r="A296" s="5">
        <v>3048</v>
      </c>
      <c r="B296" s="5" t="s">
        <v>7153</v>
      </c>
      <c r="C296" s="5" t="s">
        <v>7349</v>
      </c>
      <c r="D296" s="5" t="s">
        <v>9504</v>
      </c>
    </row>
    <row r="297" spans="1:4" ht="10" customHeight="1" x14ac:dyDescent="0.2">
      <c r="A297" s="5">
        <v>3049</v>
      </c>
      <c r="B297" s="5" t="s">
        <v>7153</v>
      </c>
      <c r="C297" s="5" t="s">
        <v>7351</v>
      </c>
      <c r="D297" s="5" t="s">
        <v>9505</v>
      </c>
    </row>
    <row r="298" spans="1:4" ht="10" customHeight="1" x14ac:dyDescent="0.2">
      <c r="A298" s="5">
        <v>3050</v>
      </c>
      <c r="B298" s="5" t="s">
        <v>7153</v>
      </c>
      <c r="C298" s="5" t="s">
        <v>7353</v>
      </c>
      <c r="D298" s="5" t="s">
        <v>9506</v>
      </c>
    </row>
    <row r="299" spans="1:4" ht="10" customHeight="1" x14ac:dyDescent="0.2">
      <c r="A299" s="5">
        <v>3051</v>
      </c>
      <c r="B299" s="5" t="s">
        <v>7153</v>
      </c>
      <c r="C299" s="5" t="s">
        <v>7355</v>
      </c>
      <c r="D299" s="5" t="s">
        <v>9507</v>
      </c>
    </row>
    <row r="300" spans="1:4" ht="10" customHeight="1" x14ac:dyDescent="0.2">
      <c r="A300" s="5">
        <v>3052</v>
      </c>
      <c r="B300" s="5" t="s">
        <v>7153</v>
      </c>
      <c r="C300" s="5" t="s">
        <v>7358</v>
      </c>
      <c r="D300" s="5" t="s">
        <v>9508</v>
      </c>
    </row>
    <row r="301" spans="1:4" ht="10" customHeight="1" x14ac:dyDescent="0.2">
      <c r="A301" s="5">
        <v>3054</v>
      </c>
      <c r="B301" s="5" t="s">
        <v>7153</v>
      </c>
      <c r="C301" s="5" t="s">
        <v>7365</v>
      </c>
      <c r="D301" s="5" t="s">
        <v>9509</v>
      </c>
    </row>
    <row r="302" spans="1:4" ht="10" customHeight="1" x14ac:dyDescent="0.2">
      <c r="A302" s="5">
        <v>3065</v>
      </c>
      <c r="B302" s="5" t="s">
        <v>7153</v>
      </c>
      <c r="C302" s="5" t="s">
        <v>7392</v>
      </c>
      <c r="D302" s="5" t="s">
        <v>9510</v>
      </c>
    </row>
    <row r="303" spans="1:4" ht="10" customHeight="1" x14ac:dyDescent="0.2">
      <c r="A303" s="5">
        <v>3097</v>
      </c>
      <c r="B303" s="5" t="s">
        <v>7153</v>
      </c>
      <c r="C303" s="5" t="s">
        <v>7465</v>
      </c>
      <c r="D303" s="5" t="s">
        <v>9511</v>
      </c>
    </row>
    <row r="304" spans="1:4" ht="10" customHeight="1" x14ac:dyDescent="0.2">
      <c r="A304" s="5">
        <v>3103</v>
      </c>
      <c r="B304" s="5" t="s">
        <v>7153</v>
      </c>
      <c r="C304" s="5" t="s">
        <v>7484</v>
      </c>
      <c r="D304" s="5" t="s">
        <v>9512</v>
      </c>
    </row>
    <row r="305" spans="1:4" ht="10" customHeight="1" x14ac:dyDescent="0.2">
      <c r="A305" s="5">
        <v>3104</v>
      </c>
      <c r="B305" s="5" t="s">
        <v>7153</v>
      </c>
      <c r="C305" s="5" t="s">
        <v>7487</v>
      </c>
      <c r="D305" s="5" t="s">
        <v>9512</v>
      </c>
    </row>
    <row r="306" spans="1:4" ht="10" customHeight="1" x14ac:dyDescent="0.2">
      <c r="A306" s="5">
        <v>3106</v>
      </c>
      <c r="B306" s="5" t="s">
        <v>7153</v>
      </c>
      <c r="C306" s="5" t="s">
        <v>7492</v>
      </c>
      <c r="D306" s="5" t="s">
        <v>9513</v>
      </c>
    </row>
    <row r="307" spans="1:4" ht="10" customHeight="1" x14ac:dyDescent="0.2">
      <c r="A307" s="5">
        <v>3109</v>
      </c>
      <c r="B307" s="5" t="s">
        <v>7153</v>
      </c>
      <c r="C307" s="5" t="s">
        <v>7498</v>
      </c>
      <c r="D307" s="5" t="s">
        <v>9514</v>
      </c>
    </row>
    <row r="308" spans="1:4" ht="10" customHeight="1" x14ac:dyDescent="0.2">
      <c r="A308" s="5">
        <v>3110</v>
      </c>
      <c r="B308" s="5" t="s">
        <v>7153</v>
      </c>
      <c r="C308" s="5" t="s">
        <v>7501</v>
      </c>
      <c r="D308" s="5" t="s">
        <v>9515</v>
      </c>
    </row>
    <row r="309" spans="1:4" ht="10" customHeight="1" x14ac:dyDescent="0.2">
      <c r="A309" s="5">
        <v>3124</v>
      </c>
      <c r="B309" s="5" t="s">
        <v>7153</v>
      </c>
      <c r="C309" s="5" t="s">
        <v>7547</v>
      </c>
      <c r="D309" s="5" t="s">
        <v>9516</v>
      </c>
    </row>
    <row r="310" spans="1:4" ht="10" customHeight="1" x14ac:dyDescent="0.2">
      <c r="A310" s="5">
        <v>3125</v>
      </c>
      <c r="B310" s="5" t="s">
        <v>7153</v>
      </c>
      <c r="C310" s="5" t="s">
        <v>7551</v>
      </c>
      <c r="D310" s="5" t="s">
        <v>9517</v>
      </c>
    </row>
    <row r="311" spans="1:4" ht="10" customHeight="1" x14ac:dyDescent="0.2">
      <c r="A311" s="5">
        <v>3126</v>
      </c>
      <c r="B311" s="5" t="s">
        <v>7153</v>
      </c>
      <c r="C311" s="5" t="s">
        <v>7555</v>
      </c>
      <c r="D311" s="5" t="s">
        <v>9518</v>
      </c>
    </row>
    <row r="312" spans="1:4" ht="10" customHeight="1" x14ac:dyDescent="0.2">
      <c r="A312" s="5">
        <v>3128</v>
      </c>
      <c r="B312" s="5" t="s">
        <v>7153</v>
      </c>
      <c r="C312" s="5" t="s">
        <v>7562</v>
      </c>
      <c r="D312" s="5" t="s">
        <v>9519</v>
      </c>
    </row>
    <row r="313" spans="1:4" ht="10" customHeight="1" x14ac:dyDescent="0.2">
      <c r="A313" s="5">
        <v>3129</v>
      </c>
      <c r="B313" s="5" t="s">
        <v>7153</v>
      </c>
      <c r="C313" s="5" t="s">
        <v>7565</v>
      </c>
      <c r="D313" s="5" t="s">
        <v>9520</v>
      </c>
    </row>
    <row r="314" spans="1:4" ht="10" customHeight="1" x14ac:dyDescent="0.2">
      <c r="A314" s="5">
        <v>3130</v>
      </c>
      <c r="B314" s="5" t="s">
        <v>7153</v>
      </c>
      <c r="C314" s="5" t="s">
        <v>7567</v>
      </c>
      <c r="D314" s="5" t="s">
        <v>9521</v>
      </c>
    </row>
    <row r="315" spans="1:4" ht="10" customHeight="1" x14ac:dyDescent="0.2">
      <c r="A315" s="5">
        <v>3131</v>
      </c>
      <c r="B315" s="5" t="s">
        <v>7153</v>
      </c>
      <c r="C315" s="5" t="s">
        <v>7570</v>
      </c>
      <c r="D315" s="5" t="s">
        <v>9522</v>
      </c>
    </row>
    <row r="316" spans="1:4" ht="10" customHeight="1" x14ac:dyDescent="0.2">
      <c r="A316" s="5">
        <v>3132</v>
      </c>
      <c r="B316" s="5" t="s">
        <v>7153</v>
      </c>
      <c r="C316" s="5" t="s">
        <v>7574</v>
      </c>
      <c r="D316" s="5" t="s">
        <v>9523</v>
      </c>
    </row>
    <row r="317" spans="1:4" ht="10" customHeight="1" x14ac:dyDescent="0.2">
      <c r="A317" s="5">
        <v>3133</v>
      </c>
      <c r="B317" s="5" t="s">
        <v>7153</v>
      </c>
      <c r="C317" s="5" t="s">
        <v>7577</v>
      </c>
      <c r="D317" s="5" t="s">
        <v>9524</v>
      </c>
    </row>
    <row r="318" spans="1:4" ht="10" customHeight="1" x14ac:dyDescent="0.2">
      <c r="A318" s="5">
        <v>3134</v>
      </c>
      <c r="B318" s="5" t="s">
        <v>7153</v>
      </c>
      <c r="C318" s="5" t="s">
        <v>7579</v>
      </c>
      <c r="D318" s="5" t="s">
        <v>9525</v>
      </c>
    </row>
    <row r="319" spans="1:4" ht="10" customHeight="1" x14ac:dyDescent="0.2">
      <c r="A319" s="5">
        <v>3135</v>
      </c>
      <c r="B319" s="5" t="s">
        <v>7153</v>
      </c>
      <c r="C319" s="5" t="s">
        <v>7581</v>
      </c>
      <c r="D319" s="5" t="s">
        <v>9526</v>
      </c>
    </row>
    <row r="320" spans="1:4" ht="10" customHeight="1" x14ac:dyDescent="0.2">
      <c r="A320" s="5">
        <v>3136</v>
      </c>
      <c r="B320" s="5" t="s">
        <v>7153</v>
      </c>
      <c r="C320" s="5" t="s">
        <v>6369</v>
      </c>
      <c r="D320" s="5" t="s">
        <v>9527</v>
      </c>
    </row>
    <row r="321" spans="1:4" ht="10" customHeight="1" x14ac:dyDescent="0.2">
      <c r="A321" s="5">
        <v>3137</v>
      </c>
      <c r="B321" s="5" t="s">
        <v>7153</v>
      </c>
      <c r="C321" s="5" t="s">
        <v>7586</v>
      </c>
      <c r="D321" s="5" t="s">
        <v>9528</v>
      </c>
    </row>
    <row r="322" spans="1:4" ht="10" customHeight="1" x14ac:dyDescent="0.2">
      <c r="A322" s="5">
        <v>3138</v>
      </c>
      <c r="B322" s="5" t="s">
        <v>7153</v>
      </c>
      <c r="C322" s="5" t="s">
        <v>7590</v>
      </c>
      <c r="D322" s="5" t="s">
        <v>9529</v>
      </c>
    </row>
    <row r="323" spans="1:4" ht="10" customHeight="1" x14ac:dyDescent="0.2">
      <c r="A323" s="5">
        <v>3139</v>
      </c>
      <c r="B323" s="5" t="s">
        <v>7153</v>
      </c>
      <c r="C323" s="5" t="s">
        <v>7593</v>
      </c>
      <c r="D323" s="5" t="s">
        <v>9530</v>
      </c>
    </row>
    <row r="324" spans="1:4" ht="10" customHeight="1" x14ac:dyDescent="0.2">
      <c r="A324" s="5">
        <v>3143</v>
      </c>
      <c r="B324" s="5" t="s">
        <v>7153</v>
      </c>
      <c r="C324" s="5" t="s">
        <v>7607</v>
      </c>
      <c r="D324" s="5" t="s">
        <v>9531</v>
      </c>
    </row>
    <row r="325" spans="1:4" ht="10" customHeight="1" x14ac:dyDescent="0.2">
      <c r="A325" s="5">
        <v>3149</v>
      </c>
      <c r="B325" s="5" t="s">
        <v>7153</v>
      </c>
      <c r="C325" s="5" t="s">
        <v>7627</v>
      </c>
      <c r="D325" s="5" t="s">
        <v>9532</v>
      </c>
    </row>
    <row r="326" spans="1:4" ht="10" customHeight="1" x14ac:dyDescent="0.2">
      <c r="A326" s="5">
        <v>3153</v>
      </c>
      <c r="B326" s="5" t="s">
        <v>7153</v>
      </c>
      <c r="C326" s="5" t="s">
        <v>7637</v>
      </c>
      <c r="D326" s="5" t="s">
        <v>9533</v>
      </c>
    </row>
    <row r="327" spans="1:4" ht="10" customHeight="1" x14ac:dyDescent="0.2">
      <c r="A327" s="5">
        <v>3155</v>
      </c>
      <c r="B327" s="5" t="s">
        <v>7153</v>
      </c>
      <c r="C327" s="5" t="s">
        <v>7644</v>
      </c>
      <c r="D327" s="5" t="s">
        <v>9534</v>
      </c>
    </row>
    <row r="328" spans="1:4" ht="10" customHeight="1" x14ac:dyDescent="0.2">
      <c r="A328" s="5">
        <v>3156</v>
      </c>
      <c r="B328" s="5" t="s">
        <v>7153</v>
      </c>
      <c r="C328" s="5" t="s">
        <v>7649</v>
      </c>
      <c r="D328" s="5" t="s">
        <v>9534</v>
      </c>
    </row>
    <row r="329" spans="1:4" ht="10" customHeight="1" x14ac:dyDescent="0.2">
      <c r="A329" s="5">
        <v>3157</v>
      </c>
      <c r="B329" s="5" t="s">
        <v>7153</v>
      </c>
      <c r="C329" s="5" t="s">
        <v>7652</v>
      </c>
      <c r="D329" s="5" t="s">
        <v>9535</v>
      </c>
    </row>
    <row r="330" spans="1:4" ht="10" customHeight="1" x14ac:dyDescent="0.2">
      <c r="A330" s="5">
        <v>3158</v>
      </c>
      <c r="B330" s="5" t="s">
        <v>7153</v>
      </c>
      <c r="C330" s="5" t="s">
        <v>7654</v>
      </c>
      <c r="D330" s="5" t="s">
        <v>9536</v>
      </c>
    </row>
    <row r="331" spans="1:4" ht="10" customHeight="1" x14ac:dyDescent="0.2">
      <c r="A331" s="5">
        <v>3159</v>
      </c>
      <c r="B331" s="5" t="s">
        <v>7153</v>
      </c>
      <c r="C331" s="5" t="s">
        <v>7657</v>
      </c>
      <c r="D331" s="5" t="s">
        <v>9537</v>
      </c>
    </row>
    <row r="332" spans="1:4" ht="10" customHeight="1" x14ac:dyDescent="0.2">
      <c r="A332" s="5">
        <v>3160</v>
      </c>
      <c r="B332" s="5" t="s">
        <v>7153</v>
      </c>
      <c r="C332" s="5" t="s">
        <v>7661</v>
      </c>
      <c r="D332" s="5" t="s">
        <v>9538</v>
      </c>
    </row>
    <row r="333" spans="1:4" ht="10" customHeight="1" x14ac:dyDescent="0.2">
      <c r="A333" s="5">
        <v>3166</v>
      </c>
      <c r="B333" s="5" t="s">
        <v>7153</v>
      </c>
      <c r="C333" s="5" t="s">
        <v>7677</v>
      </c>
      <c r="D333" s="5" t="s">
        <v>9539</v>
      </c>
    </row>
    <row r="334" spans="1:4" ht="10" customHeight="1" x14ac:dyDescent="0.2">
      <c r="A334" s="5">
        <v>3169</v>
      </c>
      <c r="B334" s="5" t="s">
        <v>7153</v>
      </c>
      <c r="C334" s="5" t="s">
        <v>7685</v>
      </c>
      <c r="D334" s="5" t="s">
        <v>9540</v>
      </c>
    </row>
    <row r="335" spans="1:4" ht="10" customHeight="1" x14ac:dyDescent="0.2">
      <c r="A335" s="5">
        <v>3170</v>
      </c>
      <c r="B335" s="5" t="s">
        <v>7153</v>
      </c>
      <c r="C335" s="5" t="s">
        <v>7688</v>
      </c>
      <c r="D335" s="5" t="s">
        <v>9541</v>
      </c>
    </row>
    <row r="336" spans="1:4" ht="10" customHeight="1" x14ac:dyDescent="0.2">
      <c r="A336" s="5">
        <v>3171</v>
      </c>
      <c r="B336" s="5" t="s">
        <v>7153</v>
      </c>
      <c r="C336" s="5" t="s">
        <v>7691</v>
      </c>
      <c r="D336" s="5" t="s">
        <v>9542</v>
      </c>
    </row>
    <row r="337" spans="1:4" ht="10" customHeight="1" x14ac:dyDescent="0.2">
      <c r="A337" s="5">
        <v>3172</v>
      </c>
      <c r="B337" s="5" t="s">
        <v>7153</v>
      </c>
      <c r="C337" s="5" t="s">
        <v>7694</v>
      </c>
      <c r="D337" s="5" t="s">
        <v>9543</v>
      </c>
    </row>
    <row r="338" spans="1:4" ht="10" customHeight="1" x14ac:dyDescent="0.2">
      <c r="A338" s="5">
        <v>3173</v>
      </c>
      <c r="B338" s="5" t="s">
        <v>7153</v>
      </c>
      <c r="C338" s="5" t="s">
        <v>7697</v>
      </c>
      <c r="D338" s="5" t="s">
        <v>9544</v>
      </c>
    </row>
    <row r="339" spans="1:4" ht="10" customHeight="1" x14ac:dyDescent="0.2">
      <c r="A339" s="5">
        <v>3174</v>
      </c>
      <c r="B339" s="5" t="s">
        <v>7153</v>
      </c>
      <c r="C339" s="5" t="s">
        <v>7699</v>
      </c>
      <c r="D339" s="5" t="s">
        <v>9545</v>
      </c>
    </row>
    <row r="340" spans="1:4" ht="10" customHeight="1" x14ac:dyDescent="0.2">
      <c r="A340" s="5">
        <v>3175</v>
      </c>
      <c r="B340" s="5" t="s">
        <v>7153</v>
      </c>
      <c r="C340" s="5" t="s">
        <v>7701</v>
      </c>
      <c r="D340" s="5" t="s">
        <v>9546</v>
      </c>
    </row>
    <row r="341" spans="1:4" ht="10" customHeight="1" x14ac:dyDescent="0.2">
      <c r="A341" s="5">
        <v>3178</v>
      </c>
      <c r="B341" s="5" t="s">
        <v>7153</v>
      </c>
      <c r="C341" s="5" t="s">
        <v>7713</v>
      </c>
      <c r="D341" s="5" t="s">
        <v>9547</v>
      </c>
    </row>
    <row r="342" spans="1:4" ht="10" customHeight="1" x14ac:dyDescent="0.2">
      <c r="A342" s="5">
        <v>3202</v>
      </c>
      <c r="B342" s="5" t="s">
        <v>7153</v>
      </c>
      <c r="C342" s="5" t="s">
        <v>7772</v>
      </c>
      <c r="D342" s="5" t="s">
        <v>9548</v>
      </c>
    </row>
    <row r="343" spans="1:4" ht="10" customHeight="1" x14ac:dyDescent="0.2">
      <c r="A343" s="5">
        <v>3205</v>
      </c>
      <c r="B343" s="5" t="s">
        <v>7153</v>
      </c>
      <c r="C343" s="5" t="s">
        <v>7781</v>
      </c>
      <c r="D343" s="5" t="s">
        <v>9549</v>
      </c>
    </row>
    <row r="344" spans="1:4" ht="10" customHeight="1" x14ac:dyDescent="0.2">
      <c r="A344" s="5">
        <v>3213</v>
      </c>
      <c r="B344" s="5" t="s">
        <v>7790</v>
      </c>
      <c r="C344" s="5" t="s">
        <v>7799</v>
      </c>
      <c r="D344" s="5" t="s">
        <v>9550</v>
      </c>
    </row>
    <row r="345" spans="1:4" ht="10" customHeight="1" x14ac:dyDescent="0.2">
      <c r="A345" s="5">
        <v>3215</v>
      </c>
      <c r="B345" s="5" t="s">
        <v>7790</v>
      </c>
      <c r="C345" s="5" t="s">
        <v>7805</v>
      </c>
      <c r="D345" s="5" t="s">
        <v>9551</v>
      </c>
    </row>
    <row r="346" spans="1:4" ht="10" customHeight="1" x14ac:dyDescent="0.2">
      <c r="A346" s="5">
        <v>3217</v>
      </c>
      <c r="B346" s="5" t="s">
        <v>7790</v>
      </c>
      <c r="C346" s="5" t="s">
        <v>7812</v>
      </c>
      <c r="D346" s="5" t="s">
        <v>9552</v>
      </c>
    </row>
    <row r="347" spans="1:4" ht="10" customHeight="1" x14ac:dyDescent="0.2">
      <c r="A347" s="5">
        <v>3219</v>
      </c>
      <c r="B347" s="5" t="s">
        <v>7790</v>
      </c>
      <c r="C347" s="5" t="s">
        <v>7818</v>
      </c>
      <c r="D347" s="5" t="s">
        <v>9553</v>
      </c>
    </row>
    <row r="348" spans="1:4" ht="10" customHeight="1" x14ac:dyDescent="0.2">
      <c r="A348" s="5">
        <v>3221</v>
      </c>
      <c r="B348" s="5" t="s">
        <v>7790</v>
      </c>
      <c r="C348" s="5" t="s">
        <v>5451</v>
      </c>
      <c r="D348" s="5" t="s">
        <v>9554</v>
      </c>
    </row>
    <row r="349" spans="1:4" ht="10" customHeight="1" x14ac:dyDescent="0.2">
      <c r="A349" s="5">
        <v>3222</v>
      </c>
      <c r="B349" s="5" t="s">
        <v>7790</v>
      </c>
      <c r="C349" s="5" t="s">
        <v>7825</v>
      </c>
      <c r="D349" s="5" t="s">
        <v>9555</v>
      </c>
    </row>
    <row r="350" spans="1:4" ht="10" customHeight="1" x14ac:dyDescent="0.2">
      <c r="A350" s="5">
        <v>3256</v>
      </c>
      <c r="B350" s="5" t="s">
        <v>7935</v>
      </c>
      <c r="C350" s="5" t="s">
        <v>7937</v>
      </c>
      <c r="D350" s="5" t="s">
        <v>9556</v>
      </c>
    </row>
    <row r="351" spans="1:4" ht="10" customHeight="1" x14ac:dyDescent="0.2">
      <c r="A351" s="5">
        <v>3257</v>
      </c>
      <c r="B351" s="5" t="s">
        <v>7935</v>
      </c>
      <c r="C351" s="5" t="s">
        <v>7939</v>
      </c>
      <c r="D351" s="5" t="s">
        <v>9557</v>
      </c>
    </row>
    <row r="352" spans="1:4" ht="10" customHeight="1" x14ac:dyDescent="0.2">
      <c r="A352" s="5">
        <v>3258</v>
      </c>
      <c r="B352" s="5" t="s">
        <v>7935</v>
      </c>
      <c r="C352" s="5" t="s">
        <v>7943</v>
      </c>
      <c r="D352" s="5" t="s">
        <v>9558</v>
      </c>
    </row>
    <row r="353" spans="1:4" ht="10" customHeight="1" x14ac:dyDescent="0.2">
      <c r="A353" s="5">
        <v>3259</v>
      </c>
      <c r="B353" s="5" t="s">
        <v>7935</v>
      </c>
      <c r="C353" s="5" t="s">
        <v>7946</v>
      </c>
      <c r="D353" s="5" t="s">
        <v>9559</v>
      </c>
    </row>
    <row r="354" spans="1:4" ht="10" customHeight="1" x14ac:dyDescent="0.2">
      <c r="A354" s="5">
        <v>3260</v>
      </c>
      <c r="B354" s="5" t="s">
        <v>7935</v>
      </c>
      <c r="C354" s="5" t="s">
        <v>7949</v>
      </c>
      <c r="D354" s="5" t="s">
        <v>9560</v>
      </c>
    </row>
    <row r="355" spans="1:4" ht="10" customHeight="1" x14ac:dyDescent="0.2">
      <c r="A355" s="5">
        <v>3261</v>
      </c>
      <c r="B355" s="5" t="s">
        <v>7935</v>
      </c>
      <c r="C355" s="5" t="s">
        <v>7952</v>
      </c>
      <c r="D355" s="5" t="s">
        <v>9561</v>
      </c>
    </row>
    <row r="356" spans="1:4" ht="10" customHeight="1" x14ac:dyDescent="0.2">
      <c r="A356" s="5">
        <v>3262</v>
      </c>
      <c r="B356" s="5" t="s">
        <v>7935</v>
      </c>
      <c r="C356" s="5" t="s">
        <v>7955</v>
      </c>
      <c r="D356" s="5" t="s">
        <v>9562</v>
      </c>
    </row>
    <row r="357" spans="1:4" ht="10" customHeight="1" x14ac:dyDescent="0.2">
      <c r="A357" s="5">
        <v>3263</v>
      </c>
      <c r="B357" s="5" t="s">
        <v>7935</v>
      </c>
      <c r="C357" s="5" t="s">
        <v>7958</v>
      </c>
      <c r="D357" s="5" t="s">
        <v>9563</v>
      </c>
    </row>
    <row r="358" spans="1:4" ht="10" customHeight="1" x14ac:dyDescent="0.2">
      <c r="A358" s="5">
        <v>3264</v>
      </c>
      <c r="B358" s="5" t="s">
        <v>7935</v>
      </c>
      <c r="C358" s="5" t="s">
        <v>7961</v>
      </c>
      <c r="D358" s="5" t="s">
        <v>9564</v>
      </c>
    </row>
    <row r="359" spans="1:4" ht="10" customHeight="1" x14ac:dyDescent="0.2">
      <c r="A359" s="5">
        <v>3265</v>
      </c>
      <c r="B359" s="5" t="s">
        <v>7935</v>
      </c>
      <c r="C359" s="5" t="s">
        <v>7964</v>
      </c>
      <c r="D359" s="5" t="s">
        <v>9565</v>
      </c>
    </row>
    <row r="360" spans="1:4" ht="10" customHeight="1" x14ac:dyDescent="0.2">
      <c r="A360" s="5">
        <v>3266</v>
      </c>
      <c r="B360" s="5" t="s">
        <v>7935</v>
      </c>
      <c r="C360" s="5" t="s">
        <v>7967</v>
      </c>
      <c r="D360" s="5" t="s">
        <v>9566</v>
      </c>
    </row>
    <row r="361" spans="1:4" ht="10" customHeight="1" x14ac:dyDescent="0.2">
      <c r="A361" s="5">
        <v>3267</v>
      </c>
      <c r="B361" s="5" t="s">
        <v>7935</v>
      </c>
      <c r="C361" s="5" t="s">
        <v>7971</v>
      </c>
      <c r="D361" s="5" t="s">
        <v>9567</v>
      </c>
    </row>
    <row r="362" spans="1:4" ht="10" customHeight="1" x14ac:dyDescent="0.2">
      <c r="A362" s="5">
        <v>3268</v>
      </c>
      <c r="B362" s="5" t="s">
        <v>7935</v>
      </c>
      <c r="C362" s="5" t="s">
        <v>7974</v>
      </c>
      <c r="D362" s="5" t="s">
        <v>9568</v>
      </c>
    </row>
    <row r="363" spans="1:4" ht="10" customHeight="1" x14ac:dyDescent="0.2">
      <c r="A363" s="5">
        <v>3269</v>
      </c>
      <c r="B363" s="5" t="s">
        <v>7935</v>
      </c>
      <c r="C363" s="5" t="s">
        <v>7976</v>
      </c>
      <c r="D363" s="5" t="s">
        <v>9569</v>
      </c>
    </row>
    <row r="364" spans="1:4" ht="10" customHeight="1" x14ac:dyDescent="0.2">
      <c r="A364" s="5">
        <v>3270</v>
      </c>
      <c r="B364" s="5" t="s">
        <v>7935</v>
      </c>
      <c r="C364" s="5" t="s">
        <v>7979</v>
      </c>
      <c r="D364" s="5" t="s">
        <v>9570</v>
      </c>
    </row>
    <row r="365" spans="1:4" ht="10" customHeight="1" x14ac:dyDescent="0.2">
      <c r="A365" s="5">
        <v>3271</v>
      </c>
      <c r="B365" s="5" t="s">
        <v>7935</v>
      </c>
      <c r="C365" s="5" t="s">
        <v>7982</v>
      </c>
      <c r="D365" s="5" t="s">
        <v>9571</v>
      </c>
    </row>
    <row r="366" spans="1:4" ht="10" customHeight="1" x14ac:dyDescent="0.2">
      <c r="A366" s="5">
        <v>3272</v>
      </c>
      <c r="B366" s="5" t="s">
        <v>7935</v>
      </c>
      <c r="C366" s="5" t="s">
        <v>7986</v>
      </c>
      <c r="D366" s="5" t="s">
        <v>9572</v>
      </c>
    </row>
    <row r="367" spans="1:4" ht="10" customHeight="1" x14ac:dyDescent="0.2">
      <c r="A367" s="5">
        <v>3277</v>
      </c>
      <c r="B367" s="5" t="s">
        <v>7935</v>
      </c>
      <c r="C367" s="5" t="s">
        <v>8002</v>
      </c>
      <c r="D367" s="5" t="s">
        <v>9573</v>
      </c>
    </row>
    <row r="368" spans="1:4" ht="10" customHeight="1" x14ac:dyDescent="0.2">
      <c r="A368" s="5">
        <v>3278</v>
      </c>
      <c r="B368" s="5" t="s">
        <v>7935</v>
      </c>
      <c r="C368" s="5" t="s">
        <v>8005</v>
      </c>
      <c r="D368" s="5" t="s">
        <v>9574</v>
      </c>
    </row>
    <row r="369" spans="1:4" ht="10" customHeight="1" x14ac:dyDescent="0.2">
      <c r="A369" s="5">
        <v>3281</v>
      </c>
      <c r="B369" s="5" t="s">
        <v>7935</v>
      </c>
      <c r="C369" s="5" t="s">
        <v>8015</v>
      </c>
      <c r="D369" s="5" t="s">
        <v>9575</v>
      </c>
    </row>
    <row r="370" spans="1:4" ht="10" customHeight="1" x14ac:dyDescent="0.2">
      <c r="A370" s="5">
        <v>3282</v>
      </c>
      <c r="B370" s="5" t="s">
        <v>7935</v>
      </c>
      <c r="C370" s="5" t="s">
        <v>8017</v>
      </c>
      <c r="D370" s="5" t="s">
        <v>9575</v>
      </c>
    </row>
    <row r="371" spans="1:4" ht="10" customHeight="1" x14ac:dyDescent="0.2">
      <c r="A371" s="5">
        <v>3283</v>
      </c>
      <c r="B371" s="5" t="s">
        <v>7935</v>
      </c>
      <c r="C371" s="5" t="s">
        <v>8021</v>
      </c>
      <c r="D371" s="5" t="s">
        <v>9576</v>
      </c>
    </row>
    <row r="372" spans="1:4" ht="10" customHeight="1" x14ac:dyDescent="0.2">
      <c r="A372" s="5">
        <v>3284</v>
      </c>
      <c r="B372" s="5" t="s">
        <v>7935</v>
      </c>
      <c r="C372" s="5" t="s">
        <v>8025</v>
      </c>
      <c r="D372" s="5" t="s">
        <v>9577</v>
      </c>
    </row>
    <row r="373" spans="1:4" ht="10" customHeight="1" x14ac:dyDescent="0.2">
      <c r="A373" s="5">
        <v>3285</v>
      </c>
      <c r="B373" s="5" t="s">
        <v>7935</v>
      </c>
      <c r="C373" s="5" t="s">
        <v>8028</v>
      </c>
      <c r="D373" s="5" t="s">
        <v>9578</v>
      </c>
    </row>
    <row r="374" spans="1:4" ht="10" customHeight="1" x14ac:dyDescent="0.2">
      <c r="A374" s="5">
        <v>3288</v>
      </c>
      <c r="B374" s="5" t="s">
        <v>7935</v>
      </c>
      <c r="C374" s="5" t="s">
        <v>8035</v>
      </c>
      <c r="D374" s="5" t="s">
        <v>9579</v>
      </c>
    </row>
    <row r="375" spans="1:4" ht="10" customHeight="1" x14ac:dyDescent="0.2">
      <c r="A375" s="5">
        <v>3289</v>
      </c>
      <c r="B375" s="5" t="s">
        <v>7935</v>
      </c>
      <c r="C375" s="5" t="s">
        <v>8039</v>
      </c>
      <c r="D375" s="5" t="s">
        <v>9580</v>
      </c>
    </row>
    <row r="376" spans="1:4" ht="10" customHeight="1" x14ac:dyDescent="0.2">
      <c r="A376" s="5">
        <v>3290</v>
      </c>
      <c r="B376" s="5" t="s">
        <v>7935</v>
      </c>
      <c r="C376" s="5" t="s">
        <v>8043</v>
      </c>
      <c r="D376" s="5" t="s">
        <v>9581</v>
      </c>
    </row>
    <row r="377" spans="1:4" ht="10" customHeight="1" x14ac:dyDescent="0.2">
      <c r="A377" s="5">
        <v>3291</v>
      </c>
      <c r="B377" s="5" t="s">
        <v>7935</v>
      </c>
      <c r="C377" s="5" t="s">
        <v>8046</v>
      </c>
      <c r="D377" s="5" t="s">
        <v>9552</v>
      </c>
    </row>
    <row r="378" spans="1:4" ht="10" customHeight="1" x14ac:dyDescent="0.2">
      <c r="A378" s="5">
        <v>3292</v>
      </c>
      <c r="B378" s="5" t="s">
        <v>7935</v>
      </c>
      <c r="C378" s="5" t="s">
        <v>8049</v>
      </c>
      <c r="D378" s="5" t="s">
        <v>9582</v>
      </c>
    </row>
    <row r="379" spans="1:4" ht="10" customHeight="1" x14ac:dyDescent="0.2">
      <c r="A379" s="5">
        <v>3293</v>
      </c>
      <c r="B379" s="5" t="s">
        <v>7935</v>
      </c>
      <c r="C379" s="5" t="s">
        <v>8052</v>
      </c>
      <c r="D379" s="5" t="s">
        <v>9583</v>
      </c>
    </row>
    <row r="380" spans="1:4" ht="10" customHeight="1" x14ac:dyDescent="0.2">
      <c r="A380" s="5">
        <v>3294</v>
      </c>
      <c r="B380" s="5" t="s">
        <v>7935</v>
      </c>
      <c r="C380" s="5" t="s">
        <v>8055</v>
      </c>
      <c r="D380" s="5" t="s">
        <v>9584</v>
      </c>
    </row>
    <row r="381" spans="1:4" ht="10" customHeight="1" x14ac:dyDescent="0.2">
      <c r="A381" s="5">
        <v>3295</v>
      </c>
      <c r="B381" s="5" t="s">
        <v>7935</v>
      </c>
      <c r="C381" s="5" t="s">
        <v>8058</v>
      </c>
      <c r="D381" s="5" t="s">
        <v>9585</v>
      </c>
    </row>
    <row r="382" spans="1:4" ht="10" customHeight="1" x14ac:dyDescent="0.2">
      <c r="A382" s="5">
        <v>3296</v>
      </c>
      <c r="B382" s="5" t="s">
        <v>7935</v>
      </c>
      <c r="C382" s="5" t="s">
        <v>8061</v>
      </c>
      <c r="D382" s="5" t="s">
        <v>9586</v>
      </c>
    </row>
    <row r="383" spans="1:4" ht="10" customHeight="1" x14ac:dyDescent="0.2">
      <c r="A383" s="5">
        <v>3297</v>
      </c>
      <c r="B383" s="5" t="s">
        <v>7935</v>
      </c>
      <c r="C383" s="5" t="s">
        <v>8064</v>
      </c>
      <c r="D383" s="5" t="s">
        <v>9587</v>
      </c>
    </row>
    <row r="384" spans="1:4" ht="10" customHeight="1" x14ac:dyDescent="0.2">
      <c r="A384" s="5">
        <v>3302</v>
      </c>
      <c r="B384" s="5" t="s">
        <v>7935</v>
      </c>
      <c r="C384" s="5" t="s">
        <v>8082</v>
      </c>
      <c r="D384" s="5" t="s">
        <v>9588</v>
      </c>
    </row>
    <row r="385" spans="1:4" ht="10" customHeight="1" x14ac:dyDescent="0.2">
      <c r="A385" s="5">
        <v>3306</v>
      </c>
      <c r="B385" s="5" t="s">
        <v>7935</v>
      </c>
      <c r="C385" s="5" t="s">
        <v>7524</v>
      </c>
      <c r="D385" s="5" t="s">
        <v>9589</v>
      </c>
    </row>
    <row r="386" spans="1:4" ht="10" customHeight="1" x14ac:dyDescent="0.2">
      <c r="A386" s="5">
        <v>3307</v>
      </c>
      <c r="B386" s="5" t="s">
        <v>7935</v>
      </c>
      <c r="C386" s="5" t="s">
        <v>8099</v>
      </c>
      <c r="D386" s="5" t="s">
        <v>9590</v>
      </c>
    </row>
    <row r="387" spans="1:4" ht="10" customHeight="1" x14ac:dyDescent="0.2">
      <c r="A387" s="5">
        <v>3308</v>
      </c>
      <c r="B387" s="5" t="s">
        <v>7935</v>
      </c>
      <c r="C387" s="5" t="s">
        <v>8104</v>
      </c>
      <c r="D387" s="5" t="s">
        <v>9591</v>
      </c>
    </row>
    <row r="388" spans="1:4" ht="10" customHeight="1" x14ac:dyDescent="0.2">
      <c r="A388" s="5">
        <v>3311</v>
      </c>
      <c r="B388" s="5" t="s">
        <v>7935</v>
      </c>
      <c r="C388" s="5" t="s">
        <v>8115</v>
      </c>
      <c r="D388" s="5" t="s">
        <v>9592</v>
      </c>
    </row>
    <row r="389" spans="1:4" ht="10" customHeight="1" x14ac:dyDescent="0.2">
      <c r="A389" s="5">
        <v>3312</v>
      </c>
      <c r="B389" s="5" t="s">
        <v>7935</v>
      </c>
      <c r="C389" s="5" t="s">
        <v>8119</v>
      </c>
      <c r="D389" s="5" t="s">
        <v>9593</v>
      </c>
    </row>
    <row r="390" spans="1:4" ht="10" customHeight="1" x14ac:dyDescent="0.2">
      <c r="A390" s="5">
        <v>3313</v>
      </c>
      <c r="B390" s="5" t="s">
        <v>7935</v>
      </c>
      <c r="C390" s="5" t="s">
        <v>8122</v>
      </c>
      <c r="D390" s="5" t="s">
        <v>9594</v>
      </c>
    </row>
    <row r="391" spans="1:4" ht="10" customHeight="1" x14ac:dyDescent="0.2">
      <c r="A391" s="5">
        <v>3314</v>
      </c>
      <c r="B391" s="5" t="s">
        <v>7935</v>
      </c>
      <c r="C391" s="5" t="s">
        <v>8125</v>
      </c>
      <c r="D391" s="5" t="s">
        <v>9595</v>
      </c>
    </row>
    <row r="392" spans="1:4" ht="10" customHeight="1" x14ac:dyDescent="0.2">
      <c r="A392" s="5">
        <v>3315</v>
      </c>
      <c r="B392" s="5" t="s">
        <v>7935</v>
      </c>
      <c r="C392" s="5" t="s">
        <v>8127</v>
      </c>
      <c r="D392" s="5" t="s">
        <v>9596</v>
      </c>
    </row>
    <row r="393" spans="1:4" ht="10" customHeight="1" x14ac:dyDescent="0.2">
      <c r="A393" s="5">
        <v>3316</v>
      </c>
      <c r="B393" s="5" t="s">
        <v>7935</v>
      </c>
      <c r="C393" s="5" t="s">
        <v>8129</v>
      </c>
      <c r="D393" s="5" t="s">
        <v>9597</v>
      </c>
    </row>
    <row r="394" spans="1:4" ht="10" customHeight="1" x14ac:dyDescent="0.2">
      <c r="A394" s="5">
        <v>3317</v>
      </c>
      <c r="B394" s="5" t="s">
        <v>7935</v>
      </c>
      <c r="C394" s="5" t="s">
        <v>8131</v>
      </c>
      <c r="D394" s="5" t="s">
        <v>9598</v>
      </c>
    </row>
    <row r="395" spans="1:4" ht="10" customHeight="1" x14ac:dyDescent="0.2">
      <c r="A395" s="5">
        <v>3318</v>
      </c>
      <c r="B395" s="5" t="s">
        <v>7935</v>
      </c>
      <c r="C395" s="5" t="s">
        <v>8133</v>
      </c>
      <c r="D395" s="5" t="s">
        <v>9599</v>
      </c>
    </row>
    <row r="396" spans="1:4" ht="10" customHeight="1" x14ac:dyDescent="0.2">
      <c r="A396" s="5">
        <v>3319</v>
      </c>
      <c r="B396" s="5" t="s">
        <v>7935</v>
      </c>
      <c r="C396" s="5" t="s">
        <v>8136</v>
      </c>
      <c r="D396" s="5" t="s">
        <v>9600</v>
      </c>
    </row>
    <row r="397" spans="1:4" ht="10" customHeight="1" x14ac:dyDescent="0.2">
      <c r="A397" s="5">
        <v>3320</v>
      </c>
      <c r="B397" s="5" t="s">
        <v>7935</v>
      </c>
      <c r="C397" s="5" t="s">
        <v>8138</v>
      </c>
      <c r="D397" s="5" t="s">
        <v>9601</v>
      </c>
    </row>
    <row r="398" spans="1:4" ht="10" customHeight="1" x14ac:dyDescent="0.2">
      <c r="A398" s="5">
        <v>3321</v>
      </c>
      <c r="B398" s="5" t="s">
        <v>7935</v>
      </c>
      <c r="C398" s="5" t="s">
        <v>8141</v>
      </c>
      <c r="D398" s="5" t="s">
        <v>9602</v>
      </c>
    </row>
    <row r="399" spans="1:4" ht="10" customHeight="1" x14ac:dyDescent="0.2">
      <c r="A399" s="5">
        <v>3322</v>
      </c>
      <c r="B399" s="5" t="s">
        <v>7935</v>
      </c>
      <c r="C399" s="5" t="s">
        <v>8144</v>
      </c>
      <c r="D399" s="5" t="s">
        <v>9603</v>
      </c>
    </row>
    <row r="400" spans="1:4" ht="10" customHeight="1" x14ac:dyDescent="0.2">
      <c r="A400" s="5">
        <v>3323</v>
      </c>
      <c r="B400" s="5" t="s">
        <v>7935</v>
      </c>
      <c r="C400" s="5" t="s">
        <v>5451</v>
      </c>
      <c r="D400" s="5" t="s">
        <v>9604</v>
      </c>
    </row>
    <row r="401" spans="1:4" ht="10" customHeight="1" x14ac:dyDescent="0.2">
      <c r="A401" s="5">
        <v>3326</v>
      </c>
      <c r="B401" s="5" t="s">
        <v>6809</v>
      </c>
      <c r="C401" s="5" t="s">
        <v>8158</v>
      </c>
      <c r="D401" s="5" t="s">
        <v>9605</v>
      </c>
    </row>
    <row r="402" spans="1:4" ht="10" customHeight="1" x14ac:dyDescent="0.2">
      <c r="A402" s="5">
        <v>3327</v>
      </c>
      <c r="B402" s="5" t="s">
        <v>6809</v>
      </c>
      <c r="C402" s="5" t="s">
        <v>8163</v>
      </c>
      <c r="D402" s="5" t="s">
        <v>9606</v>
      </c>
    </row>
    <row r="403" spans="1:4" ht="10" customHeight="1" x14ac:dyDescent="0.2">
      <c r="A403" s="5">
        <v>3328</v>
      </c>
      <c r="B403" s="5" t="s">
        <v>6809</v>
      </c>
      <c r="C403" s="5" t="s">
        <v>8165</v>
      </c>
      <c r="D403" s="5" t="s">
        <v>9607</v>
      </c>
    </row>
    <row r="404" spans="1:4" ht="10" customHeight="1" x14ac:dyDescent="0.2">
      <c r="A404" s="5">
        <v>3329</v>
      </c>
      <c r="B404" s="5" t="s">
        <v>6809</v>
      </c>
      <c r="C404" s="5" t="s">
        <v>8168</v>
      </c>
      <c r="D404" s="5" t="s">
        <v>9608</v>
      </c>
    </row>
    <row r="405" spans="1:4" ht="10" customHeight="1" x14ac:dyDescent="0.2">
      <c r="A405" s="5">
        <v>3330</v>
      </c>
      <c r="B405" s="5" t="s">
        <v>6809</v>
      </c>
      <c r="C405" s="5" t="s">
        <v>8171</v>
      </c>
      <c r="D405" s="5" t="s">
        <v>9609</v>
      </c>
    </row>
    <row r="406" spans="1:4" ht="10" customHeight="1" x14ac:dyDescent="0.2">
      <c r="A406" s="5">
        <v>3331</v>
      </c>
      <c r="B406" s="5" t="s">
        <v>6809</v>
      </c>
      <c r="C406" s="5" t="s">
        <v>8174</v>
      </c>
      <c r="D406" s="5" t="s">
        <v>9610</v>
      </c>
    </row>
    <row r="407" spans="1:4" ht="10" customHeight="1" x14ac:dyDescent="0.2">
      <c r="A407" s="5">
        <v>3332</v>
      </c>
      <c r="B407" s="5" t="s">
        <v>6809</v>
      </c>
      <c r="C407" s="5" t="s">
        <v>8179</v>
      </c>
      <c r="D407" s="5" t="s">
        <v>9611</v>
      </c>
    </row>
    <row r="408" spans="1:4" ht="10" customHeight="1" x14ac:dyDescent="0.2">
      <c r="A408" s="5">
        <v>3333</v>
      </c>
      <c r="B408" s="5" t="s">
        <v>6809</v>
      </c>
      <c r="C408" s="5" t="s">
        <v>8181</v>
      </c>
      <c r="D408" s="5" t="s">
        <v>9612</v>
      </c>
    </row>
    <row r="409" spans="1:4" ht="10" customHeight="1" x14ac:dyDescent="0.2">
      <c r="A409" s="5">
        <v>3334</v>
      </c>
      <c r="B409" s="5" t="s">
        <v>6809</v>
      </c>
      <c r="C409" s="5" t="s">
        <v>8185</v>
      </c>
      <c r="D409" s="5" t="s">
        <v>9613</v>
      </c>
    </row>
    <row r="410" spans="1:4" ht="10" customHeight="1" x14ac:dyDescent="0.2">
      <c r="A410" s="5">
        <v>3335</v>
      </c>
      <c r="B410" s="5" t="s">
        <v>6809</v>
      </c>
      <c r="C410" s="5" t="s">
        <v>8188</v>
      </c>
      <c r="D410" s="5" t="s">
        <v>9614</v>
      </c>
    </row>
    <row r="411" spans="1:4" ht="10" customHeight="1" x14ac:dyDescent="0.2">
      <c r="A411" s="5">
        <v>3336</v>
      </c>
      <c r="B411" s="5" t="s">
        <v>6809</v>
      </c>
      <c r="C411" s="5" t="s">
        <v>8193</v>
      </c>
      <c r="D411" s="5" t="s">
        <v>9615</v>
      </c>
    </row>
    <row r="412" spans="1:4" ht="10" customHeight="1" x14ac:dyDescent="0.2">
      <c r="A412" s="5">
        <v>3337</v>
      </c>
      <c r="B412" s="5" t="s">
        <v>6809</v>
      </c>
      <c r="C412" s="5" t="s">
        <v>8198</v>
      </c>
      <c r="D412" s="5" t="s">
        <v>9616</v>
      </c>
    </row>
    <row r="413" spans="1:4" ht="10" customHeight="1" x14ac:dyDescent="0.2">
      <c r="A413" s="5">
        <v>3338</v>
      </c>
      <c r="B413" s="5" t="s">
        <v>6809</v>
      </c>
      <c r="C413" s="5" t="s">
        <v>8201</v>
      </c>
      <c r="D413" s="5" t="s">
        <v>9617</v>
      </c>
    </row>
    <row r="414" spans="1:4" ht="10" customHeight="1" x14ac:dyDescent="0.2">
      <c r="A414" s="5">
        <v>3339</v>
      </c>
      <c r="B414" s="5" t="s">
        <v>6809</v>
      </c>
      <c r="C414" s="5" t="s">
        <v>8206</v>
      </c>
      <c r="D414" s="5" t="s">
        <v>9618</v>
      </c>
    </row>
    <row r="415" spans="1:4" ht="10" customHeight="1" x14ac:dyDescent="0.2">
      <c r="A415" s="5">
        <v>3340</v>
      </c>
      <c r="B415" s="5" t="s">
        <v>6809</v>
      </c>
      <c r="C415" s="5" t="s">
        <v>8208</v>
      </c>
      <c r="D415" s="5" t="s">
        <v>9619</v>
      </c>
    </row>
    <row r="416" spans="1:4" ht="10" customHeight="1" x14ac:dyDescent="0.2">
      <c r="A416" s="5">
        <v>3341</v>
      </c>
      <c r="B416" s="5" t="s">
        <v>6809</v>
      </c>
      <c r="C416" s="5" t="s">
        <v>8212</v>
      </c>
      <c r="D416" s="5" t="s">
        <v>9620</v>
      </c>
    </row>
    <row r="417" spans="1:4" ht="10" customHeight="1" x14ac:dyDescent="0.2">
      <c r="A417" s="5">
        <v>3342</v>
      </c>
      <c r="B417" s="5" t="s">
        <v>6809</v>
      </c>
      <c r="C417" s="5" t="s">
        <v>8217</v>
      </c>
      <c r="D417" s="5" t="s">
        <v>9621</v>
      </c>
    </row>
    <row r="418" spans="1:4" ht="10" customHeight="1" x14ac:dyDescent="0.2">
      <c r="A418" s="5">
        <v>3343</v>
      </c>
      <c r="B418" s="5" t="s">
        <v>6809</v>
      </c>
      <c r="C418" s="5" t="s">
        <v>8220</v>
      </c>
      <c r="D418" s="5" t="s">
        <v>9622</v>
      </c>
    </row>
    <row r="419" spans="1:4" ht="10" customHeight="1" x14ac:dyDescent="0.2">
      <c r="A419" s="5">
        <v>3344</v>
      </c>
      <c r="B419" s="5" t="s">
        <v>6809</v>
      </c>
      <c r="C419" s="5" t="s">
        <v>8222</v>
      </c>
      <c r="D419" s="5" t="s">
        <v>9623</v>
      </c>
    </row>
    <row r="420" spans="1:4" ht="10" customHeight="1" x14ac:dyDescent="0.2">
      <c r="A420" s="5">
        <v>3345</v>
      </c>
      <c r="B420" s="5" t="s">
        <v>6809</v>
      </c>
      <c r="C420" s="5" t="s">
        <v>8228</v>
      </c>
      <c r="D420" s="5" t="s">
        <v>9624</v>
      </c>
    </row>
    <row r="421" spans="1:4" ht="10" customHeight="1" x14ac:dyDescent="0.2">
      <c r="A421" s="5">
        <v>3346</v>
      </c>
      <c r="B421" s="5" t="s">
        <v>6809</v>
      </c>
      <c r="C421" s="5" t="s">
        <v>2168</v>
      </c>
      <c r="D421" s="5" t="s">
        <v>9625</v>
      </c>
    </row>
    <row r="422" spans="1:4" ht="10" customHeight="1" x14ac:dyDescent="0.2">
      <c r="A422" s="5">
        <v>3347</v>
      </c>
      <c r="B422" s="5" t="s">
        <v>6809</v>
      </c>
      <c r="C422" s="5" t="s">
        <v>8231</v>
      </c>
      <c r="D422" s="5" t="s">
        <v>9626</v>
      </c>
    </row>
    <row r="423" spans="1:4" ht="10" customHeight="1" x14ac:dyDescent="0.2">
      <c r="A423" s="5">
        <v>3348</v>
      </c>
      <c r="B423" s="5" t="s">
        <v>6809</v>
      </c>
      <c r="C423" s="5" t="s">
        <v>8233</v>
      </c>
      <c r="D423" s="5" t="s">
        <v>9627</v>
      </c>
    </row>
    <row r="424" spans="1:4" ht="10" customHeight="1" x14ac:dyDescent="0.2">
      <c r="A424" s="5">
        <v>3349</v>
      </c>
      <c r="B424" s="5" t="s">
        <v>6809</v>
      </c>
      <c r="C424" s="5" t="s">
        <v>8236</v>
      </c>
      <c r="D424" s="5" t="s">
        <v>9628</v>
      </c>
    </row>
    <row r="425" spans="1:4" ht="10" customHeight="1" x14ac:dyDescent="0.2">
      <c r="A425" s="5">
        <v>3350</v>
      </c>
      <c r="B425" s="5" t="s">
        <v>6809</v>
      </c>
      <c r="C425" s="5" t="s">
        <v>8239</v>
      </c>
      <c r="D425" s="5" t="s">
        <v>9629</v>
      </c>
    </row>
    <row r="426" spans="1:4" ht="10" customHeight="1" x14ac:dyDescent="0.2">
      <c r="A426" s="5">
        <v>3351</v>
      </c>
      <c r="B426" s="5" t="s">
        <v>6809</v>
      </c>
      <c r="C426" s="5" t="s">
        <v>8242</v>
      </c>
      <c r="D426" s="5" t="s">
        <v>9630</v>
      </c>
    </row>
    <row r="427" spans="1:4" ht="10" customHeight="1" x14ac:dyDescent="0.2">
      <c r="A427" s="5">
        <v>3354</v>
      </c>
      <c r="B427" s="5" t="s">
        <v>6809</v>
      </c>
      <c r="C427" s="5" t="s">
        <v>8253</v>
      </c>
      <c r="D427" s="5" t="s">
        <v>9631</v>
      </c>
    </row>
    <row r="428" spans="1:4" ht="10" customHeight="1" x14ac:dyDescent="0.2">
      <c r="A428" s="5">
        <v>3355</v>
      </c>
      <c r="B428" s="5" t="s">
        <v>6809</v>
      </c>
      <c r="C428" s="5" t="s">
        <v>8255</v>
      </c>
      <c r="D428" s="5" t="s">
        <v>9632</v>
      </c>
    </row>
    <row r="429" spans="1:4" ht="10" customHeight="1" x14ac:dyDescent="0.2">
      <c r="A429" s="5">
        <v>3356</v>
      </c>
      <c r="B429" s="5" t="s">
        <v>6809</v>
      </c>
      <c r="C429" s="5" t="s">
        <v>8257</v>
      </c>
      <c r="D429" s="5" t="s">
        <v>9633</v>
      </c>
    </row>
    <row r="430" spans="1:4" ht="10" customHeight="1" x14ac:dyDescent="0.2">
      <c r="A430" s="5">
        <v>3357</v>
      </c>
      <c r="B430" s="5" t="s">
        <v>6809</v>
      </c>
      <c r="C430" s="5" t="s">
        <v>8259</v>
      </c>
      <c r="D430" s="5" t="s">
        <v>9634</v>
      </c>
    </row>
    <row r="431" spans="1:4" ht="10" customHeight="1" x14ac:dyDescent="0.2">
      <c r="A431" s="5">
        <v>3358</v>
      </c>
      <c r="B431" s="5" t="s">
        <v>6809</v>
      </c>
      <c r="C431" s="5" t="s">
        <v>8261</v>
      </c>
      <c r="D431" s="5" t="s">
        <v>9635</v>
      </c>
    </row>
    <row r="432" spans="1:4" ht="10" customHeight="1" x14ac:dyDescent="0.2">
      <c r="A432" s="5">
        <v>3359</v>
      </c>
      <c r="B432" s="5" t="s">
        <v>6809</v>
      </c>
      <c r="C432" s="5" t="s">
        <v>8263</v>
      </c>
      <c r="D432" s="5" t="s">
        <v>9636</v>
      </c>
    </row>
    <row r="433" spans="1:4" ht="10" customHeight="1" x14ac:dyDescent="0.2">
      <c r="A433" s="5">
        <v>3360</v>
      </c>
      <c r="B433" s="5" t="s">
        <v>6809</v>
      </c>
      <c r="C433" s="5" t="s">
        <v>8265</v>
      </c>
      <c r="D433" s="5" t="s">
        <v>9637</v>
      </c>
    </row>
    <row r="434" spans="1:4" ht="10" customHeight="1" x14ac:dyDescent="0.2">
      <c r="A434" s="5">
        <v>3361</v>
      </c>
      <c r="B434" s="5" t="s">
        <v>6809</v>
      </c>
      <c r="C434" s="5" t="s">
        <v>8267</v>
      </c>
      <c r="D434" s="5" t="s">
        <v>9638</v>
      </c>
    </row>
    <row r="435" spans="1:4" ht="10" customHeight="1" x14ac:dyDescent="0.2">
      <c r="A435" s="5">
        <v>3374</v>
      </c>
      <c r="B435" s="5" t="s">
        <v>44</v>
      </c>
      <c r="C435" s="5" t="s">
        <v>8295</v>
      </c>
      <c r="D435" s="5" t="s">
        <v>9639</v>
      </c>
    </row>
    <row r="436" spans="1:4" ht="10" customHeight="1" x14ac:dyDescent="0.2">
      <c r="A436" s="5">
        <v>3375</v>
      </c>
      <c r="B436" s="5" t="s">
        <v>44</v>
      </c>
      <c r="C436" s="5" t="s">
        <v>8297</v>
      </c>
      <c r="D436" s="5" t="s">
        <v>9640</v>
      </c>
    </row>
    <row r="437" spans="1:4" ht="10" customHeight="1" x14ac:dyDescent="0.2">
      <c r="A437" s="5">
        <v>3376</v>
      </c>
      <c r="B437" s="5" t="s">
        <v>44</v>
      </c>
      <c r="C437" s="5" t="s">
        <v>8299</v>
      </c>
      <c r="D437" s="5" t="s">
        <v>9641</v>
      </c>
    </row>
    <row r="438" spans="1:4" ht="10" customHeight="1" x14ac:dyDescent="0.2">
      <c r="A438" s="5">
        <v>3377</v>
      </c>
      <c r="B438" s="5" t="s">
        <v>44</v>
      </c>
      <c r="C438" s="5" t="s">
        <v>8301</v>
      </c>
      <c r="D438" s="5" t="s">
        <v>9642</v>
      </c>
    </row>
    <row r="439" spans="1:4" ht="10" customHeight="1" x14ac:dyDescent="0.2">
      <c r="A439" s="5">
        <v>3378</v>
      </c>
      <c r="B439" s="5" t="s">
        <v>44</v>
      </c>
      <c r="C439" s="5" t="s">
        <v>8303</v>
      </c>
      <c r="D439" s="5" t="s">
        <v>9643</v>
      </c>
    </row>
    <row r="440" spans="1:4" ht="10" customHeight="1" x14ac:dyDescent="0.2">
      <c r="A440" s="5">
        <v>3379</v>
      </c>
      <c r="B440" s="5" t="s">
        <v>44</v>
      </c>
      <c r="C440" s="5" t="s">
        <v>8305</v>
      </c>
      <c r="D440" s="5" t="s">
        <v>9644</v>
      </c>
    </row>
    <row r="441" spans="1:4" ht="10" customHeight="1" x14ac:dyDescent="0.2">
      <c r="A441" s="5">
        <v>3380</v>
      </c>
      <c r="B441" s="5" t="s">
        <v>44</v>
      </c>
      <c r="C441" s="5" t="s">
        <v>8307</v>
      </c>
      <c r="D441" s="5" t="s">
        <v>9645</v>
      </c>
    </row>
    <row r="442" spans="1:4" ht="10" customHeight="1" x14ac:dyDescent="0.2">
      <c r="A442" s="5">
        <v>3381</v>
      </c>
      <c r="B442" s="5" t="s">
        <v>44</v>
      </c>
      <c r="C442" s="5" t="s">
        <v>8309</v>
      </c>
      <c r="D442" s="5" t="s">
        <v>9646</v>
      </c>
    </row>
    <row r="443" spans="1:4" ht="10" customHeight="1" x14ac:dyDescent="0.2">
      <c r="A443" s="5">
        <v>3382</v>
      </c>
      <c r="B443" s="5" t="s">
        <v>44</v>
      </c>
      <c r="C443" s="5" t="s">
        <v>8311</v>
      </c>
      <c r="D443" s="5" t="s">
        <v>9647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19</vt:i4>
      </vt:variant>
    </vt:vector>
  </HeadingPairs>
  <TitlesOfParts>
    <vt:vector size="36"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2026-04-13T21:46:31Z</dcterms:modified>
</cp:coreProperties>
</file>