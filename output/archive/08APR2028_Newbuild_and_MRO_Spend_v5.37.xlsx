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 xmlns:r="http://schemas.openxmlformats.org/officeDocument/2006/relationships" name="Notes" sheetId="17" state="visible" r:id="rId17"/>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1">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drawing1.xml><?xml version="1.0" encoding="utf-8"?>
<xdr:wsDr xmlns:xdr="http://schemas.openxmlformats.org/drawingml/2006/spreadsheetDrawing" xmlns:a="http://schemas.openxmlformats.org/drawingml/2006/main">
  <xdr:twoCellAnchor>
    <xdr:from>
      <xdr:col>10</xdr:col>
      <xdr:colOff>57150</xdr:colOff>
      <xdr:row>60</xdr:row>
      <xdr:rowOff>28575</xdr:rowOff>
    </xdr:from>
    <xdr:to>
      <xdr:col>13</xdr:col>
      <xdr:colOff>0</xdr:colOff>
      <xdr:row>74</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16</xdr:row>
      <xdr:rowOff>28575</xdr:rowOff>
    </xdr:from>
    <xdr:to>
      <xdr:col>10</xdr:col>
      <xdr:colOff>0</xdr:colOff>
      <xdr:row>25</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About This Table</a:t>
          </a:r>
        </a:p>
        <a:p>
          <a:endParaRPr lang="en-US" sz="800"/>
        </a:p>
        <a:p>
          <a:r>
            <a:rPr lang="en-US" sz="800">
              <a:solidFill>
                <a:srgbClr val="333333"/>
              </a:solidFill>
              <a:latin typeface="Arial"/>
            </a:rPr>
            <a:t>Individual GFE systems from Navy Exhibit</a:t>
          </a:r>
        </a:p>
        <a:p>
          <a:r>
            <a:rPr lang="en-US" sz="800">
              <a:solidFill>
                <a:srgbClr val="333333"/>
              </a:solidFill>
              <a:latin typeface="Arial"/>
            </a:rPr>
            <a:t>P-8a — radars, weapons, electronics,</a:t>
          </a:r>
        </a:p>
        <a:p>
          <a:r>
            <a:rPr lang="en-US" sz="800">
              <a:solidFill>
                <a:srgbClr val="333333"/>
              </a:solidFill>
              <a:latin typeface="Arial"/>
            </a:rPr>
            <a:t>propulsion — grouped by cost category</a:t>
          </a:r>
        </a:p>
        <a:p>
          <a:r>
            <a:rPr lang="en-US" sz="800">
              <a:solidFill>
                <a:srgbClr val="333333"/>
              </a:solidFill>
              <a:latin typeface="Arial"/>
            </a:rPr>
            <a:t>within each hull. Gross values (pre-AP/SFF)</a:t>
          </a:r>
        </a:p>
        <a:p>
          <a:r>
            <a:rPr lang="en-US" sz="800">
              <a:solidFill>
                <a:srgbClr val="333333"/>
              </a:solidFill>
              <a:latin typeface="Arial"/>
            </a:rPr>
            <a:t>from SCN justification books. Use for</a:t>
          </a:r>
        </a:p>
        <a:p>
          <a:r>
            <a:rPr lang="en-US" sz="800">
              <a:solidFill>
                <a:srgbClr val="333333"/>
              </a:solidFill>
              <a:latin typeface="Arial"/>
            </a:rPr>
            <a:t>system market sizing and cross-program</a:t>
          </a:r>
        </a:p>
        <a:p>
          <a:r>
            <a:rPr lang="en-US" sz="800">
              <a:solidFill>
                <a:srgbClr val="333333"/>
              </a:solidFill>
              <a:latin typeface="Arial"/>
            </a:rPr>
            <a:t>commonality analysis.</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14</xdr:col>
      <xdr:colOff>457200</xdr:colOff>
      <xdr:row>77</xdr:row>
      <xdr:rowOff>28575</xdr:rowOff>
    </xdr:from>
    <xdr:ext cx="2697480" cy="297180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MRO Cost-Element Coverage</a:t>
          </a:r>
        </a:p>
        <a:p>
          <a:endParaRPr lang="en-US" sz="800"/>
        </a:p>
        <a:p>
          <a:r>
            <a:rPr lang="en-US" sz="800">
              <a:solidFill>
                <a:srgbClr val="333333"/>
              </a:solidFill>
              <a:latin typeface="Arial"/>
            </a:rPr>
            <a:t>P-5c / P-8a cost-element breakdowns do not</a:t>
          </a:r>
        </a:p>
        <a:p>
          <a:r>
            <a:rPr lang="en-US" sz="800">
              <a:solidFill>
                <a:srgbClr val="333333"/>
              </a:solidFill>
              <a:latin typeface="Arial"/>
            </a:rPr>
            <a:t>exist for MRO work. Justification books do</a:t>
          </a:r>
        </a:p>
        <a:p>
          <a:r>
            <a:rPr lang="en-US" sz="800">
              <a:solidFill>
                <a:srgbClr val="333333"/>
              </a:solidFill>
              <a:latin typeface="Arial"/>
            </a:rPr>
            <a:t>not provide Electronics / HM&amp;E / Ordnance</a:t>
          </a:r>
        </a:p>
        <a:p>
          <a:r>
            <a:rPr lang="en-US" sz="800">
              <a:solidFill>
                <a:srgbClr val="333333"/>
              </a:solidFill>
              <a:latin typeface="Arial"/>
            </a:rPr>
            <a:t>splits for maintenance the way they do for</a:t>
          </a:r>
        </a:p>
        <a:p>
          <a:r>
            <a:rPr lang="en-US" sz="800">
              <a:solidFill>
                <a:srgbClr val="333333"/>
              </a:solidFill>
              <a:latin typeface="Arial"/>
            </a:rPr>
            <a:t>new construction.</a:t>
          </a:r>
        </a:p>
        <a:p>
          <a:endParaRPr lang="en-US" sz="800"/>
        </a:p>
        <a:p>
          <a:r>
            <a:rPr lang="en-US" sz="800" b="1">
              <a:solidFill>
                <a:srgbClr val="333333"/>
              </a:solidFill>
              <a:latin typeface="Arial"/>
            </a:rPr>
            <a:t>What DOES exist as alternative detail:</a:t>
          </a:r>
        </a:p>
        <a:p>
          <a:endParaRPr lang="en-US" sz="800"/>
        </a:p>
        <a:p>
          <a:r>
            <a:rPr lang="en-US" sz="800">
              <a:solidFill>
                <a:srgbClr val="333333"/>
              </a:solidFill>
              <a:latin typeface="Arial"/>
            </a:rPr>
            <a:t>For SDM (Bucket 2): hull-level totals, plus</a:t>
          </a:r>
        </a:p>
        <a:p>
          <a:r>
            <a:rPr lang="en-US" sz="800">
              <a:solidFill>
                <a:srgbClr val="333333"/>
              </a:solidFill>
              <a:latin typeface="Arial"/>
            </a:rPr>
            <a:t>ALT_VIEW data by availability type (OH, SRA,</a:t>
          </a:r>
        </a:p>
        <a:p>
          <a:r>
            <a:rPr lang="en-US" sz="800">
              <a:solidFill>
                <a:srgbClr val="333333"/>
              </a:solidFill>
              <a:latin typeface="Arial"/>
            </a:rPr>
            <a:t>SIA, PIA) and by public shipyard (NNSY,</a:t>
          </a:r>
        </a:p>
        <a:p>
          <a:r>
            <a:rPr lang="en-US" sz="800">
              <a:solidFill>
                <a:srgbClr val="333333"/>
              </a:solidFill>
              <a:latin typeface="Arial"/>
            </a:rPr>
            <a:t>PSNSY, etc.) with performance data (labor /</a:t>
          </a:r>
        </a:p>
        <a:p>
          <a:r>
            <a:rPr lang="en-US" sz="800">
              <a:solidFill>
                <a:srgbClr val="333333"/>
              </a:solidFill>
              <a:latin typeface="Arial"/>
            </a:rPr>
            <a:t>material / contracts) — but these cover ALL</a:t>
          </a:r>
        </a:p>
        <a:p>
          <a:r>
            <a:rPr lang="en-US" sz="800">
              <a:solidFill>
                <a:srgbClr val="333333"/>
              </a:solidFill>
              <a:latin typeface="Arial"/>
            </a:rPr>
            <a:t>vessels at those yards, not just SAM-eligible.</a:t>
          </a:r>
        </a:p>
        <a:p>
          <a:endParaRPr lang="en-US" sz="800"/>
        </a:p>
        <a:p>
          <a:r>
            <a:rPr lang="en-US" sz="800">
              <a:solidFill>
                <a:srgbClr val="333333"/>
              </a:solidFill>
              <a:latin typeface="Arial"/>
            </a:rPr>
            <a:t>For Mod (Bucket 4): some hulls have identified</a:t>
          </a:r>
        </a:p>
        <a:p>
          <a:r>
            <a:rPr lang="en-US" sz="800">
              <a:solidFill>
                <a:srgbClr val="333333"/>
              </a:solidFill>
              <a:latin typeface="Arial"/>
            </a:rPr>
            <a:t>OPN line items (DDG Mod, LCS In-Service Mod,</a:t>
          </a:r>
        </a:p>
        <a:p>
          <a:r>
            <a:rPr lang="en-US" sz="800">
              <a:solidFill>
                <a:srgbClr val="333333"/>
              </a:solidFill>
              <a:latin typeface="Arial"/>
            </a:rPr>
            <a:t>DDG-1000 Support Equipment) plus fleet-wide</a:t>
          </a:r>
        </a:p>
        <a:p>
          <a:r>
            <a:rPr lang="en-US" sz="800">
              <a:solidFill>
                <a:srgbClr val="333333"/>
              </a:solidFill>
              <a:latin typeface="Arial"/>
            </a:rPr>
            <a:t>systems without hull attribution (CANES,</a:t>
          </a:r>
        </a:p>
        <a:p>
          <a:r>
            <a:rPr lang="en-US" sz="800">
              <a:solidFill>
                <a:srgbClr val="333333"/>
              </a:solidFill>
              <a:latin typeface="Arial"/>
            </a:rPr>
            <a:t>AN/SLQ-32, ISSP, etc.).</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Submarine Escort Ship</t>
        </is>
      </c>
      <c r="B27" s="30" t="inlineStr">
        <is>
          <t>USN</t>
        </is>
      </c>
      <c r="C27" s="31">
        <f>SUMIFS(JB_26BV,JB_B,1,JB_W,"Submarine Escort Ship",JB_RC,"ADD")</f>
        <v/>
      </c>
      <c r="D27" s="37">
        <f>IFERROR(C27/C$44,0)</f>
        <v/>
      </c>
    </row>
    <row r="28" ht="10" customHeight="1">
      <c r="A28" s="30" t="inlineStr">
        <is>
          <t>Command Ships</t>
        </is>
      </c>
      <c r="B28" s="30" t="inlineStr">
        <is>
          <t>USN</t>
        </is>
      </c>
      <c r="C28" s="31">
        <f>SUMIFS(JB_26BV,JB_B,1,JB_W,"Command Ships",JB_RC,"ADD")</f>
        <v/>
      </c>
      <c r="D28" s="37">
        <f>IFERROR(C28/C$44,0)</f>
        <v/>
      </c>
    </row>
    <row r="29" ht="10" customHeight="1">
      <c r="A29" s="30" t="inlineStr">
        <is>
          <t>High Speed Transport</t>
        </is>
      </c>
      <c r="B29" s="30" t="inlineStr">
        <is>
          <t>USN</t>
        </is>
      </c>
      <c r="C29" s="31">
        <f>SUMIFS(JB_26BV,JB_B,1,JB_W,"High Speed Transport",JB_RC,"ADD")</f>
        <v/>
      </c>
      <c r="D29" s="37">
        <f>IFERROR(C29/C$44,0)</f>
        <v/>
      </c>
    </row>
    <row r="30" ht="10" customHeight="1">
      <c r="A30" s="30" t="inlineStr">
        <is>
          <t>General Auxiliary</t>
        </is>
      </c>
      <c r="B30" s="30" t="inlineStr">
        <is>
          <t>USN</t>
        </is>
      </c>
      <c r="C30" s="31">
        <f>SUMIFS(JB_26BV,JB_B,1,JB_W,"General Auxiliary",JB_RC,"ADD")</f>
        <v/>
      </c>
      <c r="D30" s="37">
        <f>IFERROR(C30/C$44,0)</f>
        <v/>
      </c>
    </row>
    <row r="31" ht="10" customHeight="1">
      <c r="A31" s="30" t="inlineStr">
        <is>
          <t>Aviation Logistics Support Ship</t>
        </is>
      </c>
      <c r="B31" s="30" t="inlineStr">
        <is>
          <t>USN</t>
        </is>
      </c>
      <c r="C31" s="31">
        <f>SUMIFS(JB_26BV,JB_B,1,JB_W,"Aviation Logistics Support Ship",JB_RC,"ADD")</f>
        <v/>
      </c>
      <c r="D31" s="37">
        <f>IFERROR(C31/C$44,0)</f>
        <v/>
      </c>
    </row>
    <row r="32" ht="10" customHeight="1">
      <c r="A32" s="30" t="inlineStr">
        <is>
          <t>Research, Survey &amp; Instrumentation Ships</t>
        </is>
      </c>
      <c r="B32" s="30" t="inlineStr">
        <is>
          <t>MSC</t>
        </is>
      </c>
      <c r="C32" s="31">
        <f>SUMIFS(JB_26BV,JB_B,1,JB_W,"Research, Survey &amp; Instrumentation Ships",JB_RC,"ADD")</f>
        <v/>
      </c>
      <c r="D32" s="37">
        <f>IFERROR(C32/C$44,0)</f>
        <v/>
      </c>
    </row>
    <row r="33" ht="10" customHeight="1">
      <c r="A33" s="30" t="inlineStr">
        <is>
          <t>Crane Ship</t>
        </is>
      </c>
      <c r="B33" s="30" t="inlineStr">
        <is>
          <t>USN</t>
        </is>
      </c>
      <c r="C33" s="31">
        <f>SUMIFS(JB_26BV,JB_B,1,JB_W,"Crane Ship",JB_RC,"ADD")</f>
        <v/>
      </c>
      <c r="D33" s="37">
        <f>IFERROR(C33/C$44,0)</f>
        <v/>
      </c>
    </row>
    <row r="34" ht="10" customHeight="1">
      <c r="A34" s="30" t="inlineStr">
        <is>
          <t>Mine Warfare</t>
        </is>
      </c>
      <c r="B34" s="30" t="inlineStr">
        <is>
          <t>USN</t>
        </is>
      </c>
      <c r="C34" s="31">
        <f>SUMIFS(JB_26BV,JB_B,1,JB_W,"Mine Warfare",JB_RC,"ADD")</f>
        <v/>
      </c>
      <c r="D34" s="37">
        <f>IFERROR(C34/C$44,0)</f>
        <v/>
      </c>
    </row>
    <row r="35" ht="10" customHeight="1">
      <c r="A35" s="30" t="inlineStr">
        <is>
          <t>Hospital Ship</t>
        </is>
      </c>
      <c r="B35" s="30" t="inlineStr">
        <is>
          <t>MSC</t>
        </is>
      </c>
      <c r="C35" s="31">
        <f>SUMIFS(JB_26BV,JB_B,1,JB_W,"Hospital Ship",JB_RC,"ADD")</f>
        <v/>
      </c>
      <c r="D35" s="37">
        <f>IFERROR(C35/C$44,0)</f>
        <v/>
      </c>
    </row>
    <row r="36" ht="10" customHeight="1">
      <c r="A36" s="30" t="inlineStr">
        <is>
          <t>Material Support Ships</t>
        </is>
      </c>
      <c r="B36" s="30" t="inlineStr">
        <is>
          <t>USN</t>
        </is>
      </c>
      <c r="C36" s="31">
        <f>SUMIFS(JB_26BV,JB_B,1,JB_W,"Material Support Ships",JB_RC,"ADD")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Coastal Buoy Tenders</t>
        </is>
      </c>
      <c r="B41" s="30" t="inlineStr">
        <is>
          <t>USCG</t>
        </is>
      </c>
      <c r="C41" s="31">
        <f>SUMIFS(JB_26BV,JB_B,1,JB_W,"Coastal Buoy Tenders",JB_RC,"ADD")</f>
        <v/>
      </c>
      <c r="D41" s="37">
        <f>IFERROR(C41/C$44,0)</f>
        <v/>
      </c>
    </row>
    <row r="42" ht="10" customHeight="1">
      <c r="A42" s="30" t="inlineStr">
        <is>
          <t>National Security Cutters</t>
        </is>
      </c>
      <c r="B42" s="30" t="inlineStr">
        <is>
          <t>USCG</t>
        </is>
      </c>
      <c r="C42" s="31">
        <f>SUMIFS(JB_26BV,JB_B,1,JB_W,"National Security Cutters",JB_RC,"ADD")</f>
        <v/>
      </c>
      <c r="D42" s="37">
        <f>IFERROR(C42/C$44,0)</f>
        <v/>
      </c>
    </row>
    <row r="43" ht="10" customHeight="1">
      <c r="A43" s="30" t="inlineStr">
        <is>
          <t>Icebreakers, Great Lakes</t>
        </is>
      </c>
      <c r="B43" s="30" t="inlineStr">
        <is>
          <t>USCG</t>
        </is>
      </c>
      <c r="C43" s="31">
        <f>SUMIFS(JB_26BV,JB_B,1,JB_W,"Icebreakers, Great Lakes",JB_RC,"ADD")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111"/>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row>
    <row r="62" ht="10" customHeight="1">
      <c r="A62" s="26" t="inlineStr">
        <is>
          <t>Gross total-ship-estimate costs from Exhibit P-5c. These are pre-AP/SFF and will NOT match SAM net totals.</t>
        </is>
      </c>
    </row>
    <row r="63" ht="10" customHeight="1">
      <c r="A63" s="39" t="n"/>
      <c r="B63" s="40" t="inlineStr">
        <is>
          <t>USN</t>
        </is>
      </c>
      <c r="C63" s="39" t="n"/>
      <c r="D63" s="39" t="n"/>
      <c r="E63" s="39" t="n"/>
      <c r="F63" s="39" t="n"/>
      <c r="G63" s="39" t="n"/>
      <c r="H63" s="39" t="n"/>
      <c r="I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T-AO</t>
        </is>
      </c>
      <c r="H64" s="29" t="inlineStr">
        <is>
          <t>T-ATS</t>
        </is>
      </c>
      <c r="I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Costs",JB_H,"T-AO",JB_RC,"ALT")</f>
        <v/>
      </c>
      <c r="H65" s="31">
        <f>SUMIFS(JB_26BV,JB_B,1,JB_EX,"P-5c",JB_CC,"Plan Costs",JB_H,"T-ATS",JB_RC,"ALT")</f>
        <v/>
      </c>
      <c r="I65" s="45">
        <f>SUM(B65:H65)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Construction",JB_H,"T-AO",JB_RC,"ALT")</f>
        <v/>
      </c>
      <c r="H66" s="31">
        <f>SUMIFS(JB_26BV,JB_B,1,JB_EX,"P-5c",JB_CC,"Basic Construction",JB_H,"T-ATS",JB_RC,"ALT")</f>
        <v/>
      </c>
      <c r="I66" s="45">
        <f>SUM(B66:H66)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Orders",JB_H,"T-AO",JB_RC,"ALT")</f>
        <v/>
      </c>
      <c r="H67" s="31">
        <f>SUMIFS(JB_26BV,JB_B,1,JB_EX,"P-5c",JB_CC,"Change Orders",JB_H,"T-ATS",JB_RC,"ALT")</f>
        <v/>
      </c>
      <c r="I67" s="45">
        <f>SUM(B67:H67)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SUMIFS(JB_26BV,JB_B,1,JB_EX,"P-5c",JB_CC,"Electronics",JB_H,"T-AO",JB_RC,"ALT")</f>
        <v/>
      </c>
      <c r="H68" s="31">
        <f>SUMIFS(JB_26BV,JB_B,1,JB_EX,"P-5c",JB_CC,"Electronics",JB_H,"T-ATS",JB_RC,"ALT")</f>
        <v/>
      </c>
      <c r="I68" s="45">
        <f>SUM(B68:H68)</f>
        <v/>
      </c>
    </row>
    <row r="69" ht="10" customHeight="1">
      <c r="A69" s="30" t="inlineStr">
        <is>
          <t>Hull, Mechanical, and Electrical</t>
        </is>
      </c>
      <c r="B69" s="45">
        <f>SUMIFS(JB_26BV,JB_B,1,JB_EX,"P-5c",JB_CC,"Hull, Mechanical, and Electrical",JB_H,"DDG",JB_RC,"ALT")</f>
        <v/>
      </c>
      <c r="C69" s="31">
        <f>SUMIFS(JB_26BV,JB_B,1,JB_EX,"P-5c",JB_CC,"Hull, Mechanical, and Electrical",JB_H,"FFG",JB_RC,"ALT")</f>
        <v/>
      </c>
      <c r="D69" s="31">
        <f>SUMIFS(JB_26BV,JB_B,1,JB_EX,"P-5c",JB_CC,"Hull, Mechanical, and Electrical",JB_H,"LPD",JB_RC,"ALT")</f>
        <v/>
      </c>
      <c r="E69" s="31">
        <f>SUMIFS(JB_26BV,JB_B,1,JB_EX,"P-5c",JB_CC,"Hull, Mechanical, and Electrical",JB_H,"LHA",JB_RC,"ALT")</f>
        <v/>
      </c>
      <c r="F69" s="31">
        <f>SUMIFS(JB_26BV,JB_B,1,JB_EX,"P-5c",JB_CC,"Hull, Mechanical, and Electrical",JB_H,"T-AGOS",JB_RC,"ALT")</f>
        <v/>
      </c>
      <c r="G69" s="31">
        <f>SUMIFS(JB_26BV,JB_B,1,JB_EX,"P-5c",JB_CC,"Hull, Mechanical, and Electrical",JB_H,"T-AO",JB_RC,"ALT")</f>
        <v/>
      </c>
      <c r="H69" s="31">
        <f>SUMIFS(JB_26BV,JB_B,1,JB_EX,"P-5c",JB_CC,"Hull, Mechanical, and Electrical",JB_H,"T-ATS",JB_RC,"ALT")</f>
        <v/>
      </c>
      <c r="I69" s="45">
        <f>SUM(B69:H69)</f>
        <v/>
      </c>
    </row>
    <row r="70" ht="10" customHeight="1">
      <c r="A70" s="30" t="inlineStr">
        <is>
          <t>Ordnance</t>
        </is>
      </c>
      <c r="B70" s="45">
        <f>SUMIFS(JB_26BV,JB_B,1,JB_EX,"P-5c",JB_CC,"Ordnance",JB_H,"DDG",JB_RC,"ALT")</f>
        <v/>
      </c>
      <c r="C70" s="31">
        <f>SUMIFS(JB_26BV,JB_B,1,JB_EX,"P-5c",JB_CC,"Ordnance",JB_H,"FFG",JB_RC,"ALT")</f>
        <v/>
      </c>
      <c r="D70" s="31">
        <f>SUMIFS(JB_26BV,JB_B,1,JB_EX,"P-5c",JB_CC,"Ordnance",JB_H,"LPD",JB_RC,"ALT")</f>
        <v/>
      </c>
      <c r="E70" s="31">
        <f>SUMIFS(JB_26BV,JB_B,1,JB_EX,"P-5c",JB_CC,"Ordnance",JB_H,"LHA",JB_RC,"ALT")</f>
        <v/>
      </c>
      <c r="F70" s="31">
        <f>SUMIFS(JB_26BV,JB_B,1,JB_EX,"P-5c",JB_CC,"Ordnance",JB_H,"T-AGOS",JB_RC,"ALT")</f>
        <v/>
      </c>
      <c r="G70" s="31">
        <f>SUMIFS(JB_26BV,JB_B,1,JB_EX,"P-5c",JB_CC,"Ordnance",JB_H,"T-AO",JB_RC,"ALT")</f>
        <v/>
      </c>
      <c r="H70" s="31">
        <f>SUMIFS(JB_26BV,JB_B,1,JB_EX,"P-5c",JB_CC,"Ordnance",JB_H,"T-ATS",JB_RC,"ALT")</f>
        <v/>
      </c>
      <c r="I70" s="45">
        <f>SUM(B70:H70)</f>
        <v/>
      </c>
    </row>
    <row r="71" ht="10" customHeight="1">
      <c r="A71" s="30" t="inlineStr">
        <is>
          <t>Other Cost</t>
        </is>
      </c>
      <c r="B71" s="45">
        <f>SUMIFS(JB_26BV,JB_B,1,JB_EX,"P-5c",JB_CC,"Other Cost",JB_H,"DDG",JB_RC,"ALT")</f>
        <v/>
      </c>
      <c r="C71" s="31">
        <f>SUMIFS(JB_26BV,JB_B,1,JB_EX,"P-5c",JB_CC,"Other Cost",JB_H,"FFG",JB_RC,"ALT")</f>
        <v/>
      </c>
      <c r="D71" s="31">
        <f>SUMIFS(JB_26BV,JB_B,1,JB_EX,"P-5c",JB_CC,"Other Cost",JB_H,"LPD",JB_RC,"ALT")</f>
        <v/>
      </c>
      <c r="E71" s="31">
        <f>SUMIFS(JB_26BV,JB_B,1,JB_EX,"P-5c",JB_CC,"Other Cost",JB_H,"LHA",JB_RC,"ALT")</f>
        <v/>
      </c>
      <c r="F71" s="31">
        <f>SUMIFS(JB_26BV,JB_B,1,JB_EX,"P-5c",JB_CC,"Other Cost",JB_H,"T-AGOS",JB_RC,"ALT")</f>
        <v/>
      </c>
      <c r="G71" s="31">
        <f>SUMIFS(JB_26BV,JB_B,1,JB_EX,"P-5c",JB_CC,"Other Cost",JB_H,"T-AO",JB_RC,"ALT")</f>
        <v/>
      </c>
      <c r="H71" s="31">
        <f>SUMIFS(JB_26BV,JB_B,1,JB_EX,"P-5c",JB_CC,"Other Cost",JB_H,"T-ATS",JB_RC,"ALT")</f>
        <v/>
      </c>
      <c r="I71" s="45">
        <f>SUM(B71:H71)</f>
        <v/>
      </c>
    </row>
    <row r="72" ht="10" customHeight="1">
      <c r="A72" s="32" t="inlineStr">
        <is>
          <t>Gross Total ($K)</t>
        </is>
      </c>
      <c r="B72" s="44">
        <f>SUM(B65:B71)</f>
        <v/>
      </c>
      <c r="C72" s="33">
        <f>SUM(C65:C71)</f>
        <v/>
      </c>
      <c r="D72" s="33">
        <f>SUM(D65:D71)</f>
        <v/>
      </c>
      <c r="E72" s="33">
        <f>SUM(E65:E71)</f>
        <v/>
      </c>
      <c r="F72" s="33">
        <f>SUM(F65:F71)</f>
        <v/>
      </c>
      <c r="G72" s="33">
        <f>SUM(G65:G71)</f>
        <v/>
      </c>
      <c r="H72" s="33">
        <f>SUM(H65:H71)</f>
        <v/>
      </c>
      <c r="I72" s="44">
        <f>SUM(I65:I71)</f>
        <v/>
      </c>
    </row>
    <row r="73" ht="10" customHeight="1"/>
    <row r="74" ht="10" customHeight="1">
      <c r="A74" s="46" t="inlineStr">
        <is>
          <t>Cost category mix (% of gross total per hull program)</t>
        </is>
      </c>
      <c r="B74" s="41" t="n"/>
      <c r="C74" s="39" t="n"/>
      <c r="D74" s="39" t="n"/>
      <c r="E74" s="39" t="n"/>
      <c r="F74" s="39" t="n"/>
      <c r="G74" s="39" t="n"/>
      <c r="H74" s="39" t="n"/>
      <c r="I74" s="41" t="n"/>
    </row>
    <row r="75" ht="10" customHeight="1">
      <c r="A75" s="29" t="inlineStr">
        <is>
          <t>Cost Category</t>
        </is>
      </c>
      <c r="B75" s="42" t="inlineStr">
        <is>
          <t>DDG</t>
        </is>
      </c>
      <c r="C75" s="29" t="inlineStr">
        <is>
          <t>FFG</t>
        </is>
      </c>
      <c r="D75" s="29" t="inlineStr">
        <is>
          <t>LPD</t>
        </is>
      </c>
      <c r="E75" s="29" t="inlineStr">
        <is>
          <t>LHA</t>
        </is>
      </c>
      <c r="F75" s="29" t="inlineStr">
        <is>
          <t>T-AGOS</t>
        </is>
      </c>
      <c r="G75" s="29" t="inlineStr">
        <is>
          <t>T-AO</t>
        </is>
      </c>
      <c r="H75" s="29" t="inlineStr">
        <is>
          <t>T-ATS</t>
        </is>
      </c>
      <c r="I75" s="42" t="inlineStr">
        <is>
          <t>Total</t>
        </is>
      </c>
    </row>
    <row r="76" ht="10" customHeight="1">
      <c r="A76" s="30" t="inlineStr">
        <is>
          <t>Plan Costs</t>
        </is>
      </c>
      <c r="B76" s="43">
        <f>IFERROR(B65/B$72,0)</f>
        <v/>
      </c>
      <c r="C76" s="37">
        <f>IFERROR(C65/C$72,0)</f>
        <v/>
      </c>
      <c r="D76" s="37">
        <f>IFERROR(D65/D$72,0)</f>
        <v/>
      </c>
      <c r="E76" s="37">
        <f>IFERROR(E65/E$72,0)</f>
        <v/>
      </c>
      <c r="F76" s="37">
        <f>IFERROR(F65/F$72,0)</f>
        <v/>
      </c>
      <c r="G76" s="37">
        <f>IFERROR(G65/G$72,0)</f>
        <v/>
      </c>
      <c r="H76" s="37">
        <f>IFERROR(H65/H$72,0)</f>
        <v/>
      </c>
      <c r="I76" s="43">
        <f>IFERROR(I65/I$72,0)</f>
        <v/>
      </c>
    </row>
    <row r="77" ht="10" customHeight="1">
      <c r="A77" s="30" t="inlineStr">
        <is>
          <t>Basic Construction</t>
        </is>
      </c>
      <c r="B77" s="43">
        <f>IFERROR(B66/B$72,0)</f>
        <v/>
      </c>
      <c r="C77" s="37">
        <f>IFERROR(C66/C$72,0)</f>
        <v/>
      </c>
      <c r="D77" s="37">
        <f>IFERROR(D66/D$72,0)</f>
        <v/>
      </c>
      <c r="E77" s="37">
        <f>IFERROR(E66/E$72,0)</f>
        <v/>
      </c>
      <c r="F77" s="37">
        <f>IFERROR(F66/F$72,0)</f>
        <v/>
      </c>
      <c r="G77" s="37">
        <f>IFERROR(G66/G$72,0)</f>
        <v/>
      </c>
      <c r="H77" s="37">
        <f>IFERROR(H66/H$72,0)</f>
        <v/>
      </c>
      <c r="I77" s="43">
        <f>IFERROR(I66/I$72,0)</f>
        <v/>
      </c>
    </row>
    <row r="78" ht="10" customHeight="1">
      <c r="A78" s="30" t="inlineStr">
        <is>
          <t>Change Orders</t>
        </is>
      </c>
      <c r="B78" s="43">
        <f>IFERROR(B67/B$72,0)</f>
        <v/>
      </c>
      <c r="C78" s="37">
        <f>IFERROR(C67/C$72,0)</f>
        <v/>
      </c>
      <c r="D78" s="37">
        <f>IFERROR(D67/D$72,0)</f>
        <v/>
      </c>
      <c r="E78" s="37">
        <f>IFERROR(E67/E$72,0)</f>
        <v/>
      </c>
      <c r="F78" s="37">
        <f>IFERROR(F67/F$72,0)</f>
        <v/>
      </c>
      <c r="G78" s="37">
        <f>IFERROR(G67/G$72,0)</f>
        <v/>
      </c>
      <c r="H78" s="37">
        <f>IFERROR(H67/H$72,0)</f>
        <v/>
      </c>
      <c r="I78" s="43">
        <f>IFERROR(I67/I$72,0)</f>
        <v/>
      </c>
    </row>
    <row r="79" ht="10" customHeight="1">
      <c r="A79" s="30" t="inlineStr">
        <is>
          <t>Electronics</t>
        </is>
      </c>
      <c r="B79" s="43">
        <f>IFERROR(B68/B$72,0)</f>
        <v/>
      </c>
      <c r="C79" s="37">
        <f>IFERROR(C68/C$72,0)</f>
        <v/>
      </c>
      <c r="D79" s="37">
        <f>IFERROR(D68/D$72,0)</f>
        <v/>
      </c>
      <c r="E79" s="37">
        <f>IFERROR(E68/E$72,0)</f>
        <v/>
      </c>
      <c r="F79" s="37">
        <f>IFERROR(F68/F$72,0)</f>
        <v/>
      </c>
      <c r="G79" s="37">
        <f>IFERROR(G68/G$72,0)</f>
        <v/>
      </c>
      <c r="H79" s="37">
        <f>IFERROR(H68/H$72,0)</f>
        <v/>
      </c>
      <c r="I79" s="43">
        <f>IFERROR(I68/I$72,0)</f>
        <v/>
      </c>
    </row>
    <row r="80" ht="10" customHeight="1">
      <c r="A80" s="30" t="inlineStr">
        <is>
          <t>Hull, Mechanical, and Electrical</t>
        </is>
      </c>
      <c r="B80" s="43">
        <f>IFERROR(B69/B$72,0)</f>
        <v/>
      </c>
      <c r="C80" s="37">
        <f>IFERROR(C69/C$72,0)</f>
        <v/>
      </c>
      <c r="D80" s="37">
        <f>IFERROR(D69/D$72,0)</f>
        <v/>
      </c>
      <c r="E80" s="37">
        <f>IFERROR(E69/E$72,0)</f>
        <v/>
      </c>
      <c r="F80" s="37">
        <f>IFERROR(F69/F$72,0)</f>
        <v/>
      </c>
      <c r="G80" s="37">
        <f>IFERROR(G69/G$72,0)</f>
        <v/>
      </c>
      <c r="H80" s="37">
        <f>IFERROR(H69/H$72,0)</f>
        <v/>
      </c>
      <c r="I80" s="43">
        <f>IFERROR(I69/I$72,0)</f>
        <v/>
      </c>
    </row>
    <row r="81" ht="10" customHeight="1">
      <c r="A81" s="30" t="inlineStr">
        <is>
          <t>Ordnance</t>
        </is>
      </c>
      <c r="B81" s="43">
        <f>IFERROR(B70/B$72,0)</f>
        <v/>
      </c>
      <c r="C81" s="37">
        <f>IFERROR(C70/C$72,0)</f>
        <v/>
      </c>
      <c r="D81" s="37">
        <f>IFERROR(D70/D$72,0)</f>
        <v/>
      </c>
      <c r="E81" s="37">
        <f>IFERROR(E70/E$72,0)</f>
        <v/>
      </c>
      <c r="F81" s="37">
        <f>IFERROR(F70/F$72,0)</f>
        <v/>
      </c>
      <c r="G81" s="37">
        <f>IFERROR(G70/G$72,0)</f>
        <v/>
      </c>
      <c r="H81" s="37">
        <f>IFERROR(H70/H$72,0)</f>
        <v/>
      </c>
      <c r="I81" s="43">
        <f>IFERROR(I70/I$72,0)</f>
        <v/>
      </c>
    </row>
    <row r="82" ht="10" customHeight="1">
      <c r="A82" s="30" t="inlineStr">
        <is>
          <t>Other Cost</t>
        </is>
      </c>
      <c r="B82" s="43">
        <f>IFERROR(B71/B$72,0)</f>
        <v/>
      </c>
      <c r="C82" s="37">
        <f>IFERROR(C71/C$72,0)</f>
        <v/>
      </c>
      <c r="D82" s="37">
        <f>IFERROR(D71/D$72,0)</f>
        <v/>
      </c>
      <c r="E82" s="37">
        <f>IFERROR(E71/E$72,0)</f>
        <v/>
      </c>
      <c r="F82" s="37">
        <f>IFERROR(F71/F$72,0)</f>
        <v/>
      </c>
      <c r="G82" s="37">
        <f>IFERROR(G71/G$72,0)</f>
        <v/>
      </c>
      <c r="H82" s="37">
        <f>IFERROR(H71/H$72,0)</f>
        <v/>
      </c>
      <c r="I82" s="43">
        <f>IFERROR(I71/I$72,0)</f>
        <v/>
      </c>
    </row>
    <row r="83" ht="10" customHeight="1">
      <c r="A83" s="32" t="inlineStr">
        <is>
          <t>Total</t>
        </is>
      </c>
      <c r="B83" s="47" t="n">
        <v>1</v>
      </c>
      <c r="C83" s="38" t="n">
        <v>1</v>
      </c>
      <c r="D83" s="38" t="n">
        <v>1</v>
      </c>
      <c r="E83" s="38" t="n">
        <v>1</v>
      </c>
      <c r="F83" s="38" t="n">
        <v>1</v>
      </c>
      <c r="G83" s="38" t="n">
        <v>1</v>
      </c>
      <c r="H83" s="38" t="n">
        <v>1</v>
      </c>
      <c r="I83" s="47" t="n">
        <v>1</v>
      </c>
    </row>
    <row r="84" ht="10" customHeight="1"/>
    <row r="85" ht="10" customHeight="1"/>
    <row r="86" ht="10" customHeight="1">
      <c r="A86" s="27" t="inlineStr">
        <is>
          <t>(E) Newbuild SAM (cost-element coverage) — FY2026 ($K)</t>
        </is>
      </c>
      <c r="B86" s="28" t="n"/>
      <c r="C86" s="28" t="n"/>
      <c r="D86" s="28" t="n"/>
      <c r="E86" s="28" t="n"/>
      <c r="F86" s="28" t="n"/>
      <c r="G86" s="28" t="n"/>
      <c r="H86" s="28" t="n"/>
      <c r="I86" s="28" t="n"/>
    </row>
    <row r="87" ht="10" customHeight="1">
      <c r="A87" s="26" t="inlineStr">
        <is>
          <t>P-5c percentage mix from (D) applied to SAM net budget-authority totals. This is the Newbuild SAM — the outsourceable new-construction market sized at component level.</t>
        </is>
      </c>
    </row>
    <row r="88" ht="10" customHeight="1">
      <c r="A88" s="39" t="n"/>
      <c r="B88" s="40" t="inlineStr">
        <is>
          <t>USN</t>
        </is>
      </c>
      <c r="C88" s="39" t="n"/>
      <c r="D88" s="39" t="n"/>
      <c r="E88" s="39" t="n"/>
      <c r="F88" s="39" t="n"/>
      <c r="G88" s="39" t="n"/>
      <c r="H88" s="39" t="n"/>
      <c r="I88" s="41" t="n"/>
    </row>
    <row r="89" ht="10" customHeight="1">
      <c r="A89" s="29" t="inlineStr">
        <is>
          <t>Cost Category</t>
        </is>
      </c>
      <c r="B89" s="42" t="inlineStr">
        <is>
          <t>DDG</t>
        </is>
      </c>
      <c r="C89" s="29" t="inlineStr">
        <is>
          <t>T-AO</t>
        </is>
      </c>
      <c r="D89" s="29" t="inlineStr">
        <is>
          <t>LPD</t>
        </is>
      </c>
      <c r="E89" s="29" t="inlineStr">
        <is>
          <t>LHA</t>
        </is>
      </c>
      <c r="F89" s="29" t="inlineStr">
        <is>
          <t>T-AGOS</t>
        </is>
      </c>
      <c r="G89" s="29" t="inlineStr">
        <is>
          <t>FFG</t>
        </is>
      </c>
      <c r="H89" s="29" t="inlineStr">
        <is>
          <t>T-ATS</t>
        </is>
      </c>
      <c r="I89" s="42" t="inlineStr">
        <is>
          <t>Total</t>
        </is>
      </c>
    </row>
    <row r="90" ht="10" customHeight="1">
      <c r="A90" s="35" t="inlineStr">
        <is>
          <t>SAM Net Total ($K)</t>
        </is>
      </c>
      <c r="B90" s="48">
        <f>SUMIFS(JB_26BV,JB_B,1,JB_H,"DDG",JB_RC,"ADD")</f>
        <v/>
      </c>
      <c r="C90" s="36">
        <f>SUMIFS(JB_26BV,JB_B,1,JB_H,"T-AO",JB_RC,"ADD")</f>
        <v/>
      </c>
      <c r="D90" s="36">
        <f>SUMIFS(JB_26BV,JB_B,1,JB_H,"LPD",JB_RC,"ADD")</f>
        <v/>
      </c>
      <c r="E90" s="36">
        <f>SUMIFS(JB_26BV,JB_B,1,JB_H,"LHA",JB_RC,"ADD")</f>
        <v/>
      </c>
      <c r="F90" s="36">
        <f>SUMIFS(JB_26BV,JB_B,1,JB_H,"T-AGOS",JB_RC,"ADD")</f>
        <v/>
      </c>
      <c r="G90" s="36">
        <f>SUMIFS(JB_26BV,JB_B,1,JB_H,"FFG",JB_RC,"ADD")</f>
        <v/>
      </c>
      <c r="H90" s="36">
        <f>SUMIFS(JB_26BV,JB_B,1,JB_H,"T-ATS",JB_RC,"ADD")</f>
        <v/>
      </c>
      <c r="I90" s="48">
        <f>SUM(B90:H90)</f>
        <v/>
      </c>
    </row>
    <row r="91" ht="10" customHeight="1">
      <c r="A91" s="30" t="inlineStr">
        <is>
          <t>Plan Costs</t>
        </is>
      </c>
      <c r="B91" s="45">
        <f>IFERROR(B$90*(SUMIFS(JB_26BV,JB_B,1,JB_EX,"P-5c",JB_CC,"Plan Costs",JB_H,"DDG",JB_RC,"ALT"))/(SUMIFS(JB_26BV,JB_B,1,JB_EX,"P-5c",JB_H,"DDG",JB_RC,"ALT")),0)</f>
        <v/>
      </c>
      <c r="C91" s="31">
        <f>IFERROR(C$90*(SUMIFS(JB_26BV,JB_B,1,JB_EX,"P-5c",JB_CC,"Plan Costs",JB_H,"T-AO",JB_RC,"ALT"))/(SUMIFS(JB_26BV,JB_B,1,JB_EX,"P-5c",JB_H,"T-AO",JB_RC,"ALT")),0)</f>
        <v/>
      </c>
      <c r="D91" s="31">
        <f>IFERROR(D$90*(SUMIFS(JB_26BV,JB_B,1,JB_EX,"P-5c",JB_CC,"Plan Costs",JB_H,"LPD",JB_RC,"ALT"))/(SUMIFS(JB_26BV,JB_B,1,JB_EX,"P-5c",JB_H,"LPD",JB_RC,"ALT")),0)</f>
        <v/>
      </c>
      <c r="E91" s="31">
        <f>IFERROR(E$90*(SUMIFS(JB_26BV,JB_B,1,JB_EX,"P-5c",JB_CC,"Plan Costs",JB_H,"LHA",JB_RC,"ALT"))/(SUMIFS(JB_26BV,JB_B,1,JB_EX,"P-5c",JB_H,"LHA",JB_RC,"ALT")),0)</f>
        <v/>
      </c>
      <c r="F91" s="31">
        <f>IFERROR(F$90*(SUMIFS(JB_26BV,JB_B,1,JB_EX,"P-5c",JB_CC,"Plan Costs",JB_H,"T-AGOS",JB_RC,"ALT"))/(SUMIFS(JB_26BV,JB_B,1,JB_EX,"P-5c",JB_H,"T-AGOS",JB_RC,"ALT")),0)</f>
        <v/>
      </c>
      <c r="G91" s="31">
        <f>IFERROR(G$90*(SUMIFS(JB_26BV,JB_B,1,JB_EX,"P-5c",JB_CC,"Plan Costs",JB_H,"FFG",JB_RC,"ALT"))/(SUMIFS(JB_26BV,JB_B,1,JB_EX,"P-5c",JB_H,"FFG",JB_RC,"ALT")),0)</f>
        <v/>
      </c>
      <c r="H91" s="31">
        <f>IFERROR(H$90*(SUMIFS(JB_26BV,JB_B,1,JB_EX,"P-5c",JB_CC,"Plan Costs",JB_H,"T-ATS",JB_RC,"ALT"))/(SUMIFS(JB_26BV,JB_B,1,JB_EX,"P-5c",JB_H,"T-ATS",JB_RC,"ALT")),0)</f>
        <v/>
      </c>
      <c r="I91" s="45">
        <f>SUM(B91:H91)</f>
        <v/>
      </c>
    </row>
    <row r="92" ht="10" customHeight="1">
      <c r="A92" s="30" t="inlineStr">
        <is>
          <t>Basic Construction</t>
        </is>
      </c>
      <c r="B92" s="45">
        <f>IFERROR(B$90*(SUMIFS(JB_26BV,JB_B,1,JB_EX,"P-5c",JB_CC,"Basic Construction",JB_H,"DDG",JB_RC,"ALT"))/(SUMIFS(JB_26BV,JB_B,1,JB_EX,"P-5c",JB_H,"DDG",JB_RC,"ALT")),0)</f>
        <v/>
      </c>
      <c r="C92" s="31">
        <f>IFERROR(C$90*(SUMIFS(JB_26BV,JB_B,1,JB_EX,"P-5c",JB_CC,"Basic Construction",JB_H,"T-AO",JB_RC,"ALT"))/(SUMIFS(JB_26BV,JB_B,1,JB_EX,"P-5c",JB_H,"T-AO",JB_RC,"ALT")),0)</f>
        <v/>
      </c>
      <c r="D92" s="31">
        <f>IFERROR(D$90*(SUMIFS(JB_26BV,JB_B,1,JB_EX,"P-5c",JB_CC,"Basic Construction",JB_H,"LPD",JB_RC,"ALT"))/(SUMIFS(JB_26BV,JB_B,1,JB_EX,"P-5c",JB_H,"LPD",JB_RC,"ALT")),0)</f>
        <v/>
      </c>
      <c r="E92" s="31">
        <f>IFERROR(E$90*(SUMIFS(JB_26BV,JB_B,1,JB_EX,"P-5c",JB_CC,"Basic Construction",JB_H,"LHA",JB_RC,"ALT"))/(SUMIFS(JB_26BV,JB_B,1,JB_EX,"P-5c",JB_H,"LHA",JB_RC,"ALT")),0)</f>
        <v/>
      </c>
      <c r="F92" s="31">
        <f>IFERROR(F$90*(SUMIFS(JB_26BV,JB_B,1,JB_EX,"P-5c",JB_CC,"Basic Construction",JB_H,"T-AGOS",JB_RC,"ALT"))/(SUMIFS(JB_26BV,JB_B,1,JB_EX,"P-5c",JB_H,"T-AGOS",JB_RC,"ALT")),0)</f>
        <v/>
      </c>
      <c r="G92" s="31">
        <f>IFERROR(G$90*(SUMIFS(JB_26BV,JB_B,1,JB_EX,"P-5c",JB_CC,"Basic Construction",JB_H,"FFG",JB_RC,"ALT"))/(SUMIFS(JB_26BV,JB_B,1,JB_EX,"P-5c",JB_H,"FFG",JB_RC,"ALT")),0)</f>
        <v/>
      </c>
      <c r="H92" s="31">
        <f>IFERROR(H$90*(SUMIFS(JB_26BV,JB_B,1,JB_EX,"P-5c",JB_CC,"Basic Construction",JB_H,"T-ATS",JB_RC,"ALT"))/(SUMIFS(JB_26BV,JB_B,1,JB_EX,"P-5c",JB_H,"T-ATS",JB_RC,"ALT")),0)</f>
        <v/>
      </c>
      <c r="I92" s="45">
        <f>SUM(B92:H92)</f>
        <v/>
      </c>
    </row>
    <row r="93" ht="10" customHeight="1">
      <c r="A93" s="30" t="inlineStr">
        <is>
          <t>Change Orders</t>
        </is>
      </c>
      <c r="B93" s="45">
        <f>IFERROR(B$90*(SUMIFS(JB_26BV,JB_B,1,JB_EX,"P-5c",JB_CC,"Change Orders",JB_H,"DDG",JB_RC,"ALT"))/(SUMIFS(JB_26BV,JB_B,1,JB_EX,"P-5c",JB_H,"DDG",JB_RC,"ALT")),0)</f>
        <v/>
      </c>
      <c r="C93" s="31">
        <f>IFERROR(C$90*(SUMIFS(JB_26BV,JB_B,1,JB_EX,"P-5c",JB_CC,"Change Orders",JB_H,"T-AO",JB_RC,"ALT"))/(SUMIFS(JB_26BV,JB_B,1,JB_EX,"P-5c",JB_H,"T-AO",JB_RC,"ALT")),0)</f>
        <v/>
      </c>
      <c r="D93" s="31">
        <f>IFERROR(D$90*(SUMIFS(JB_26BV,JB_B,1,JB_EX,"P-5c",JB_CC,"Change Orders",JB_H,"LPD",JB_RC,"ALT"))/(SUMIFS(JB_26BV,JB_B,1,JB_EX,"P-5c",JB_H,"LPD",JB_RC,"ALT")),0)</f>
        <v/>
      </c>
      <c r="E93" s="31">
        <f>IFERROR(E$90*(SUMIFS(JB_26BV,JB_B,1,JB_EX,"P-5c",JB_CC,"Change Orders",JB_H,"LHA",JB_RC,"ALT"))/(SUMIFS(JB_26BV,JB_B,1,JB_EX,"P-5c",JB_H,"LHA",JB_RC,"ALT")),0)</f>
        <v/>
      </c>
      <c r="F93" s="31">
        <f>IFERROR(F$90*(SUMIFS(JB_26BV,JB_B,1,JB_EX,"P-5c",JB_CC,"Change Orders",JB_H,"T-AGOS",JB_RC,"ALT"))/(SUMIFS(JB_26BV,JB_B,1,JB_EX,"P-5c",JB_H,"T-AGOS",JB_RC,"ALT")),0)</f>
        <v/>
      </c>
      <c r="G93" s="31">
        <f>IFERROR(G$90*(SUMIFS(JB_26BV,JB_B,1,JB_EX,"P-5c",JB_CC,"Change Orders",JB_H,"FFG",JB_RC,"ALT"))/(SUMIFS(JB_26BV,JB_B,1,JB_EX,"P-5c",JB_H,"FFG",JB_RC,"ALT")),0)</f>
        <v/>
      </c>
      <c r="H93" s="31">
        <f>IFERROR(H$90*(SUMIFS(JB_26BV,JB_B,1,JB_EX,"P-5c",JB_CC,"Change Orders",JB_H,"T-ATS",JB_RC,"ALT"))/(SUMIFS(JB_26BV,JB_B,1,JB_EX,"P-5c",JB_H,"T-ATS",JB_RC,"ALT")),0)</f>
        <v/>
      </c>
      <c r="I93" s="45">
        <f>SUM(B93:H93)</f>
        <v/>
      </c>
    </row>
    <row r="94" ht="10" customHeight="1">
      <c r="A94" s="30" t="inlineStr">
        <is>
          <t>Electronics</t>
        </is>
      </c>
      <c r="B94" s="45">
        <f>IFERROR(B$90*(SUMIFS(JB_26BV,JB_B,1,JB_EX,"P-5c",JB_CC,"Electronics",JB_H,"DDG",JB_RC,"ALT"))/(SUMIFS(JB_26BV,JB_B,1,JB_EX,"P-5c",JB_H,"DDG",JB_RC,"ALT")),0)</f>
        <v/>
      </c>
      <c r="C94" s="31">
        <f>IFERROR(C$90*(SUMIFS(JB_26BV,JB_B,1,JB_EX,"P-5c",JB_CC,"Electronics",JB_H,"T-AO",JB_RC,"ALT"))/(SUMIFS(JB_26BV,JB_B,1,JB_EX,"P-5c",JB_H,"T-AO",JB_RC,"ALT")),0)</f>
        <v/>
      </c>
      <c r="D94" s="31">
        <f>IFERROR(D$90*(SUMIFS(JB_26BV,JB_B,1,JB_EX,"P-5c",JB_CC,"Electronics",JB_H,"LPD",JB_RC,"ALT"))/(SUMIFS(JB_26BV,JB_B,1,JB_EX,"P-5c",JB_H,"LPD",JB_RC,"ALT")),0)</f>
        <v/>
      </c>
      <c r="E94" s="31">
        <f>IFERROR(E$90*(SUMIFS(JB_26BV,JB_B,1,JB_EX,"P-5c",JB_CC,"Electronics",JB_H,"LHA",JB_RC,"ALT"))/(SUMIFS(JB_26BV,JB_B,1,JB_EX,"P-5c",JB_H,"LHA",JB_RC,"ALT")),0)</f>
        <v/>
      </c>
      <c r="F94" s="31">
        <f>IFERROR(F$90*(SUMIFS(JB_26BV,JB_B,1,JB_EX,"P-5c",JB_CC,"Electronics",JB_H,"T-AGOS",JB_RC,"ALT"))/(SUMIFS(JB_26BV,JB_B,1,JB_EX,"P-5c",JB_H,"T-AGOS",JB_RC,"ALT")),0)</f>
        <v/>
      </c>
      <c r="G94" s="31">
        <f>IFERROR(G$90*(SUMIFS(JB_26BV,JB_B,1,JB_EX,"P-5c",JB_CC,"Electronics",JB_H,"FFG",JB_RC,"ALT"))/(SUMIFS(JB_26BV,JB_B,1,JB_EX,"P-5c",JB_H,"FFG",JB_RC,"ALT")),0)</f>
        <v/>
      </c>
      <c r="H94" s="31">
        <f>IFERROR(H$90*(SUMIFS(JB_26BV,JB_B,1,JB_EX,"P-5c",JB_CC,"Electronics",JB_H,"T-ATS",JB_RC,"ALT"))/(SUMIFS(JB_26BV,JB_B,1,JB_EX,"P-5c",JB_H,"T-ATS",JB_RC,"ALT")),0)</f>
        <v/>
      </c>
      <c r="I94" s="45">
        <f>SUM(B94:H94)</f>
        <v/>
      </c>
    </row>
    <row r="95" ht="10" customHeight="1">
      <c r="A95" s="30" t="inlineStr">
        <is>
          <t>Hull, Mechanical, and Electrical</t>
        </is>
      </c>
      <c r="B95" s="45">
        <f>IFERROR(B$90*(SUMIFS(JB_26BV,JB_B,1,JB_EX,"P-5c",JB_CC,"Hull, Mechanical, and Electrical",JB_H,"DDG",JB_RC,"ALT"))/(SUMIFS(JB_26BV,JB_B,1,JB_EX,"P-5c",JB_H,"DDG",JB_RC,"ALT")),0)</f>
        <v/>
      </c>
      <c r="C95" s="31">
        <f>IFERROR(C$90*(SUMIFS(JB_26BV,JB_B,1,JB_EX,"P-5c",JB_CC,"Hull, Mechanical, and Electrical",JB_H,"T-AO",JB_RC,"ALT"))/(SUMIFS(JB_26BV,JB_B,1,JB_EX,"P-5c",JB_H,"T-AO",JB_RC,"ALT")),0)</f>
        <v/>
      </c>
      <c r="D95" s="31">
        <f>IFERROR(D$90*(SUMIFS(JB_26BV,JB_B,1,JB_EX,"P-5c",JB_CC,"Hull, Mechanical, and Electrical",JB_H,"LPD",JB_RC,"ALT"))/(SUMIFS(JB_26BV,JB_B,1,JB_EX,"P-5c",JB_H,"LPD",JB_RC,"ALT")),0)</f>
        <v/>
      </c>
      <c r="E95" s="31">
        <f>IFERROR(E$90*(SUMIFS(JB_26BV,JB_B,1,JB_EX,"P-5c",JB_CC,"Hull, Mechanical, and Electrical",JB_H,"LHA",JB_RC,"ALT"))/(SUMIFS(JB_26BV,JB_B,1,JB_EX,"P-5c",JB_H,"LHA",JB_RC,"ALT")),0)</f>
        <v/>
      </c>
      <c r="F95" s="31">
        <f>IFERROR(F$90*(SUMIFS(JB_26BV,JB_B,1,JB_EX,"P-5c",JB_CC,"Hull, Mechanical, and Electrical",JB_H,"T-AGOS",JB_RC,"ALT"))/(SUMIFS(JB_26BV,JB_B,1,JB_EX,"P-5c",JB_H,"T-AGOS",JB_RC,"ALT")),0)</f>
        <v/>
      </c>
      <c r="G95" s="31">
        <f>IFERROR(G$90*(SUMIFS(JB_26BV,JB_B,1,JB_EX,"P-5c",JB_CC,"Hull, Mechanical, and Electrical",JB_H,"FFG",JB_RC,"ALT"))/(SUMIFS(JB_26BV,JB_B,1,JB_EX,"P-5c",JB_H,"FFG",JB_RC,"ALT")),0)</f>
        <v/>
      </c>
      <c r="H95" s="31">
        <f>IFERROR(H$90*(SUMIFS(JB_26BV,JB_B,1,JB_EX,"P-5c",JB_CC,"Hull, Mechanical, and Electrical",JB_H,"T-ATS",JB_RC,"ALT"))/(SUMIFS(JB_26BV,JB_B,1,JB_EX,"P-5c",JB_H,"T-ATS",JB_RC,"ALT")),0)</f>
        <v/>
      </c>
      <c r="I95" s="45">
        <f>SUM(B95:H95)</f>
        <v/>
      </c>
    </row>
    <row r="96" ht="10" customHeight="1">
      <c r="A96" s="30" t="inlineStr">
        <is>
          <t>Ordnance</t>
        </is>
      </c>
      <c r="B96" s="45">
        <f>IFERROR(B$90*(SUMIFS(JB_26BV,JB_B,1,JB_EX,"P-5c",JB_CC,"Ordnance",JB_H,"DDG",JB_RC,"ALT"))/(SUMIFS(JB_26BV,JB_B,1,JB_EX,"P-5c",JB_H,"DDG",JB_RC,"ALT")),0)</f>
        <v/>
      </c>
      <c r="C96" s="31">
        <f>IFERROR(C$90*(SUMIFS(JB_26BV,JB_B,1,JB_EX,"P-5c",JB_CC,"Ordnance",JB_H,"T-AO",JB_RC,"ALT"))/(SUMIFS(JB_26BV,JB_B,1,JB_EX,"P-5c",JB_H,"T-AO",JB_RC,"ALT")),0)</f>
        <v/>
      </c>
      <c r="D96" s="31">
        <f>IFERROR(D$90*(SUMIFS(JB_26BV,JB_B,1,JB_EX,"P-5c",JB_CC,"Ordnance",JB_H,"LPD",JB_RC,"ALT"))/(SUMIFS(JB_26BV,JB_B,1,JB_EX,"P-5c",JB_H,"LPD",JB_RC,"ALT")),0)</f>
        <v/>
      </c>
      <c r="E96" s="31">
        <f>IFERROR(E$90*(SUMIFS(JB_26BV,JB_B,1,JB_EX,"P-5c",JB_CC,"Ordnance",JB_H,"LHA",JB_RC,"ALT"))/(SUMIFS(JB_26BV,JB_B,1,JB_EX,"P-5c",JB_H,"LHA",JB_RC,"ALT")),0)</f>
        <v/>
      </c>
      <c r="F96" s="31">
        <f>IFERROR(F$90*(SUMIFS(JB_26BV,JB_B,1,JB_EX,"P-5c",JB_CC,"Ordnance",JB_H,"T-AGOS",JB_RC,"ALT"))/(SUMIFS(JB_26BV,JB_B,1,JB_EX,"P-5c",JB_H,"T-AGOS",JB_RC,"ALT")),0)</f>
        <v/>
      </c>
      <c r="G96" s="31">
        <f>IFERROR(G$90*(SUMIFS(JB_26BV,JB_B,1,JB_EX,"P-5c",JB_CC,"Ordnance",JB_H,"FFG",JB_RC,"ALT"))/(SUMIFS(JB_26BV,JB_B,1,JB_EX,"P-5c",JB_H,"FFG",JB_RC,"ALT")),0)</f>
        <v/>
      </c>
      <c r="H96" s="31">
        <f>IFERROR(H$90*(SUMIFS(JB_26BV,JB_B,1,JB_EX,"P-5c",JB_CC,"Ordnance",JB_H,"T-ATS",JB_RC,"ALT"))/(SUMIFS(JB_26BV,JB_B,1,JB_EX,"P-5c",JB_H,"T-ATS",JB_RC,"ALT")),0)</f>
        <v/>
      </c>
      <c r="I96" s="45">
        <f>SUM(B96:H96)</f>
        <v/>
      </c>
    </row>
    <row r="97" ht="10" customHeight="1">
      <c r="A97" s="30" t="inlineStr">
        <is>
          <t>Other Cost</t>
        </is>
      </c>
      <c r="B97" s="45">
        <f>IFERROR(B$90*(SUMIFS(JB_26BV,JB_B,1,JB_EX,"P-5c",JB_CC,"Other Cost",JB_H,"DDG",JB_RC,"ALT"))/(SUMIFS(JB_26BV,JB_B,1,JB_EX,"P-5c",JB_H,"DDG",JB_RC,"ALT")),0)</f>
        <v/>
      </c>
      <c r="C97" s="31">
        <f>IFERROR(C$90*(SUMIFS(JB_26BV,JB_B,1,JB_EX,"P-5c",JB_CC,"Other Cost",JB_H,"T-AO",JB_RC,"ALT"))/(SUMIFS(JB_26BV,JB_B,1,JB_EX,"P-5c",JB_H,"T-AO",JB_RC,"ALT")),0)</f>
        <v/>
      </c>
      <c r="D97" s="31">
        <f>IFERROR(D$90*(SUMIFS(JB_26BV,JB_B,1,JB_EX,"P-5c",JB_CC,"Other Cost",JB_H,"LPD",JB_RC,"ALT"))/(SUMIFS(JB_26BV,JB_B,1,JB_EX,"P-5c",JB_H,"LPD",JB_RC,"ALT")),0)</f>
        <v/>
      </c>
      <c r="E97" s="31">
        <f>IFERROR(E$90*(SUMIFS(JB_26BV,JB_B,1,JB_EX,"P-5c",JB_CC,"Other Cost",JB_H,"LHA",JB_RC,"ALT"))/(SUMIFS(JB_26BV,JB_B,1,JB_EX,"P-5c",JB_H,"LHA",JB_RC,"ALT")),0)</f>
        <v/>
      </c>
      <c r="F97" s="31">
        <f>IFERROR(F$90*(SUMIFS(JB_26BV,JB_B,1,JB_EX,"P-5c",JB_CC,"Other Cost",JB_H,"T-AGOS",JB_RC,"ALT"))/(SUMIFS(JB_26BV,JB_B,1,JB_EX,"P-5c",JB_H,"T-AGOS",JB_RC,"ALT")),0)</f>
        <v/>
      </c>
      <c r="G97" s="31">
        <f>IFERROR(G$90*(SUMIFS(JB_26BV,JB_B,1,JB_EX,"P-5c",JB_CC,"Other Cost",JB_H,"FFG",JB_RC,"ALT"))/(SUMIFS(JB_26BV,JB_B,1,JB_EX,"P-5c",JB_H,"FFG",JB_RC,"ALT")),0)</f>
        <v/>
      </c>
      <c r="H97" s="31">
        <f>IFERROR(H$90*(SUMIFS(JB_26BV,JB_B,1,JB_EX,"P-5c",JB_CC,"Other Cost",JB_H,"T-ATS",JB_RC,"ALT"))/(SUMIFS(JB_26BV,JB_B,1,JB_EX,"P-5c",JB_H,"T-ATS",JB_RC,"ALT")),0)</f>
        <v/>
      </c>
      <c r="I97" s="45">
        <f>SUM(B97:H97)</f>
        <v/>
      </c>
    </row>
    <row r="98" ht="10" customHeight="1">
      <c r="A98" s="32" t="inlineStr">
        <is>
          <t>Newbuild SAM ($K)</t>
        </is>
      </c>
      <c r="B98" s="44">
        <f>SUM(B91:B97)</f>
        <v/>
      </c>
      <c r="C98" s="33">
        <f>SUM(C91:C97)</f>
        <v/>
      </c>
      <c r="D98" s="33">
        <f>SUM(D91:D97)</f>
        <v/>
      </c>
      <c r="E98" s="33">
        <f>SUM(E91:E97)</f>
        <v/>
      </c>
      <c r="F98" s="33">
        <f>SUM(F91:F97)</f>
        <v/>
      </c>
      <c r="G98" s="33">
        <f>SUM(G91:G97)</f>
        <v/>
      </c>
      <c r="H98" s="33">
        <f>SUM(H91:H97)</f>
        <v/>
      </c>
      <c r="I98" s="44">
        <f>SUM(I91:I97)</f>
        <v/>
      </c>
    </row>
    <row r="99" ht="10" customHeight="1"/>
    <row r="100" ht="10" customHeight="1"/>
    <row r="101" ht="10" customHeight="1">
      <c r="A101" s="27" t="inlineStr">
        <is>
          <t>(F) Newbuild SAM — Cost Category Mix by Hull (Mekko)</t>
        </is>
      </c>
      <c r="B101" s="28" t="n"/>
      <c r="C101" s="28" t="n"/>
      <c r="D101" s="28" t="n"/>
      <c r="E101" s="28" t="n"/>
      <c r="F101" s="28" t="n"/>
      <c r="G101" s="28" t="n"/>
      <c r="H101" s="28" t="n"/>
      <c r="I101" s="28" t="n"/>
    </row>
    <row r="102" ht="10" customHeight="1">
      <c r="A102" s="39" t="n"/>
      <c r="B102" s="40" t="inlineStr">
        <is>
          <t>USN</t>
        </is>
      </c>
      <c r="C102" s="39" t="n"/>
      <c r="D102" s="39" t="n"/>
      <c r="E102" s="39" t="n"/>
      <c r="F102" s="39" t="n"/>
      <c r="G102" s="39" t="n"/>
      <c r="H102" s="39" t="n"/>
      <c r="I102" s="41" t="n"/>
    </row>
    <row r="103" ht="10" customHeight="1">
      <c r="A103" s="29" t="inlineStr">
        <is>
          <t>Cost Category</t>
        </is>
      </c>
      <c r="B103" s="42" t="inlineStr">
        <is>
          <t>DDG</t>
        </is>
      </c>
      <c r="C103" s="29" t="inlineStr">
        <is>
          <t>T-AO</t>
        </is>
      </c>
      <c r="D103" s="29" t="inlineStr">
        <is>
          <t>LPD</t>
        </is>
      </c>
      <c r="E103" s="29" t="inlineStr">
        <is>
          <t>LHA</t>
        </is>
      </c>
      <c r="F103" s="29" t="inlineStr">
        <is>
          <t>T-AGOS</t>
        </is>
      </c>
      <c r="G103" s="29" t="inlineStr">
        <is>
          <t>FFG</t>
        </is>
      </c>
      <c r="H103" s="29" t="inlineStr">
        <is>
          <t>T-ATS</t>
        </is>
      </c>
      <c r="I103" s="42" t="inlineStr">
        <is>
          <t>Total</t>
        </is>
      </c>
    </row>
    <row r="104" ht="10" customHeight="1">
      <c r="A104" s="30" t="inlineStr">
        <is>
          <t>Plan Costs</t>
        </is>
      </c>
      <c r="B104" s="43">
        <f>IFERROR((SUMIFS(JB_26BV,JB_B,1,JB_EX,"P-5c",JB_CC,"Plan Costs",JB_H,"DDG",JB_RC,"ALT"))/(SUMIFS(JB_26BV,JB_B,1,JB_EX,"P-5c",JB_H,"DDG",JB_RC,"ALT")),0)</f>
        <v/>
      </c>
      <c r="C104" s="37">
        <f>IFERROR((SUMIFS(JB_26BV,JB_B,1,JB_EX,"P-5c",JB_CC,"Plan Costs",JB_H,"T-AO",JB_RC,"ALT"))/(SUMIFS(JB_26BV,JB_B,1,JB_EX,"P-5c",JB_H,"T-AO",JB_RC,"ALT")),0)</f>
        <v/>
      </c>
      <c r="D104" s="37">
        <f>IFERROR((SUMIFS(JB_26BV,JB_B,1,JB_EX,"P-5c",JB_CC,"Plan Costs",JB_H,"LPD",JB_RC,"ALT"))/(SUMIFS(JB_26BV,JB_B,1,JB_EX,"P-5c",JB_H,"LPD",JB_RC,"ALT")),0)</f>
        <v/>
      </c>
      <c r="E104" s="37">
        <f>IFERROR((SUMIFS(JB_26BV,JB_B,1,JB_EX,"P-5c",JB_CC,"Plan Costs",JB_H,"LHA",JB_RC,"ALT"))/(SUMIFS(JB_26BV,JB_B,1,JB_EX,"P-5c",JB_H,"LHA",JB_RC,"ALT")),0)</f>
        <v/>
      </c>
      <c r="F104" s="37">
        <f>IFERROR((SUMIFS(JB_26BV,JB_B,1,JB_EX,"P-5c",JB_CC,"Plan Costs",JB_H,"T-AGOS",JB_RC,"ALT"))/(SUMIFS(JB_26BV,JB_B,1,JB_EX,"P-5c",JB_H,"T-AGOS",JB_RC,"ALT")),0)</f>
        <v/>
      </c>
      <c r="G104" s="37">
        <f>IFERROR((SUMIFS(JB_26BV,JB_B,1,JB_EX,"P-5c",JB_CC,"Plan Costs",JB_H,"FFG",JB_RC,"ALT"))/(SUMIFS(JB_26BV,JB_B,1,JB_EX,"P-5c",JB_H,"FFG",JB_RC,"ALT")),0)</f>
        <v/>
      </c>
      <c r="H104" s="37">
        <f>IFERROR((SUMIFS(JB_26BV,JB_B,1,JB_EX,"P-5c",JB_CC,"Plan Costs",JB_H,"T-ATS",JB_RC,"ALT"))/(SUMIFS(JB_26BV,JB_B,1,JB_EX,"P-5c",JB_H,"T-ATS",JB_RC,"ALT")),0)</f>
        <v/>
      </c>
      <c r="I104" s="43">
        <f>IFERROR(SUMPRODUCT(B104:H104,B$111:H$111)/I$111,0)</f>
        <v/>
      </c>
    </row>
    <row r="105" ht="10" customHeight="1">
      <c r="A105" s="30" t="inlineStr">
        <is>
          <t>Basic Construction</t>
        </is>
      </c>
      <c r="B105" s="43">
        <f>IFERROR((SUMIFS(JB_26BV,JB_B,1,JB_EX,"P-5c",JB_CC,"Basic Construction",JB_H,"DDG",JB_RC,"ALT"))/(SUMIFS(JB_26BV,JB_B,1,JB_EX,"P-5c",JB_H,"DDG",JB_RC,"ALT")),0)</f>
        <v/>
      </c>
      <c r="C105" s="37">
        <f>IFERROR((SUMIFS(JB_26BV,JB_B,1,JB_EX,"P-5c",JB_CC,"Basic Construction",JB_H,"T-AO",JB_RC,"ALT"))/(SUMIFS(JB_26BV,JB_B,1,JB_EX,"P-5c",JB_H,"T-AO",JB_RC,"ALT")),0)</f>
        <v/>
      </c>
      <c r="D105" s="37">
        <f>IFERROR((SUMIFS(JB_26BV,JB_B,1,JB_EX,"P-5c",JB_CC,"Basic Construction",JB_H,"LPD",JB_RC,"ALT"))/(SUMIFS(JB_26BV,JB_B,1,JB_EX,"P-5c",JB_H,"LPD",JB_RC,"ALT")),0)</f>
        <v/>
      </c>
      <c r="E105" s="37">
        <f>IFERROR((SUMIFS(JB_26BV,JB_B,1,JB_EX,"P-5c",JB_CC,"Basic Construction",JB_H,"LHA",JB_RC,"ALT"))/(SUMIFS(JB_26BV,JB_B,1,JB_EX,"P-5c",JB_H,"LHA",JB_RC,"ALT")),0)</f>
        <v/>
      </c>
      <c r="F105" s="37">
        <f>IFERROR((SUMIFS(JB_26BV,JB_B,1,JB_EX,"P-5c",JB_CC,"Basic Construction",JB_H,"T-AGOS",JB_RC,"ALT"))/(SUMIFS(JB_26BV,JB_B,1,JB_EX,"P-5c",JB_H,"T-AGOS",JB_RC,"ALT")),0)</f>
        <v/>
      </c>
      <c r="G105" s="37">
        <f>IFERROR((SUMIFS(JB_26BV,JB_B,1,JB_EX,"P-5c",JB_CC,"Basic Construction",JB_H,"FFG",JB_RC,"ALT"))/(SUMIFS(JB_26BV,JB_B,1,JB_EX,"P-5c",JB_H,"FFG",JB_RC,"ALT")),0)</f>
        <v/>
      </c>
      <c r="H105" s="37">
        <f>IFERROR((SUMIFS(JB_26BV,JB_B,1,JB_EX,"P-5c",JB_CC,"Basic Construction",JB_H,"T-ATS",JB_RC,"ALT"))/(SUMIFS(JB_26BV,JB_B,1,JB_EX,"P-5c",JB_H,"T-ATS",JB_RC,"ALT")),0)</f>
        <v/>
      </c>
      <c r="I105" s="43">
        <f>IFERROR(SUMPRODUCT(B105:H105,B$111:H$111)/I$111,0)</f>
        <v/>
      </c>
    </row>
    <row r="106" ht="10" customHeight="1">
      <c r="A106" s="30" t="inlineStr">
        <is>
          <t>Change Orders</t>
        </is>
      </c>
      <c r="B106" s="43">
        <f>IFERROR((SUMIFS(JB_26BV,JB_B,1,JB_EX,"P-5c",JB_CC,"Change Orders",JB_H,"DDG",JB_RC,"ALT"))/(SUMIFS(JB_26BV,JB_B,1,JB_EX,"P-5c",JB_H,"DDG",JB_RC,"ALT")),0)</f>
        <v/>
      </c>
      <c r="C106" s="37">
        <f>IFERROR((SUMIFS(JB_26BV,JB_B,1,JB_EX,"P-5c",JB_CC,"Change Orders",JB_H,"T-AO",JB_RC,"ALT"))/(SUMIFS(JB_26BV,JB_B,1,JB_EX,"P-5c",JB_H,"T-AO",JB_RC,"ALT")),0)</f>
        <v/>
      </c>
      <c r="D106" s="37">
        <f>IFERROR((SUMIFS(JB_26BV,JB_B,1,JB_EX,"P-5c",JB_CC,"Change Orders",JB_H,"LPD",JB_RC,"ALT"))/(SUMIFS(JB_26BV,JB_B,1,JB_EX,"P-5c",JB_H,"LPD",JB_RC,"ALT")),0)</f>
        <v/>
      </c>
      <c r="E106" s="37">
        <f>IFERROR((SUMIFS(JB_26BV,JB_B,1,JB_EX,"P-5c",JB_CC,"Change Orders",JB_H,"LHA",JB_RC,"ALT"))/(SUMIFS(JB_26BV,JB_B,1,JB_EX,"P-5c",JB_H,"LHA",JB_RC,"ALT")),0)</f>
        <v/>
      </c>
      <c r="F106" s="37">
        <f>IFERROR((SUMIFS(JB_26BV,JB_B,1,JB_EX,"P-5c",JB_CC,"Change Orders",JB_H,"T-AGOS",JB_RC,"ALT"))/(SUMIFS(JB_26BV,JB_B,1,JB_EX,"P-5c",JB_H,"T-AGOS",JB_RC,"ALT")),0)</f>
        <v/>
      </c>
      <c r="G106" s="37">
        <f>IFERROR((SUMIFS(JB_26BV,JB_B,1,JB_EX,"P-5c",JB_CC,"Change Orders",JB_H,"FFG",JB_RC,"ALT"))/(SUMIFS(JB_26BV,JB_B,1,JB_EX,"P-5c",JB_H,"FFG",JB_RC,"ALT")),0)</f>
        <v/>
      </c>
      <c r="H106" s="37">
        <f>IFERROR((SUMIFS(JB_26BV,JB_B,1,JB_EX,"P-5c",JB_CC,"Change Orders",JB_H,"T-ATS",JB_RC,"ALT"))/(SUMIFS(JB_26BV,JB_B,1,JB_EX,"P-5c",JB_H,"T-ATS",JB_RC,"ALT")),0)</f>
        <v/>
      </c>
      <c r="I106" s="43">
        <f>IFERROR(SUMPRODUCT(B106:H106,B$111:H$111)/I$111,0)</f>
        <v/>
      </c>
    </row>
    <row r="107" ht="10" customHeight="1">
      <c r="A107" s="30" t="inlineStr">
        <is>
          <t>Electronics</t>
        </is>
      </c>
      <c r="B107" s="43">
        <f>IFERROR((SUMIFS(JB_26BV,JB_B,1,JB_EX,"P-5c",JB_CC,"Electronics",JB_H,"DDG",JB_RC,"ALT"))/(SUMIFS(JB_26BV,JB_B,1,JB_EX,"P-5c",JB_H,"DDG",JB_RC,"ALT")),0)</f>
        <v/>
      </c>
      <c r="C107" s="37">
        <f>IFERROR((SUMIFS(JB_26BV,JB_B,1,JB_EX,"P-5c",JB_CC,"Electronics",JB_H,"T-AO",JB_RC,"ALT"))/(SUMIFS(JB_26BV,JB_B,1,JB_EX,"P-5c",JB_H,"T-AO",JB_RC,"ALT")),0)</f>
        <v/>
      </c>
      <c r="D107" s="37">
        <f>IFERROR((SUMIFS(JB_26BV,JB_B,1,JB_EX,"P-5c",JB_CC,"Electronics",JB_H,"LPD",JB_RC,"ALT"))/(SUMIFS(JB_26BV,JB_B,1,JB_EX,"P-5c",JB_H,"LPD",JB_RC,"ALT")),0)</f>
        <v/>
      </c>
      <c r="E107" s="37">
        <f>IFERROR((SUMIFS(JB_26BV,JB_B,1,JB_EX,"P-5c",JB_CC,"Electronics",JB_H,"LHA",JB_RC,"ALT"))/(SUMIFS(JB_26BV,JB_B,1,JB_EX,"P-5c",JB_H,"LHA",JB_RC,"ALT")),0)</f>
        <v/>
      </c>
      <c r="F107" s="37">
        <f>IFERROR((SUMIFS(JB_26BV,JB_B,1,JB_EX,"P-5c",JB_CC,"Electronics",JB_H,"T-AGOS",JB_RC,"ALT"))/(SUMIFS(JB_26BV,JB_B,1,JB_EX,"P-5c",JB_H,"T-AGOS",JB_RC,"ALT")),0)</f>
        <v/>
      </c>
      <c r="G107" s="37">
        <f>IFERROR((SUMIFS(JB_26BV,JB_B,1,JB_EX,"P-5c",JB_CC,"Electronics",JB_H,"FFG",JB_RC,"ALT"))/(SUMIFS(JB_26BV,JB_B,1,JB_EX,"P-5c",JB_H,"FFG",JB_RC,"ALT")),0)</f>
        <v/>
      </c>
      <c r="H107" s="37">
        <f>IFERROR((SUMIFS(JB_26BV,JB_B,1,JB_EX,"P-5c",JB_CC,"Electronics",JB_H,"T-ATS",JB_RC,"ALT"))/(SUMIFS(JB_26BV,JB_B,1,JB_EX,"P-5c",JB_H,"T-ATS",JB_RC,"ALT")),0)</f>
        <v/>
      </c>
      <c r="I107" s="43">
        <f>IFERROR(SUMPRODUCT(B107:H107,B$111:H$111)/I$111,0)</f>
        <v/>
      </c>
    </row>
    <row r="108" ht="10" customHeight="1">
      <c r="A108" s="30" t="inlineStr">
        <is>
          <t>Hull, Mechanical, and Electrical</t>
        </is>
      </c>
      <c r="B108" s="43">
        <f>IFERROR((SUMIFS(JB_26BV,JB_B,1,JB_EX,"P-5c",JB_CC,"Hull, Mechanical, and Electrical",JB_H,"DDG",JB_RC,"ALT"))/(SUMIFS(JB_26BV,JB_B,1,JB_EX,"P-5c",JB_H,"DDG",JB_RC,"ALT")),0)</f>
        <v/>
      </c>
      <c r="C108" s="37">
        <f>IFERROR((SUMIFS(JB_26BV,JB_B,1,JB_EX,"P-5c",JB_CC,"Hull, Mechanical, and Electrical",JB_H,"T-AO",JB_RC,"ALT"))/(SUMIFS(JB_26BV,JB_B,1,JB_EX,"P-5c",JB_H,"T-AO",JB_RC,"ALT")),0)</f>
        <v/>
      </c>
      <c r="D108" s="37">
        <f>IFERROR((SUMIFS(JB_26BV,JB_B,1,JB_EX,"P-5c",JB_CC,"Hull, Mechanical, and Electrical",JB_H,"LPD",JB_RC,"ALT"))/(SUMIFS(JB_26BV,JB_B,1,JB_EX,"P-5c",JB_H,"LPD",JB_RC,"ALT")),0)</f>
        <v/>
      </c>
      <c r="E108" s="37">
        <f>IFERROR((SUMIFS(JB_26BV,JB_B,1,JB_EX,"P-5c",JB_CC,"Hull, Mechanical, and Electrical",JB_H,"LHA",JB_RC,"ALT"))/(SUMIFS(JB_26BV,JB_B,1,JB_EX,"P-5c",JB_H,"LHA",JB_RC,"ALT")),0)</f>
        <v/>
      </c>
      <c r="F108" s="37">
        <f>IFERROR((SUMIFS(JB_26BV,JB_B,1,JB_EX,"P-5c",JB_CC,"Hull, Mechanical, and Electrical",JB_H,"T-AGOS",JB_RC,"ALT"))/(SUMIFS(JB_26BV,JB_B,1,JB_EX,"P-5c",JB_H,"T-AGOS",JB_RC,"ALT")),0)</f>
        <v/>
      </c>
      <c r="G108" s="37">
        <f>IFERROR((SUMIFS(JB_26BV,JB_B,1,JB_EX,"P-5c",JB_CC,"Hull, Mechanical, and Electrical",JB_H,"FFG",JB_RC,"ALT"))/(SUMIFS(JB_26BV,JB_B,1,JB_EX,"P-5c",JB_H,"FFG",JB_RC,"ALT")),0)</f>
        <v/>
      </c>
      <c r="H108" s="37">
        <f>IFERROR((SUMIFS(JB_26BV,JB_B,1,JB_EX,"P-5c",JB_CC,"Hull, Mechanical, and Electrical",JB_H,"T-ATS",JB_RC,"ALT"))/(SUMIFS(JB_26BV,JB_B,1,JB_EX,"P-5c",JB_H,"T-ATS",JB_RC,"ALT")),0)</f>
        <v/>
      </c>
      <c r="I108" s="43">
        <f>IFERROR(SUMPRODUCT(B108:H108,B$111:H$111)/I$111,0)</f>
        <v/>
      </c>
    </row>
    <row r="109" ht="10" customHeight="1">
      <c r="A109" s="30" t="inlineStr">
        <is>
          <t>Ordnance</t>
        </is>
      </c>
      <c r="B109" s="43">
        <f>IFERROR((SUMIFS(JB_26BV,JB_B,1,JB_EX,"P-5c",JB_CC,"Ordnance",JB_H,"DDG",JB_RC,"ALT"))/(SUMIFS(JB_26BV,JB_B,1,JB_EX,"P-5c",JB_H,"DDG",JB_RC,"ALT")),0)</f>
        <v/>
      </c>
      <c r="C109" s="37">
        <f>IFERROR((SUMIFS(JB_26BV,JB_B,1,JB_EX,"P-5c",JB_CC,"Ordnance",JB_H,"T-AO",JB_RC,"ALT"))/(SUMIFS(JB_26BV,JB_B,1,JB_EX,"P-5c",JB_H,"T-AO",JB_RC,"ALT")),0)</f>
        <v/>
      </c>
      <c r="D109" s="37">
        <f>IFERROR((SUMIFS(JB_26BV,JB_B,1,JB_EX,"P-5c",JB_CC,"Ordnance",JB_H,"LPD",JB_RC,"ALT"))/(SUMIFS(JB_26BV,JB_B,1,JB_EX,"P-5c",JB_H,"LPD",JB_RC,"ALT")),0)</f>
        <v/>
      </c>
      <c r="E109" s="37">
        <f>IFERROR((SUMIFS(JB_26BV,JB_B,1,JB_EX,"P-5c",JB_CC,"Ordnance",JB_H,"LHA",JB_RC,"ALT"))/(SUMIFS(JB_26BV,JB_B,1,JB_EX,"P-5c",JB_H,"LHA",JB_RC,"ALT")),0)</f>
        <v/>
      </c>
      <c r="F109" s="37">
        <f>IFERROR((SUMIFS(JB_26BV,JB_B,1,JB_EX,"P-5c",JB_CC,"Ordnance",JB_H,"T-AGOS",JB_RC,"ALT"))/(SUMIFS(JB_26BV,JB_B,1,JB_EX,"P-5c",JB_H,"T-AGOS",JB_RC,"ALT")),0)</f>
        <v/>
      </c>
      <c r="G109" s="37">
        <f>IFERROR((SUMIFS(JB_26BV,JB_B,1,JB_EX,"P-5c",JB_CC,"Ordnance",JB_H,"FFG",JB_RC,"ALT"))/(SUMIFS(JB_26BV,JB_B,1,JB_EX,"P-5c",JB_H,"FFG",JB_RC,"ALT")),0)</f>
        <v/>
      </c>
      <c r="H109" s="37">
        <f>IFERROR((SUMIFS(JB_26BV,JB_B,1,JB_EX,"P-5c",JB_CC,"Ordnance",JB_H,"T-ATS",JB_RC,"ALT"))/(SUMIFS(JB_26BV,JB_B,1,JB_EX,"P-5c",JB_H,"T-ATS",JB_RC,"ALT")),0)</f>
        <v/>
      </c>
      <c r="I109" s="43">
        <f>IFERROR(SUMPRODUCT(B109:H109,B$111:H$111)/I$111,0)</f>
        <v/>
      </c>
    </row>
    <row r="110" ht="10" customHeight="1">
      <c r="A110" s="30" t="inlineStr">
        <is>
          <t>Other Cost</t>
        </is>
      </c>
      <c r="B110" s="43">
        <f>IFERROR((SUMIFS(JB_26BV,JB_B,1,JB_EX,"P-5c",JB_CC,"Other Cost",JB_H,"DDG",JB_RC,"ALT"))/(SUMIFS(JB_26BV,JB_B,1,JB_EX,"P-5c",JB_H,"DDG",JB_RC,"ALT")),0)</f>
        <v/>
      </c>
      <c r="C110" s="37">
        <f>IFERROR((SUMIFS(JB_26BV,JB_B,1,JB_EX,"P-5c",JB_CC,"Other Cost",JB_H,"T-AO",JB_RC,"ALT"))/(SUMIFS(JB_26BV,JB_B,1,JB_EX,"P-5c",JB_H,"T-AO",JB_RC,"ALT")),0)</f>
        <v/>
      </c>
      <c r="D110" s="37">
        <f>IFERROR((SUMIFS(JB_26BV,JB_B,1,JB_EX,"P-5c",JB_CC,"Other Cost",JB_H,"LPD",JB_RC,"ALT"))/(SUMIFS(JB_26BV,JB_B,1,JB_EX,"P-5c",JB_H,"LPD",JB_RC,"ALT")),0)</f>
        <v/>
      </c>
      <c r="E110" s="37">
        <f>IFERROR((SUMIFS(JB_26BV,JB_B,1,JB_EX,"P-5c",JB_CC,"Other Cost",JB_H,"LHA",JB_RC,"ALT"))/(SUMIFS(JB_26BV,JB_B,1,JB_EX,"P-5c",JB_H,"LHA",JB_RC,"ALT")),0)</f>
        <v/>
      </c>
      <c r="F110" s="37">
        <f>IFERROR((SUMIFS(JB_26BV,JB_B,1,JB_EX,"P-5c",JB_CC,"Other Cost",JB_H,"T-AGOS",JB_RC,"ALT"))/(SUMIFS(JB_26BV,JB_B,1,JB_EX,"P-5c",JB_H,"T-AGOS",JB_RC,"ALT")),0)</f>
        <v/>
      </c>
      <c r="G110" s="37">
        <f>IFERROR((SUMIFS(JB_26BV,JB_B,1,JB_EX,"P-5c",JB_CC,"Other Cost",JB_H,"FFG",JB_RC,"ALT"))/(SUMIFS(JB_26BV,JB_B,1,JB_EX,"P-5c",JB_H,"FFG",JB_RC,"ALT")),0)</f>
        <v/>
      </c>
      <c r="H110" s="37">
        <f>IFERROR((SUMIFS(JB_26BV,JB_B,1,JB_EX,"P-5c",JB_CC,"Other Cost",JB_H,"T-ATS",JB_RC,"ALT"))/(SUMIFS(JB_26BV,JB_B,1,JB_EX,"P-5c",JB_H,"T-ATS",JB_RC,"ALT")),0)</f>
        <v/>
      </c>
      <c r="I110" s="43">
        <f>IFERROR(SUMPRODUCT(B110:H110,B$111:H$111)/I$111,0)</f>
        <v/>
      </c>
    </row>
    <row r="111" ht="10" customHeight="1">
      <c r="A111" s="32" t="inlineStr">
        <is>
          <t>Total ($K)</t>
        </is>
      </c>
      <c r="B111" s="44">
        <f>SUMIFS(JB_26BV,JB_B,1,JB_H,"DDG",JB_RC,"ADD")</f>
        <v/>
      </c>
      <c r="C111" s="33">
        <f>SUMIFS(JB_26BV,JB_B,1,JB_H,"T-AO",JB_RC,"ADD")</f>
        <v/>
      </c>
      <c r="D111" s="33">
        <f>SUMIFS(JB_26BV,JB_B,1,JB_H,"LPD",JB_RC,"ADD")</f>
        <v/>
      </c>
      <c r="E111" s="33">
        <f>SUMIFS(JB_26BV,JB_B,1,JB_H,"LHA",JB_RC,"ADD")</f>
        <v/>
      </c>
      <c r="F111" s="33">
        <f>SUMIFS(JB_26BV,JB_B,1,JB_H,"T-AGOS",JB_RC,"ADD")</f>
        <v/>
      </c>
      <c r="G111" s="33">
        <f>SUMIFS(JB_26BV,JB_B,1,JB_H,"FFG",JB_RC,"ADD")</f>
        <v/>
      </c>
      <c r="H111" s="33">
        <f>SUMIFS(JB_26BV,JB_B,1,JB_H,"T-ATS",JB_RC,"ADD")</f>
        <v/>
      </c>
      <c r="I111" s="44">
        <f>SUM(B111:H111)</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0" customHeight="1">
      <c r="A1" s="24" t="inlineStr">
        <is>
          <t>Newbuild SAM Cost Detail — FY2026 ($K)</t>
        </is>
      </c>
      <c r="B1" s="25" t="n"/>
      <c r="C1" s="25" t="n"/>
      <c r="D1" s="25" t="n"/>
      <c r="E1" s="25" t="n"/>
      <c r="F1" s="25" t="n"/>
      <c r="G1" s="25" t="n"/>
      <c r="H1" s="25" t="n"/>
      <c r="I1" s="25" t="n"/>
      <c r="J1" s="25" t="n"/>
    </row>
    <row r="2" ht="10" customHeight="1">
      <c r="A2" s="26" t="inlineStr">
        <is>
          <t>Gross ship-cost breakdown from P-5c and P-8a exhibits by hull program. NOT net budget authority — see Newbuild SAM for reconciled values.</t>
        </is>
      </c>
    </row>
    <row r="3" ht="10" customHeight="1"/>
    <row r="4" ht="10" customHeight="1">
      <c r="A4" s="27" t="inlineStr">
        <is>
          <t>(A) P-5c Total Ship Cost by Hull &amp; Cost Category — FY2026 ($K)</t>
        </is>
      </c>
      <c r="B4" s="28" t="n"/>
      <c r="C4" s="28" t="n"/>
      <c r="D4" s="28" t="n"/>
      <c r="E4" s="28" t="n"/>
      <c r="F4" s="28" t="n"/>
      <c r="G4" s="28" t="n"/>
      <c r="H4" s="28" t="n"/>
      <c r="I4" s="28" t="n"/>
      <c r="J4" s="28" t="n"/>
    </row>
    <row r="5" ht="10" customHeight="1">
      <c r="A5" s="39" t="n"/>
      <c r="B5" s="40" t="inlineStr">
        <is>
          <t>USN</t>
        </is>
      </c>
      <c r="C5" s="39" t="n"/>
      <c r="D5" s="39" t="n"/>
      <c r="E5" s="39" t="n"/>
      <c r="F5" s="39" t="n"/>
      <c r="G5" s="39" t="n"/>
      <c r="H5" s="39" t="n"/>
      <c r="I5" s="39" t="n"/>
      <c r="J5" s="41" t="n"/>
    </row>
    <row r="6" ht="10" customHeight="1">
      <c r="A6" s="29" t="inlineStr">
        <is>
          <t>Cost Category</t>
        </is>
      </c>
      <c r="B6" s="42" t="inlineStr">
        <is>
          <t>DDG</t>
        </is>
      </c>
      <c r="C6" s="29" t="inlineStr">
        <is>
          <t>FFG</t>
        </is>
      </c>
      <c r="D6" s="29" t="inlineStr">
        <is>
          <t>LPD</t>
        </is>
      </c>
      <c r="E6" s="29" t="inlineStr">
        <is>
          <t>LHA</t>
        </is>
      </c>
      <c r="F6" s="29" t="inlineStr">
        <is>
          <t>T-AGOS</t>
        </is>
      </c>
      <c r="G6" s="29" t="inlineStr">
        <is>
          <t>T-EPF</t>
        </is>
      </c>
      <c r="H6" s="29" t="inlineStr">
        <is>
          <t>T-AO</t>
        </is>
      </c>
      <c r="I6" s="29" t="inlineStr">
        <is>
          <t>T-ATS</t>
        </is>
      </c>
      <c r="J6" s="42" t="inlineStr">
        <is>
          <t>Total</t>
        </is>
      </c>
    </row>
    <row r="7" ht="10" customHeight="1">
      <c r="A7" s="30" t="inlineStr">
        <is>
          <t>Plan Costs</t>
        </is>
      </c>
      <c r="B7" s="45">
        <f>SUMIFS(JB_26BV,JB_B,1,JB_EX,"P-5c",JB_CC,"Plan Costs",JB_H,"DDG",JB_RC,"ALT")</f>
        <v/>
      </c>
      <c r="C7" s="31">
        <f>SUMIFS(JB_26BV,JB_B,1,JB_EX,"P-5c",JB_CC,"Plan Costs",JB_H,"FFG",JB_RC,"ALT")</f>
        <v/>
      </c>
      <c r="D7" s="31">
        <f>SUMIFS(JB_26BV,JB_B,1,JB_EX,"P-5c",JB_CC,"Plan Costs",JB_H,"LPD",JB_RC,"ALT")</f>
        <v/>
      </c>
      <c r="E7" s="31">
        <f>SUMIFS(JB_26BV,JB_B,1,JB_EX,"P-5c",JB_CC,"Plan Costs",JB_H,"LHA",JB_RC,"ALT")</f>
        <v/>
      </c>
      <c r="F7" s="31">
        <f>SUMIFS(JB_26BV,JB_B,1,JB_EX,"P-5c",JB_CC,"Plan Costs",JB_H,"T-AGOS",JB_RC,"ALT")</f>
        <v/>
      </c>
      <c r="G7" s="31">
        <f>SUMIFS(JB_26BV,JB_B,1,JB_EX,"P-5c",JB_CC,"Plan Costs",JB_H,"T-EPF",JB_RC,"ALT")</f>
        <v/>
      </c>
      <c r="H7" s="31">
        <f>SUMIFS(JB_26BV,JB_B,1,JB_EX,"P-5c",JB_CC,"Plan Costs",JB_H,"T-AO",JB_RC,"ALT")</f>
        <v/>
      </c>
      <c r="I7" s="31">
        <f>SUMIFS(JB_26BV,JB_B,1,JB_EX,"P-5c",JB_CC,"Plan Costs",JB_H,"T-ATS",JB_RC,"ALT")</f>
        <v/>
      </c>
      <c r="J7" s="45">
        <f>SUM(B7:I7)</f>
        <v/>
      </c>
    </row>
    <row r="8" ht="10" customHeight="1">
      <c r="A8" s="30" t="inlineStr">
        <is>
          <t>Basic Construction</t>
        </is>
      </c>
      <c r="B8" s="45">
        <f>SUMIFS(JB_26BV,JB_B,1,JB_EX,"P-5c",JB_CC,"Basic Construction",JB_H,"DDG",JB_RC,"ALT")</f>
        <v/>
      </c>
      <c r="C8" s="31">
        <f>SUMIFS(JB_26BV,JB_B,1,JB_EX,"P-5c",JB_CC,"Basic Construction",JB_H,"FFG",JB_RC,"ALT")</f>
        <v/>
      </c>
      <c r="D8" s="31">
        <f>SUMIFS(JB_26BV,JB_B,1,JB_EX,"P-5c",JB_CC,"Basic Construction",JB_H,"LPD",JB_RC,"ALT")</f>
        <v/>
      </c>
      <c r="E8" s="31">
        <f>SUMIFS(JB_26BV,JB_B,1,JB_EX,"P-5c",JB_CC,"Basic Construction",JB_H,"LHA",JB_RC,"ALT")</f>
        <v/>
      </c>
      <c r="F8" s="31">
        <f>SUMIFS(JB_26BV,JB_B,1,JB_EX,"P-5c",JB_CC,"Basic Construction",JB_H,"T-AGOS",JB_RC,"ALT")</f>
        <v/>
      </c>
      <c r="G8" s="31">
        <f>SUMIFS(JB_26BV,JB_B,1,JB_EX,"P-5c",JB_CC,"Basic Construction",JB_H,"T-EPF",JB_RC,"ALT")</f>
        <v/>
      </c>
      <c r="H8" s="31">
        <f>SUMIFS(JB_26BV,JB_B,1,JB_EX,"P-5c",JB_CC,"Basic Construction",JB_H,"T-AO",JB_RC,"ALT")</f>
        <v/>
      </c>
      <c r="I8" s="31">
        <f>SUMIFS(JB_26BV,JB_B,1,JB_EX,"P-5c",JB_CC,"Basic Construction",JB_H,"T-ATS",JB_RC,"ALT")</f>
        <v/>
      </c>
      <c r="J8" s="45">
        <f>SUM(B8:I8)</f>
        <v/>
      </c>
    </row>
    <row r="9" ht="10" customHeight="1">
      <c r="A9" s="30" t="inlineStr">
        <is>
          <t>Change Orders</t>
        </is>
      </c>
      <c r="B9" s="45">
        <f>SUMIFS(JB_26BV,JB_B,1,JB_EX,"P-5c",JB_CC,"Change Orders",JB_H,"DDG",JB_RC,"ALT")</f>
        <v/>
      </c>
      <c r="C9" s="31">
        <f>SUMIFS(JB_26BV,JB_B,1,JB_EX,"P-5c",JB_CC,"Change Orders",JB_H,"FFG",JB_RC,"ALT")</f>
        <v/>
      </c>
      <c r="D9" s="31">
        <f>SUMIFS(JB_26BV,JB_B,1,JB_EX,"P-5c",JB_CC,"Change Orders",JB_H,"LPD",JB_RC,"ALT")</f>
        <v/>
      </c>
      <c r="E9" s="31">
        <f>SUMIFS(JB_26BV,JB_B,1,JB_EX,"P-5c",JB_CC,"Change Orders",JB_H,"LHA",JB_RC,"ALT")</f>
        <v/>
      </c>
      <c r="F9" s="31">
        <f>SUMIFS(JB_26BV,JB_B,1,JB_EX,"P-5c",JB_CC,"Change Orders",JB_H,"T-AGOS",JB_RC,"ALT")</f>
        <v/>
      </c>
      <c r="G9" s="31">
        <f>SUMIFS(JB_26BV,JB_B,1,JB_EX,"P-5c",JB_CC,"Change Orders",JB_H,"T-EPF",JB_RC,"ALT")</f>
        <v/>
      </c>
      <c r="H9" s="31">
        <f>SUMIFS(JB_26BV,JB_B,1,JB_EX,"P-5c",JB_CC,"Change Orders",JB_H,"T-AO",JB_RC,"ALT")</f>
        <v/>
      </c>
      <c r="I9" s="31">
        <f>SUMIFS(JB_26BV,JB_B,1,JB_EX,"P-5c",JB_CC,"Change Orders",JB_H,"T-ATS",JB_RC,"ALT")</f>
        <v/>
      </c>
      <c r="J9" s="45">
        <f>SUM(B9:I9)</f>
        <v/>
      </c>
    </row>
    <row r="10" ht="10" customHeight="1">
      <c r="A10" s="30" t="inlineStr">
        <is>
          <t>Electronics</t>
        </is>
      </c>
      <c r="B10" s="45">
        <f>SUMIFS(JB_26BV,JB_B,1,JB_EX,"P-5c",JB_CC,"Electronics",JB_H,"DDG",JB_RC,"ALT")</f>
        <v/>
      </c>
      <c r="C10" s="31">
        <f>SUMIFS(JB_26BV,JB_B,1,JB_EX,"P-5c",JB_CC,"Electronics",JB_H,"FFG",JB_RC,"ALT")</f>
        <v/>
      </c>
      <c r="D10" s="31">
        <f>SUMIFS(JB_26BV,JB_B,1,JB_EX,"P-5c",JB_CC,"Electronics",JB_H,"LPD",JB_RC,"ALT")</f>
        <v/>
      </c>
      <c r="E10" s="31">
        <f>SUMIFS(JB_26BV,JB_B,1,JB_EX,"P-5c",JB_CC,"Electronics",JB_H,"LHA",JB_RC,"ALT")</f>
        <v/>
      </c>
      <c r="F10" s="31">
        <f>SUMIFS(JB_26BV,JB_B,1,JB_EX,"P-5c",JB_CC,"Electronics",JB_H,"T-AGOS",JB_RC,"ALT")</f>
        <v/>
      </c>
      <c r="G10" s="31">
        <f>SUMIFS(JB_26BV,JB_B,1,JB_EX,"P-5c",JB_CC,"Electronics",JB_H,"T-EPF",JB_RC,"ALT")</f>
        <v/>
      </c>
      <c r="H10" s="31">
        <f>SUMIFS(JB_26BV,JB_B,1,JB_EX,"P-5c",JB_CC,"Electronics",JB_H,"T-AO",JB_RC,"ALT")</f>
        <v/>
      </c>
      <c r="I10" s="31">
        <f>SUMIFS(JB_26BV,JB_B,1,JB_EX,"P-5c",JB_CC,"Electronics",JB_H,"T-ATS",JB_RC,"ALT")</f>
        <v/>
      </c>
      <c r="J10" s="45">
        <f>SUM(B10:I10)</f>
        <v/>
      </c>
    </row>
    <row r="11" ht="10" customHeight="1">
      <c r="A11" s="30" t="inlineStr">
        <is>
          <t>Hull, Mechanical, and Electrical</t>
        </is>
      </c>
      <c r="B11" s="45">
        <f>SUMIFS(JB_26BV,JB_B,1,JB_EX,"P-5c",JB_CC,"Hull, Mechanical, and Electrical",JB_H,"DDG",JB_RC,"ALT")</f>
        <v/>
      </c>
      <c r="C11" s="31">
        <f>SUMIFS(JB_26BV,JB_B,1,JB_EX,"P-5c",JB_CC,"Hull, Mechanical, and Electrical",JB_H,"FFG",JB_RC,"ALT")</f>
        <v/>
      </c>
      <c r="D11" s="31">
        <f>SUMIFS(JB_26BV,JB_B,1,JB_EX,"P-5c",JB_CC,"Hull, Mechanical, and Electrical",JB_H,"LPD",JB_RC,"ALT")</f>
        <v/>
      </c>
      <c r="E11" s="31">
        <f>SUMIFS(JB_26BV,JB_B,1,JB_EX,"P-5c",JB_CC,"Hull, Mechanical, and Electrical",JB_H,"LHA",JB_RC,"ALT")</f>
        <v/>
      </c>
      <c r="F11" s="31">
        <f>SUMIFS(JB_26BV,JB_B,1,JB_EX,"P-5c",JB_CC,"Hull, Mechanical, and Electrical",JB_H,"T-AGOS",JB_RC,"ALT")</f>
        <v/>
      </c>
      <c r="G11" s="31">
        <f>SUMIFS(JB_26BV,JB_B,1,JB_EX,"P-5c",JB_CC,"Hull, Mechanical, and Electrical",JB_H,"T-EPF",JB_RC,"ALT")</f>
        <v/>
      </c>
      <c r="H11" s="31">
        <f>SUMIFS(JB_26BV,JB_B,1,JB_EX,"P-5c",JB_CC,"Hull, Mechanical, and Electrical",JB_H,"T-AO",JB_RC,"ALT")</f>
        <v/>
      </c>
      <c r="I11" s="31">
        <f>SUMIFS(JB_26BV,JB_B,1,JB_EX,"P-5c",JB_CC,"Hull, Mechanical, and Electrical",JB_H,"T-ATS",JB_RC,"ALT")</f>
        <v/>
      </c>
      <c r="J11" s="45">
        <f>SUM(B11:I11)</f>
        <v/>
      </c>
    </row>
    <row r="12" ht="10" customHeight="1">
      <c r="A12" s="30" t="inlineStr">
        <is>
          <t>Ordnance</t>
        </is>
      </c>
      <c r="B12" s="45">
        <f>SUMIFS(JB_26BV,JB_B,1,JB_EX,"P-5c",JB_CC,"Ordnance",JB_H,"DDG",JB_RC,"ALT")</f>
        <v/>
      </c>
      <c r="C12" s="31">
        <f>SUMIFS(JB_26BV,JB_B,1,JB_EX,"P-5c",JB_CC,"Ordnance",JB_H,"FFG",JB_RC,"ALT")</f>
        <v/>
      </c>
      <c r="D12" s="31">
        <f>SUMIFS(JB_26BV,JB_B,1,JB_EX,"P-5c",JB_CC,"Ordnance",JB_H,"LPD",JB_RC,"ALT")</f>
        <v/>
      </c>
      <c r="E12" s="31">
        <f>SUMIFS(JB_26BV,JB_B,1,JB_EX,"P-5c",JB_CC,"Ordnance",JB_H,"LHA",JB_RC,"ALT")</f>
        <v/>
      </c>
      <c r="F12" s="31">
        <f>SUMIFS(JB_26BV,JB_B,1,JB_EX,"P-5c",JB_CC,"Ordnance",JB_H,"T-AGOS",JB_RC,"ALT")</f>
        <v/>
      </c>
      <c r="G12" s="31">
        <f>SUMIFS(JB_26BV,JB_B,1,JB_EX,"P-5c",JB_CC,"Ordnance",JB_H,"T-EPF",JB_RC,"ALT")</f>
        <v/>
      </c>
      <c r="H12" s="31">
        <f>SUMIFS(JB_26BV,JB_B,1,JB_EX,"P-5c",JB_CC,"Ordnance",JB_H,"T-AO",JB_RC,"ALT")</f>
        <v/>
      </c>
      <c r="I12" s="31">
        <f>SUMIFS(JB_26BV,JB_B,1,JB_EX,"P-5c",JB_CC,"Ordnance",JB_H,"T-ATS",JB_RC,"ALT")</f>
        <v/>
      </c>
      <c r="J12" s="45">
        <f>SUM(B12:I12)</f>
        <v/>
      </c>
    </row>
    <row r="13" ht="10" customHeight="1">
      <c r="A13" s="30" t="inlineStr">
        <is>
          <t>Other Cost</t>
        </is>
      </c>
      <c r="B13" s="45">
        <f>SUMIFS(JB_26BV,JB_B,1,JB_EX,"P-5c",JB_CC,"Other Cost",JB_H,"DDG",JB_RC,"ALT")</f>
        <v/>
      </c>
      <c r="C13" s="31">
        <f>SUMIFS(JB_26BV,JB_B,1,JB_EX,"P-5c",JB_CC,"Other Cost",JB_H,"FFG",JB_RC,"ALT")</f>
        <v/>
      </c>
      <c r="D13" s="31">
        <f>SUMIFS(JB_26BV,JB_B,1,JB_EX,"P-5c",JB_CC,"Other Cost",JB_H,"LPD",JB_RC,"ALT")</f>
        <v/>
      </c>
      <c r="E13" s="31">
        <f>SUMIFS(JB_26BV,JB_B,1,JB_EX,"P-5c",JB_CC,"Other Cost",JB_H,"LHA",JB_RC,"ALT")</f>
        <v/>
      </c>
      <c r="F13" s="31">
        <f>SUMIFS(JB_26BV,JB_B,1,JB_EX,"P-5c",JB_CC,"Other Cost",JB_H,"T-AGOS",JB_RC,"ALT")</f>
        <v/>
      </c>
      <c r="G13" s="31">
        <f>SUMIFS(JB_26BV,JB_B,1,JB_EX,"P-5c",JB_CC,"Other Cost",JB_H,"T-EPF",JB_RC,"ALT")</f>
        <v/>
      </c>
      <c r="H13" s="31">
        <f>SUMIFS(JB_26BV,JB_B,1,JB_EX,"P-5c",JB_CC,"Other Cost",JB_H,"T-AO",JB_RC,"ALT")</f>
        <v/>
      </c>
      <c r="I13" s="31">
        <f>SUMIFS(JB_26BV,JB_B,1,JB_EX,"P-5c",JB_CC,"Other Cost",JB_H,"T-ATS",JB_RC,"ALT")</f>
        <v/>
      </c>
      <c r="J13" s="45">
        <f>SUM(B13:I13)</f>
        <v/>
      </c>
    </row>
    <row r="14" ht="10" customHeight="1">
      <c r="A14" s="32" t="inlineStr">
        <is>
          <t>Gross Total ($K)</t>
        </is>
      </c>
      <c r="B14" s="44">
        <f>SUM(B7:B13)</f>
        <v/>
      </c>
      <c r="C14" s="33">
        <f>SUM(C7:C13)</f>
        <v/>
      </c>
      <c r="D14" s="33">
        <f>SUM(D7:D13)</f>
        <v/>
      </c>
      <c r="E14" s="33">
        <f>SUM(E7:E13)</f>
        <v/>
      </c>
      <c r="F14" s="33">
        <f>SUM(F7:F13)</f>
        <v/>
      </c>
      <c r="G14" s="33">
        <f>SUM(G7:G13)</f>
        <v/>
      </c>
      <c r="H14" s="33">
        <f>SUM(H7:H13)</f>
        <v/>
      </c>
      <c r="I14" s="33">
        <f>SUM(I7:I13)</f>
        <v/>
      </c>
      <c r="J14" s="44">
        <f>SUM(J7:J13)</f>
        <v/>
      </c>
    </row>
    <row r="15" ht="10" customHeight="1"/>
    <row r="16" ht="10" customHeight="1"/>
    <row r="17" ht="10" customHeight="1">
      <c r="A17" s="27" t="inlineStr">
        <is>
          <t>(B) P-8a System-Level Detail by Hull Program — FY2026 ($K)</t>
        </is>
      </c>
      <c r="B17" s="28" t="n"/>
      <c r="C17" s="28" t="n"/>
      <c r="D17" s="28" t="n"/>
    </row>
    <row r="18" ht="10" customHeight="1">
      <c r="A18" s="26" t="inlineStr">
        <is>
          <t>Individual GFE systems from Exhibit P-8a, grouped by cost category within each hull program.</t>
        </is>
      </c>
    </row>
    <row r="19" ht="10" customHeight="1"/>
    <row r="20" ht="10" customHeight="1">
      <c r="A20" s="46" t="inlineStr">
        <is>
          <t>DDG (Surface Combatants)</t>
        </is>
      </c>
      <c r="B20" s="39" t="n"/>
      <c r="C20" s="39" t="n"/>
      <c r="D20" s="39" t="n"/>
    </row>
    <row r="21" ht="10" customHeight="1">
      <c r="A21" s="29" t="inlineStr">
        <is>
          <t>System</t>
        </is>
      </c>
      <c r="B21" s="29" t="inlineStr">
        <is>
          <t>Cost Category</t>
        </is>
      </c>
      <c r="C21" s="29" t="inlineStr">
        <is>
          <t>FY2026 ($K)</t>
        </is>
      </c>
      <c r="D21" s="29" t="inlineStr">
        <is>
          <t>% of Hull</t>
        </is>
      </c>
    </row>
    <row r="22" ht="10" customHeight="1">
      <c r="A22" s="30" t="inlineStr">
        <is>
          <t>AN/SPY-6(V)1 (AMDR)</t>
        </is>
      </c>
      <c r="B22" s="26" t="inlineStr">
        <is>
          <t>Ordnance</t>
        </is>
      </c>
      <c r="C22" s="49">
        <f>SUMIFS(JB_26BV,JB_B,1,JB_EX,"P-8a",JB_CC,"Ordnance",JB_H,"DDG",JB_CE,"AN/SPY-6(V)1 (AMDR)",JB_RC,"ALT")</f>
        <v/>
      </c>
      <c r="D22" s="37">
        <f>IFERROR(C22/C$80,0)</f>
        <v/>
      </c>
    </row>
    <row r="23" ht="10" customHeight="1">
      <c r="A23" s="30" t="inlineStr">
        <is>
          <t>AEGIS WEAPON SYSTEM (MK-7)</t>
        </is>
      </c>
      <c r="B23" s="26" t="inlineStr">
        <is>
          <t>Ordnance</t>
        </is>
      </c>
      <c r="C23" s="49">
        <f>SUMIFS(JB_26BV,JB_B,1,JB_EX,"P-8a",JB_CC,"Ordnance",JB_H,"DDG",JB_CE,"AEGIS WEAPON SYSTEM (MK-7)",JB_RC,"ALT")</f>
        <v/>
      </c>
      <c r="D23" s="37">
        <f>IFERROR(C23/C$80,0)</f>
        <v/>
      </c>
    </row>
    <row r="24" ht="10" customHeight="1">
      <c r="A24" s="30" t="inlineStr">
        <is>
          <t>ADVANCED GUN SYSTEM (AGS)</t>
        </is>
      </c>
      <c r="B24" s="26" t="inlineStr">
        <is>
          <t>Ordnance</t>
        </is>
      </c>
      <c r="C24" s="49">
        <f>SUMIFS(JB_26BV,JB_B,1,JB_EX,"P-8a",JB_CC,"Ordnance",JB_H,"DDG",JB_CE,"ADVANCED GUN SYSTEM (AGS)",JB_RC,"ALT")</f>
        <v/>
      </c>
      <c r="D24" s="37">
        <f>IFERROR(C24/C$80,0)</f>
        <v/>
      </c>
    </row>
    <row r="25" ht="10" customHeight="1">
      <c r="A25" s="30" t="inlineStr">
        <is>
          <t>VLS MK 41</t>
        </is>
      </c>
      <c r="B25" s="26" t="inlineStr">
        <is>
          <t>Ordnance</t>
        </is>
      </c>
      <c r="C25" s="49">
        <f>SUMIFS(JB_26BV,JB_B,1,JB_EX,"P-8a",JB_CC,"Ordnance",JB_H,"DDG",JB_CE,"VLS MK 41",JB_RC,"ALT")</f>
        <v/>
      </c>
      <c r="D25" s="37">
        <f>IFERROR(C25/C$80,0)</f>
        <v/>
      </c>
    </row>
    <row r="26" ht="10" customHeight="1">
      <c r="A26" s="30" t="inlineStr">
        <is>
          <t>MISC. ORDNANCE</t>
        </is>
      </c>
      <c r="B26" s="26" t="inlineStr">
        <is>
          <t>Ordnance</t>
        </is>
      </c>
      <c r="C26" s="49">
        <f>SUMIFS(JB_26BV,JB_B,1,JB_EX,"P-8a",JB_CC,"Ordnance",JB_H,"DDG",JB_CE,"MISC. ORDNANCE",JB_RC,"ALT")</f>
        <v/>
      </c>
      <c r="D26" s="37">
        <f>IFERROR(C26/C$80,0)</f>
        <v/>
      </c>
    </row>
    <row r="27" ht="10" customHeight="1">
      <c r="A27" s="30" t="inlineStr">
        <is>
          <t>MK 45 Light Weight Gun (LWG)</t>
        </is>
      </c>
      <c r="B27" s="26" t="inlineStr">
        <is>
          <t>Ordnance</t>
        </is>
      </c>
      <c r="C27" s="49">
        <f>SUMIFS(JB_26BV,JB_B,1,JB_EX,"P-8a",JB_CC,"Ordnance",JB_H,"DDG",JB_CE,"MK 45 Light Weight Gun (LWG)",JB_RC,"ALT")</f>
        <v/>
      </c>
      <c r="D27" s="37">
        <f>IFERROR(C27/C$80,0)</f>
        <v/>
      </c>
    </row>
    <row r="28" ht="10" customHeight="1">
      <c r="A28" s="30" t="inlineStr">
        <is>
          <t>MK 37 TOMAHAWK</t>
        </is>
      </c>
      <c r="B28" s="26" t="inlineStr">
        <is>
          <t>Ordnance</t>
        </is>
      </c>
      <c r="C28" s="49">
        <f>SUMIFS(JB_26BV,JB_B,1,JB_EX,"P-8a",JB_CC,"Ordnance",JB_H,"DDG",JB_CE,"MK 37 TOMAHAWK",JB_RC,"ALT")</f>
        <v/>
      </c>
      <c r="D28" s="37">
        <f>IFERROR(C28/C$80,0)</f>
        <v/>
      </c>
    </row>
    <row r="29" ht="10" customHeight="1">
      <c r="A29" s="30" t="inlineStr">
        <is>
          <t>SPQ-9B Radar</t>
        </is>
      </c>
      <c r="B29" s="26" t="inlineStr">
        <is>
          <t>Ordnance</t>
        </is>
      </c>
      <c r="C29" s="49">
        <f>SUMIFS(JB_26BV,JB_B,1,JB_EX,"P-8a",JB_CC,"Ordnance",JB_H,"DDG",JB_CE,"SPQ-9B Radar",JB_RC,"ALT")</f>
        <v/>
      </c>
      <c r="D29" s="37">
        <f>IFERROR(C29/C$80,0)</f>
        <v/>
      </c>
    </row>
    <row r="30" ht="10" customHeight="1">
      <c r="A30" s="30" t="inlineStr">
        <is>
          <t>PHALANX (CIWS)</t>
        </is>
      </c>
      <c r="B30" s="26" t="inlineStr">
        <is>
          <t>Ordnance</t>
        </is>
      </c>
      <c r="C30" s="49">
        <f>SUMIFS(JB_26BV,JB_B,1,JB_EX,"P-8a",JB_CC,"Ordnance",JB_H,"DDG",JB_CE,"PHALANX (CIWS)",JB_RC,"ALT")</f>
        <v/>
      </c>
      <c r="D30" s="37">
        <f>IFERROR(C30/C$80,0)</f>
        <v/>
      </c>
    </row>
    <row r="31" ht="10" customHeight="1">
      <c r="A31" s="30" t="inlineStr">
        <is>
          <t>DDG 1002 Missile Tubes (CPS)</t>
        </is>
      </c>
      <c r="B31" s="26" t="inlineStr">
        <is>
          <t>Ordnance</t>
        </is>
      </c>
      <c r="C31" s="49">
        <f>SUMIFS(JB_26BV,JB_B,1,JB_EX,"P-8a",JB_CC,"Ordnance",JB_H,"DDG",JB_CE,"DDG 1002 Missile Tubes (CPS)",JB_RC,"ALT")</f>
        <v/>
      </c>
      <c r="D31" s="37">
        <f>IFERROR(C31/C$80,0)</f>
        <v/>
      </c>
    </row>
    <row r="32" ht="10" customHeight="1">
      <c r="A32" s="30" t="inlineStr">
        <is>
          <t>MK-38 Gun Weapon System (GWS)</t>
        </is>
      </c>
      <c r="B32" s="26" t="inlineStr">
        <is>
          <t>Ordnance</t>
        </is>
      </c>
      <c r="C32" s="49">
        <f>SUMIFS(JB_26BV,JB_B,1,JB_EX,"P-8a",JB_CC,"Ordnance",JB_H,"DDG",JB_CE,"MK-38 Gun Weapon System (GWS)",JB_RC,"ALT")</f>
        <v/>
      </c>
      <c r="D32" s="37">
        <f>IFERROR(C32/C$80,0)</f>
        <v/>
      </c>
    </row>
    <row r="33" ht="10" customHeight="1">
      <c r="A33" s="30" t="inlineStr">
        <is>
          <t>DDG 1002 Rubber Boots, Hatches, Shock Isolation (CPS)</t>
        </is>
      </c>
      <c r="B33" s="26" t="inlineStr">
        <is>
          <t>Ordnance</t>
        </is>
      </c>
      <c r="C33" s="49">
        <f>SUMIFS(JB_26BV,JB_B,1,JB_EX,"P-8a",JB_CC,"Ordnance",JB_H,"DDG",JB_CE,"DDG 1002 Rubber Boots, Hatches, Shock Isolation (CPS)",JB_RC,"ALT")</f>
        <v/>
      </c>
      <c r="D33" s="37">
        <f>IFERROR(C33/C$80,0)</f>
        <v/>
      </c>
    </row>
    <row r="34" ht="10" customHeight="1">
      <c r="A34" s="30" t="inlineStr">
        <is>
          <t>CLOSE-IN GUN SYSTEM (CIGS)</t>
        </is>
      </c>
      <c r="B34" s="26" t="inlineStr">
        <is>
          <t>Ordnance</t>
        </is>
      </c>
      <c r="C34" s="49">
        <f>SUMIFS(JB_26BV,JB_B,1,JB_EX,"P-8a",JB_CC,"Ordnance",JB_H,"DDG",JB_CE,"CLOSE-IN GUN SYSTEM (CIGS)",JB_RC,"ALT")</f>
        <v/>
      </c>
      <c r="D34" s="37">
        <f>IFERROR(C34/C$80,0)</f>
        <v/>
      </c>
    </row>
    <row r="35" ht="10" customHeight="1">
      <c r="A35" s="30" t="inlineStr">
        <is>
          <t>MK 160 Gun Fire Control System (GFCS)</t>
        </is>
      </c>
      <c r="B35" s="26" t="inlineStr">
        <is>
          <t>Ordnance</t>
        </is>
      </c>
      <c r="C35" s="49">
        <f>SUMIFS(JB_26BV,JB_B,1,JB_EX,"P-8a",JB_CC,"Ordnance",JB_H,"DDG",JB_CE,"MK 160 Gun Fire Control System (GFCS)",JB_RC,"ALT")</f>
        <v/>
      </c>
      <c r="D35" s="37">
        <f>IFERROR(C35/C$80,0)</f>
        <v/>
      </c>
    </row>
    <row r="36" ht="10" customHeight="1">
      <c r="A36" s="30" t="inlineStr">
        <is>
          <t>ELECTRO-OPTICAL SYSTEM</t>
        </is>
      </c>
      <c r="B36" s="26" t="inlineStr">
        <is>
          <t>Ordnance</t>
        </is>
      </c>
      <c r="C36" s="49">
        <f>SUMIFS(JB_26BV,JB_B,1,JB_EX,"P-8a",JB_CC,"Ordnance",JB_H,"DDG",JB_CE,"ELECTRO-OPTICAL SYSTEM",JB_RC,"ALT")</f>
        <v/>
      </c>
      <c r="D36" s="37">
        <f>IFERROR(C36/C$80,0)</f>
        <v/>
      </c>
    </row>
    <row r="37" ht="10" customHeight="1">
      <c r="A37" s="30" t="inlineStr">
        <is>
          <t>MK 32 Surface Vessel Torpedo Tubes (SVTT)</t>
        </is>
      </c>
      <c r="B37" s="26" t="inlineStr">
        <is>
          <t>Ordnance</t>
        </is>
      </c>
      <c r="C37" s="49">
        <f>SUMIFS(JB_26BV,JB_B,1,JB_EX,"P-8a",JB_CC,"Ordnance",JB_H,"DDG",JB_CE,"MK 32 Surface Vessel Torpedo Tubes (SVTT)",JB_RC,"ALT")</f>
        <v/>
      </c>
      <c r="D37" s="37">
        <f>IFERROR(C37/C$80,0)</f>
        <v/>
      </c>
    </row>
    <row r="38" ht="10" customHeight="1">
      <c r="A38" s="30" t="inlineStr">
        <is>
          <t>MISC. HM&amp;E</t>
        </is>
      </c>
      <c r="B38" s="26" t="inlineStr">
        <is>
          <t>Hull, Mechanical, and Electrical</t>
        </is>
      </c>
      <c r="C38" s="49">
        <f>SUMIFS(JB_26BV,JB_B,1,JB_EX,"P-8a",JB_CC,"Hull, Mechanical, and Electrical",JB_H,"DDG",JB_CE,"MISC. HM&amp;E",JB_RC,"ALT")</f>
        <v/>
      </c>
      <c r="D38" s="37">
        <f>IFERROR(C38/C$80,0)</f>
        <v/>
      </c>
    </row>
    <row r="39" ht="10" customHeight="1">
      <c r="A39" s="30" t="inlineStr">
        <is>
          <t>MAIN TURBINE GENERATOR (MTG)</t>
        </is>
      </c>
      <c r="B39" s="26" t="inlineStr">
        <is>
          <t>Hull, Mechanical, and Electrical</t>
        </is>
      </c>
      <c r="C39" s="49">
        <f>SUMIFS(JB_26BV,JB_B,1,JB_EX,"P-8a",JB_CC,"Hull, Mechanical, and Electrical",JB_H,"DDG",JB_CE,"MAIN TURBINE GENERATOR (MTG)",JB_RC,"ALT")</f>
        <v/>
      </c>
      <c r="D39" s="37">
        <f>IFERROR(C39/C$80,0)</f>
        <v/>
      </c>
    </row>
    <row r="40" ht="10" customHeight="1">
      <c r="A40" s="30" t="inlineStr">
        <is>
          <t>Integrated Bridge Navigation System</t>
        </is>
      </c>
      <c r="B40" s="26" t="inlineStr">
        <is>
          <t>Hull, Mechanical, and Electrical</t>
        </is>
      </c>
      <c r="C40" s="49">
        <f>SUMIFS(JB_26BV,JB_B,1,JB_EX,"P-8a",JB_CC,"Hull, Mechanical, and Electrical",JB_H,"DDG",JB_CE,"Integrated Bridge Navigation System",JB_RC,"ALT")</f>
        <v/>
      </c>
      <c r="D40" s="37">
        <f>IFERROR(C40/C$80,0)</f>
        <v/>
      </c>
    </row>
    <row r="41" ht="10" customHeight="1">
      <c r="A41" s="30" t="inlineStr">
        <is>
          <t>STC 3 IVCS</t>
        </is>
      </c>
      <c r="B41" s="26" t="inlineStr">
        <is>
          <t>Hull, Mechanical, and Electrical</t>
        </is>
      </c>
      <c r="C41" s="49">
        <f>SUMIFS(JB_26BV,JB_B,1,JB_EX,"P-8a",JB_CC,"Hull, Mechanical, and Electrical",JB_H,"DDG",JB_CE,"STC 3 IVCS",JB_RC,"ALT")</f>
        <v/>
      </c>
      <c r="D41" s="37">
        <f>IFERROR(C41/C$80,0)</f>
        <v/>
      </c>
    </row>
    <row r="42" ht="10" customHeight="1">
      <c r="A42" s="30" t="inlineStr">
        <is>
          <t>Machinery Control System</t>
        </is>
      </c>
      <c r="B42" s="26" t="inlineStr">
        <is>
          <t>Hull, Mechanical, and Electrical</t>
        </is>
      </c>
      <c r="C42" s="49">
        <f>SUMIFS(JB_26BV,JB_B,1,JB_EX,"P-8a",JB_CC,"Hull, Mechanical, and Electrical",JB_H,"DDG",JB_CE,"Machinery Control System",JB_RC,"ALT")</f>
        <v/>
      </c>
      <c r="D42" s="37">
        <f>IFERROR(C42/C$80,0)</f>
        <v/>
      </c>
    </row>
    <row r="43" ht="10" customHeight="1">
      <c r="A43" s="30" t="inlineStr">
        <is>
          <t>CYBER BDC</t>
        </is>
      </c>
      <c r="B43" s="26" t="inlineStr">
        <is>
          <t>Hull, Mechanical, and Electrical</t>
        </is>
      </c>
      <c r="C43" s="49">
        <f>SUMIFS(JB_26BV,JB_B,1,JB_EX,"P-8a",JB_CC,"Hull, Mechanical, and Electrical",JB_H,"DDG",JB_CE,"CYBER BDC",JB_RC,"ALT")</f>
        <v/>
      </c>
      <c r="D43" s="37">
        <f>IFERROR(C43/C$80,0)</f>
        <v/>
      </c>
    </row>
    <row r="44" ht="10" customHeight="1">
      <c r="A44" s="30" t="inlineStr">
        <is>
          <t>WSN 12</t>
        </is>
      </c>
      <c r="B44" s="26" t="inlineStr">
        <is>
          <t>Hull, Mechanical, and Electrical</t>
        </is>
      </c>
      <c r="C44" s="49">
        <f>SUMIFS(JB_26BV,JB_B,1,JB_EX,"P-8a",JB_CC,"Hull, Mechanical, and Electrical",JB_H,"DDG",JB_CE,"WSN 12",JB_RC,"ALT")</f>
        <v/>
      </c>
      <c r="D44" s="37">
        <f>IFERROR(C44/C$80,0)</f>
        <v/>
      </c>
    </row>
    <row r="45" ht="10" customHeight="1">
      <c r="A45" s="30" t="inlineStr">
        <is>
          <t>HM&amp;E (NGVLA, Moriah Wind Measurement System (WMS), Aviation Integration)</t>
        </is>
      </c>
      <c r="B45" s="26" t="inlineStr">
        <is>
          <t>Hull, Mechanical, and Electrical</t>
        </is>
      </c>
      <c r="C45" s="49">
        <f>SUMIFS(JB_26BV,JB_B,1,JB_EX,"P-8a",JB_CC,"Hull, Mechanical, and Electrical",JB_H,"DDG",JB_CE,"HM&amp;E (NGVLA, Moriah Wind Measurement System (WMS), Aviation Integration)",JB_RC,"ALT")</f>
        <v/>
      </c>
      <c r="D45" s="37">
        <f>IFERROR(C45/C$80,0)</f>
        <v/>
      </c>
    </row>
    <row r="46" ht="10" customHeight="1">
      <c r="A46" s="30" t="inlineStr">
        <is>
          <t>INTERIM SPARES</t>
        </is>
      </c>
      <c r="B46" s="26" t="inlineStr">
        <is>
          <t>Hull, Mechanical, and Electrical</t>
        </is>
      </c>
      <c r="C46" s="49">
        <f>SUMIFS(JB_26BV,JB_B,1,JB_EX,"P-8a",JB_CC,"Hull, Mechanical, and Electrical",JB_H,"DDG",JB_CE,"INTERIM SPARES",JB_RC,"ALT")</f>
        <v/>
      </c>
      <c r="D46" s="37">
        <f>IFERROR(C46/C$80,0)</f>
        <v/>
      </c>
    </row>
    <row r="47" ht="10" customHeight="1">
      <c r="A47" s="30" t="inlineStr">
        <is>
          <t>RIGID HULL INFLATABLE BOAT (RHIB)</t>
        </is>
      </c>
      <c r="B47" s="26" t="inlineStr">
        <is>
          <t>Hull, Mechanical, and Electrical</t>
        </is>
      </c>
      <c r="C47" s="49">
        <f>SUMIFS(JB_26BV,JB_B,1,JB_EX,"P-8a",JB_CC,"Hull, Mechanical, and Electrical",JB_H,"DDG",JB_CE,"RIGID HULL INFLATABLE BOAT (RHIB)",JB_RC,"ALT")</f>
        <v/>
      </c>
      <c r="D47" s="37">
        <f>IFERROR(C47/C$80,0)</f>
        <v/>
      </c>
    </row>
    <row r="48" ht="10" customHeight="1">
      <c r="A48" s="30" t="inlineStr">
        <is>
          <t>VERTICAL LAUNCHING SYSTEM (VLS) MK 57 4-CELL MODULES</t>
        </is>
      </c>
      <c r="B48" s="26" t="inlineStr">
        <is>
          <t>Electronics</t>
        </is>
      </c>
      <c r="C48" s="49">
        <f>SUMIFS(JB_26BV,JB_B,1,JB_EX,"P-8a",JB_CC,"Electronics",JB_H,"DDG",JB_CE,"VERTICAL LAUNCHING SYSTEM (VLS) MK 57 4-CELL MODULES",JB_RC,"ALT")</f>
        <v/>
      </c>
      <c r="D48" s="37">
        <f>IFERROR(C48/C$80,0)</f>
        <v/>
      </c>
    </row>
    <row r="49" ht="10" customHeight="1">
      <c r="A49" s="30" t="inlineStr">
        <is>
          <t>MULTI FUNCTION RADAR (MFR)</t>
        </is>
      </c>
      <c r="B49" s="26" t="inlineStr">
        <is>
          <t>Electronics</t>
        </is>
      </c>
      <c r="C49" s="49">
        <f>SUMIFS(JB_26BV,JB_B,1,JB_EX,"P-8a",JB_CC,"Electronics",JB_H,"DDG",JB_CE,"MULTI FUNCTION RADAR (MFR)",JB_RC,"ALT")</f>
        <v/>
      </c>
      <c r="D49" s="37">
        <f>IFERROR(C49/C$80,0)</f>
        <v/>
      </c>
    </row>
    <row r="50" ht="10" customHeight="1">
      <c r="A50" s="30" t="inlineStr">
        <is>
          <t>TOTAL SHIP COMPUTING ENVIRONMENT (TSCE)</t>
        </is>
      </c>
      <c r="B50" s="26" t="inlineStr">
        <is>
          <t>Electronics</t>
        </is>
      </c>
      <c r="C50" s="49">
        <f>SUMIFS(JB_26BV,JB_B,1,JB_EX,"P-8a",JB_CC,"Electronics",JB_H,"DDG",JB_CE,"TOTAL SHIP COMPUTING ENVIRONMENT (TSCE)",JB_RC,"ALT")</f>
        <v/>
      </c>
      <c r="D50" s="37">
        <f>IFERROR(C50/C$80,0)</f>
        <v/>
      </c>
    </row>
    <row r="51" ht="10" customHeight="1">
      <c r="A51" s="30" t="inlineStr">
        <is>
          <t>AN/SLQ-32 SEWIP V(7)</t>
        </is>
      </c>
      <c r="B51" s="26" t="inlineStr">
        <is>
          <t>Electronics</t>
        </is>
      </c>
      <c r="C51" s="49">
        <f>SUMIFS(JB_26BV,JB_B,1,JB_EX,"P-8a",JB_CC,"Electronics",JB_H,"DDG",JB_CE,"AN/SLQ-32 SEWIP V(7)",JB_RC,"ALT")</f>
        <v/>
      </c>
      <c r="D51" s="37">
        <f>IFERROR(C51/C$80,0)</f>
        <v/>
      </c>
    </row>
    <row r="52" ht="10" customHeight="1">
      <c r="A52" s="30" t="inlineStr">
        <is>
          <t>EXCOMM</t>
        </is>
      </c>
      <c r="B52" s="26" t="inlineStr">
        <is>
          <t>Electronics</t>
        </is>
      </c>
      <c r="C52" s="49">
        <f>SUMIFS(JB_26BV,JB_B,1,JB_EX,"P-8a",JB_CC,"Electronics",JB_H,"DDG",JB_CE,"EXCOMM",JB_RC,"ALT")</f>
        <v/>
      </c>
      <c r="D52" s="37">
        <f>IFERROR(C52/C$80,0)</f>
        <v/>
      </c>
    </row>
    <row r="53" ht="10" customHeight="1">
      <c r="A53" s="30" t="inlineStr">
        <is>
          <t>SQQ 89 ASW</t>
        </is>
      </c>
      <c r="B53" s="26" t="inlineStr">
        <is>
          <t>Electronics</t>
        </is>
      </c>
      <c r="C53" s="49">
        <f>SUMIFS(JB_26BV,JB_B,1,JB_EX,"P-8a",JB_CC,"Electronics",JB_H,"DDG",JB_CE,"SQQ 89 ASW",JB_RC,"ALT")</f>
        <v/>
      </c>
      <c r="D53" s="37">
        <f>IFERROR(C53/C$80,0)</f>
        <v/>
      </c>
    </row>
    <row r="54" ht="10" customHeight="1">
      <c r="A54" s="30" t="inlineStr">
        <is>
          <t>MISSION SYSTEM ENGR INTEGR &amp; TEST (MSEIT)</t>
        </is>
      </c>
      <c r="B54" s="26" t="inlineStr">
        <is>
          <t>Electronics</t>
        </is>
      </c>
      <c r="C54" s="49">
        <f>SUMIFS(JB_26BV,JB_B,1,JB_EX,"P-8a",JB_CC,"Electronics",JB_H,"DDG",JB_CE,"MISSION SYSTEM ENGR INTEGR &amp; TEST (MSEIT)",JB_RC,"ALT")</f>
        <v/>
      </c>
      <c r="D54" s="37">
        <f>IFERROR(C54/C$80,0)</f>
        <v/>
      </c>
    </row>
    <row r="55" ht="10" customHeight="1">
      <c r="A55" s="30" t="inlineStr">
        <is>
          <t>MISSION SYSTEM ACTIVATION</t>
        </is>
      </c>
      <c r="B55" s="26" t="inlineStr">
        <is>
          <t>Electronics</t>
        </is>
      </c>
      <c r="C55" s="49">
        <f>SUMIFS(JB_26BV,JB_B,1,JB_EX,"P-8a",JB_CC,"Electronics",JB_H,"DDG",JB_CE,"MISSION SYSTEM ACTIVATION",JB_RC,"ALT")</f>
        <v/>
      </c>
      <c r="D55" s="37">
        <f>IFERROR(C55/C$80,0)</f>
        <v/>
      </c>
    </row>
    <row r="56" ht="10" customHeight="1">
      <c r="A56" s="30" t="inlineStr">
        <is>
          <t>SHIP CONTROL SYSTEM (SCS)</t>
        </is>
      </c>
      <c r="B56" s="26" t="inlineStr">
        <is>
          <t>Electronics</t>
        </is>
      </c>
      <c r="C56" s="49">
        <f>SUMIFS(JB_26BV,JB_B,1,JB_EX,"P-8a",JB_CC,"Electronics",JB_H,"DDG",JB_CE,"SHIP CONTROL SYSTEM (SCS)",JB_RC,"ALT")</f>
        <v/>
      </c>
      <c r="D56" s="37">
        <f>IFERROR(C56/C$80,0)</f>
        <v/>
      </c>
    </row>
    <row r="57" ht="10" customHeight="1">
      <c r="A57" s="30" t="inlineStr">
        <is>
          <t>INTEGRATED UNDERSEA WARFARE (IUSW) SYSTEM</t>
        </is>
      </c>
      <c r="B57" s="26" t="inlineStr">
        <is>
          <t>Electronics</t>
        </is>
      </c>
      <c r="C57" s="49">
        <f>SUMIFS(JB_26BV,JB_B,1,JB_EX,"P-8a",JB_CC,"Electronics",JB_H,"DDG",JB_CE,"INTEGRATED UNDERSEA WARFARE (IUSW) SYSTEM",JB_RC,"ALT")</f>
        <v/>
      </c>
      <c r="D57" s="37">
        <f>IFERROR(C57/C$80,0)</f>
        <v/>
      </c>
    </row>
    <row r="58" ht="10" customHeight="1">
      <c r="A58" s="30" t="inlineStr">
        <is>
          <t>MISC. ELECTRONICS</t>
        </is>
      </c>
      <c r="B58" s="26" t="inlineStr">
        <is>
          <t>Electronics</t>
        </is>
      </c>
      <c r="C58" s="49">
        <f>SUMIFS(JB_26BV,JB_B,1,JB_EX,"P-8a",JB_CC,"Electronics",JB_H,"DDG",JB_CE,"MISC. ELECTRONICS",JB_RC,"ALT")</f>
        <v/>
      </c>
      <c r="D58" s="37">
        <f>IFERROR(C58/C$80,0)</f>
        <v/>
      </c>
    </row>
    <row r="59" ht="10" customHeight="1">
      <c r="A59" s="30" t="inlineStr">
        <is>
          <t>EXTERIOR COMMUNICATIONS (EXCOMMS)</t>
        </is>
      </c>
      <c r="B59" s="26" t="inlineStr">
        <is>
          <t>Electronics</t>
        </is>
      </c>
      <c r="C59" s="49">
        <f>SUMIFS(JB_26BV,JB_B,1,JB_EX,"P-8a",JB_CC,"Electronics",JB_H,"DDG",JB_CE,"EXTERIOR COMMUNICATIONS (EXCOMMS)",JB_RC,"ALT")</f>
        <v/>
      </c>
      <c r="D59" s="37">
        <f>IFERROR(C59/C$80,0)</f>
        <v/>
      </c>
    </row>
    <row r="60" ht="10" customHeight="1">
      <c r="A60" s="30" t="inlineStr">
        <is>
          <t>SPECTRAL</t>
        </is>
      </c>
      <c r="B60" s="26" t="inlineStr">
        <is>
          <t>Electronics</t>
        </is>
      </c>
      <c r="C60" s="49">
        <f>SUMIFS(JB_26BV,JB_B,1,JB_EX,"P-8a",JB_CC,"Electronics",JB_H,"DDG",JB_CE,"SPECTRAL",JB_RC,"ALT")</f>
        <v/>
      </c>
      <c r="D60" s="37">
        <f>IFERROR(C60/C$80,0)</f>
        <v/>
      </c>
    </row>
    <row r="61" ht="10" customHeight="1">
      <c r="A61" s="30" t="inlineStr">
        <is>
          <t>DDG 1002 TSCE MODERNIZATION</t>
        </is>
      </c>
      <c r="B61" s="26" t="inlineStr">
        <is>
          <t>Electronics</t>
        </is>
      </c>
      <c r="C61" s="49">
        <f>SUMIFS(JB_26BV,JB_B,1,JB_EX,"P-8a",JB_CC,"Electronics",JB_H,"DDG",JB_CE,"DDG 1002 TSCE MODERNIZATION",JB_RC,"ALT")</f>
        <v/>
      </c>
      <c r="D61" s="37">
        <f>IFERROR(C61/C$80,0)</f>
        <v/>
      </c>
    </row>
    <row r="62" ht="10" customHeight="1">
      <c r="A62" s="30" t="inlineStr">
        <is>
          <t>USQ 82(V) GEDMS</t>
        </is>
      </c>
      <c r="B62" s="26" t="inlineStr">
        <is>
          <t>Electronics</t>
        </is>
      </c>
      <c r="C62" s="49">
        <f>SUMIFS(JB_26BV,JB_B,1,JB_EX,"P-8a",JB_CC,"Electronics",JB_H,"DDG",JB_CE,"USQ 82(V) GEDMS",JB_RC,"ALT")</f>
        <v/>
      </c>
      <c r="D62" s="37">
        <f>IFERROR(C62/C$80,0)</f>
        <v/>
      </c>
    </row>
    <row r="63" ht="10" customHeight="1">
      <c r="A63" s="30" t="inlineStr">
        <is>
          <t>ELECTRO-OPTICAL / INFRARED (EO/IR)</t>
        </is>
      </c>
      <c r="B63" s="26" t="inlineStr">
        <is>
          <t>Electronics</t>
        </is>
      </c>
      <c r="C63" s="49">
        <f>SUMIFS(JB_26BV,JB_B,1,JB_EX,"P-8a",JB_CC,"Electronics",JB_H,"DDG",JB_CE,"ELECTRO-OPTICAL / INFRARED (EO/IR)",JB_RC,"ALT")</f>
        <v/>
      </c>
      <c r="D63" s="37">
        <f>IFERROR(C63/C$80,0)</f>
        <v/>
      </c>
    </row>
    <row r="64" ht="10" customHeight="1">
      <c r="A64" s="30" t="inlineStr">
        <is>
          <t>IDENTIFICATION FRIEND OR FOE (IFF)</t>
        </is>
      </c>
      <c r="B64" s="26" t="inlineStr">
        <is>
          <t>Electronics</t>
        </is>
      </c>
      <c r="C64" s="49">
        <f>SUMIFS(JB_26BV,JB_B,1,JB_EX,"P-8a",JB_CC,"Electronics",JB_H,"DDG",JB_CE,"IDENTIFICATION FRIEND OR FOE (IFF)",JB_RC,"ALT")</f>
        <v/>
      </c>
      <c r="D64" s="37">
        <f>IFERROR(C64/C$80,0)</f>
        <v/>
      </c>
    </row>
    <row r="65" ht="10" customHeight="1">
      <c r="A65" s="30" t="inlineStr">
        <is>
          <t>DDG 1002 UNIVERSAL CANISTER ELECTRICAL UNITS (UCEU)</t>
        </is>
      </c>
      <c r="B65" s="26" t="inlineStr">
        <is>
          <t>Electronics</t>
        </is>
      </c>
      <c r="C65" s="49">
        <f>SUMIFS(JB_26BV,JB_B,1,JB_EX,"P-8a",JB_CC,"Electronics",JB_H,"DDG",JB_CE,"DDG 1002 UNIVERSAL CANISTER ELECTRICAL UNITS (UCEU)",JB_RC,"ALT")</f>
        <v/>
      </c>
      <c r="D65" s="37">
        <f>IFERROR(C65/C$80,0)</f>
        <v/>
      </c>
    </row>
    <row r="66" ht="10" customHeight="1">
      <c r="A66" s="30" t="inlineStr">
        <is>
          <t>AN/UPX 29(V) IFF and TACAN</t>
        </is>
      </c>
      <c r="B66" s="26" t="inlineStr">
        <is>
          <t>Electronics</t>
        </is>
      </c>
      <c r="C66" s="49">
        <f>SUMIFS(JB_26BV,JB_B,1,JB_EX,"P-8a",JB_CC,"Electronics",JB_H,"DDG",JB_CE,"AN/UPX 29(V) IFF and TACAN",JB_RC,"ALT")</f>
        <v/>
      </c>
      <c r="D66" s="37">
        <f>IFERROR(C66/C$80,0)</f>
        <v/>
      </c>
    </row>
    <row r="67" ht="10" customHeight="1">
      <c r="A67" s="30" t="inlineStr">
        <is>
          <t>SRQ 4 LAMPS III</t>
        </is>
      </c>
      <c r="B67" s="26" t="inlineStr">
        <is>
          <t>Electronics</t>
        </is>
      </c>
      <c r="C67" s="49">
        <f>SUMIFS(JB_26BV,JB_B,1,JB_EX,"P-8a",JB_CC,"Electronics",JB_H,"DDG",JB_CE,"SRQ 4 LAMPS III",JB_RC,"ALT")</f>
        <v/>
      </c>
      <c r="D67" s="37">
        <f>IFERROR(C67/C$80,0)</f>
        <v/>
      </c>
    </row>
    <row r="68" ht="10" customHeight="1">
      <c r="A68" s="30" t="inlineStr">
        <is>
          <t>CEC</t>
        </is>
      </c>
      <c r="B68" s="26" t="inlineStr">
        <is>
          <t>Electronics</t>
        </is>
      </c>
      <c r="C68" s="49">
        <f>SUMIFS(JB_26BV,JB_B,1,JB_EX,"P-8a",JB_CC,"Electronics",JB_H,"DDG",JB_CE,"CEC",JB_RC,"ALT")</f>
        <v/>
      </c>
      <c r="D68" s="37">
        <f>IFERROR(C68/C$80,0)</f>
        <v/>
      </c>
    </row>
    <row r="69" ht="10" customHeight="1">
      <c r="A69" s="30" t="inlineStr">
        <is>
          <t>SURFACE ELECTRONIC WARFARE IMPROVEMENT PROGRAM (SEWIP)</t>
        </is>
      </c>
      <c r="B69" s="26" t="inlineStr">
        <is>
          <t>Electronics</t>
        </is>
      </c>
      <c r="C69" s="49">
        <f>SUMIFS(JB_26BV,JB_B,1,JB_EX,"P-8a",JB_CC,"Electronics",JB_H,"DDG",JB_CE,"SURFACE ELECTRONIC WARFARE IMPROVEMENT PROGRAM (SEWIP)",JB_RC,"ALT")</f>
        <v/>
      </c>
      <c r="D69" s="37">
        <f>IFERROR(C69/C$80,0)</f>
        <v/>
      </c>
    </row>
    <row r="70" ht="10" customHeight="1">
      <c r="A70" s="30" t="inlineStr">
        <is>
          <t>COMMON ARRAY POWER SYSTEM (CAPS)</t>
        </is>
      </c>
      <c r="B70" s="26" t="inlineStr">
        <is>
          <t>Electronics</t>
        </is>
      </c>
      <c r="C70" s="49">
        <f>SUMIFS(JB_26BV,JB_B,1,JB_EX,"P-8a",JB_CC,"Electronics",JB_H,"DDG",JB_CE,"COMMON ARRAY POWER SYSTEM (CAPS)",JB_RC,"ALT")</f>
        <v/>
      </c>
      <c r="D70" s="37">
        <f>IFERROR(C70/C$80,0)</f>
        <v/>
      </c>
    </row>
    <row r="71" ht="10" customHeight="1">
      <c r="A71" s="30" t="inlineStr">
        <is>
          <t>NAVIGATION SYSTEM</t>
        </is>
      </c>
      <c r="B71" s="26" t="inlineStr">
        <is>
          <t>Electronics</t>
        </is>
      </c>
      <c r="C71" s="49">
        <f>SUMIFS(JB_26BV,JB_B,1,JB_EX,"P-8a",JB_CC,"Electronics",JB_H,"DDG",JB_CE,"NAVIGATION SYSTEM",JB_RC,"ALT")</f>
        <v/>
      </c>
      <c r="D71" s="37">
        <f>IFERROR(C71/C$80,0)</f>
        <v/>
      </c>
    </row>
    <row r="72" ht="10" customHeight="1">
      <c r="A72" s="30" t="inlineStr">
        <is>
          <t>MIDS</t>
        </is>
      </c>
      <c r="B72" s="26" t="inlineStr">
        <is>
          <t>Electronics</t>
        </is>
      </c>
      <c r="C72" s="49">
        <f>SUMIFS(JB_26BV,JB_B,1,JB_EX,"P-8a",JB_CC,"Electronics",JB_H,"DDG",JB_CE,"MIDS",JB_RC,"ALT")</f>
        <v/>
      </c>
      <c r="D72" s="37">
        <f>IFERROR(C72/C$80,0)</f>
        <v/>
      </c>
    </row>
    <row r="73" ht="10" customHeight="1">
      <c r="A73" s="30" t="inlineStr">
        <is>
          <t>SLQ 25 NIXIE</t>
        </is>
      </c>
      <c r="B73" s="26" t="inlineStr">
        <is>
          <t>Electronics</t>
        </is>
      </c>
      <c r="C73" s="49">
        <f>SUMIFS(JB_26BV,JB_B,1,JB_EX,"P-8a",JB_CC,"Electronics",JB_H,"DDG",JB_CE,"SLQ 25 NIXIE",JB_RC,"ALT")</f>
        <v/>
      </c>
      <c r="D73" s="37">
        <f>IFERROR(C73/C$80,0)</f>
        <v/>
      </c>
    </row>
    <row r="74" ht="10" customHeight="1">
      <c r="A74" s="30" t="inlineStr">
        <is>
          <t>NGSSR</t>
        </is>
      </c>
      <c r="B74" s="26" t="inlineStr">
        <is>
          <t>Electronics</t>
        </is>
      </c>
      <c r="C74" s="49">
        <f>SUMIFS(JB_26BV,JB_B,1,JB_EX,"P-8a",JB_CC,"Electronics",JB_H,"DDG",JB_CE,"NGSSR",JB_RC,"ALT")</f>
        <v/>
      </c>
      <c r="D74" s="37">
        <f>IFERROR(C74/C$80,0)</f>
        <v/>
      </c>
    </row>
    <row r="75" ht="10" customHeight="1">
      <c r="A75" s="30" t="inlineStr">
        <is>
          <t>COOPERATIVE ENGAGEMENT CAPABILITY (CEC)</t>
        </is>
      </c>
      <c r="B75" s="26" t="inlineStr">
        <is>
          <t>Electronics</t>
        </is>
      </c>
      <c r="C75" s="49">
        <f>SUMIFS(JB_26BV,JB_B,1,JB_EX,"P-8a",JB_CC,"Electronics",JB_H,"DDG",JB_CE,"COOPERATIVE ENGAGEMENT CAPABILITY (CEC)",JB_RC,"ALT")</f>
        <v/>
      </c>
      <c r="D75" s="37">
        <f>IFERROR(C75/C$80,0)</f>
        <v/>
      </c>
    </row>
    <row r="76" ht="10" customHeight="1">
      <c r="A76" s="30" t="inlineStr">
        <is>
          <t>MK 53 NULKA</t>
        </is>
      </c>
      <c r="B76" s="26" t="inlineStr">
        <is>
          <t>Electronics</t>
        </is>
      </c>
      <c r="C76" s="49">
        <f>SUMIFS(JB_26BV,JB_B,1,JB_EX,"P-8a",JB_CC,"Electronics",JB_H,"DDG",JB_CE,"MK 53 NULKA",JB_RC,"ALT")</f>
        <v/>
      </c>
      <c r="D76" s="37">
        <f>IFERROR(C76/C$80,0)</f>
        <v/>
      </c>
    </row>
    <row r="77" ht="10" customHeight="1">
      <c r="A77" s="30" t="inlineStr">
        <is>
          <t>TSA ANTENNA</t>
        </is>
      </c>
      <c r="B77" s="26" t="inlineStr">
        <is>
          <t>Electronics</t>
        </is>
      </c>
      <c r="C77" s="49">
        <f>SUMIFS(JB_26BV,JB_B,1,JB_EX,"P-8a",JB_CC,"Electronics",JB_H,"DDG",JB_CE,"TSA ANTENNA",JB_RC,"ALT")</f>
        <v/>
      </c>
      <c r="D77" s="37">
        <f>IFERROR(C77/C$80,0)</f>
        <v/>
      </c>
    </row>
    <row r="78" ht="10" customHeight="1">
      <c r="A78" s="30" t="inlineStr">
        <is>
          <t>SPARES</t>
        </is>
      </c>
      <c r="B78" s="26" t="inlineStr">
        <is>
          <t>Electronics</t>
        </is>
      </c>
      <c r="C78" s="49">
        <f>SUMIFS(JB_26BV,JB_B,1,JB_EX,"P-8a",JB_CC,"Electronics",JB_H,"DDG",JB_CE,"SPARES",JB_RC,"ALT")</f>
        <v/>
      </c>
      <c r="D78" s="37">
        <f>IFERROR(C78/C$80,0)</f>
        <v/>
      </c>
    </row>
    <row r="79" ht="10" customHeight="1">
      <c r="A79" s="30" t="inlineStr">
        <is>
          <t>COMMON ARRAY COOLING SYSTEM (CACS)</t>
        </is>
      </c>
      <c r="B79" s="26" t="inlineStr">
        <is>
          <t>Electronics</t>
        </is>
      </c>
      <c r="C79" s="49">
        <f>SUMIFS(JB_26BV,JB_B,1,JB_EX,"P-8a",JB_CC,"Electronics",JB_H,"DDG",JB_CE,"COMMON ARRAY COOLING SYSTEM (CACS)",JB_RC,"ALT")</f>
        <v/>
      </c>
      <c r="D79" s="37">
        <f>IFERROR(C79/C$80,0)</f>
        <v/>
      </c>
    </row>
    <row r="80" ht="10" customHeight="1">
      <c r="A80" s="32" t="inlineStr">
        <is>
          <t>DDG Total</t>
        </is>
      </c>
      <c r="B80" s="34" t="n"/>
      <c r="C80" s="33">
        <f>SUM(C22:C79)</f>
        <v/>
      </c>
      <c r="D80" s="38" t="n">
        <v>1</v>
      </c>
    </row>
    <row r="81" ht="10" customHeight="1"/>
    <row r="82" ht="10" customHeight="1">
      <c r="A82" s="46" t="inlineStr">
        <is>
          <t>LHA (Amphibious Warfare Ships)</t>
        </is>
      </c>
      <c r="B82" s="39" t="n"/>
      <c r="C82" s="39" t="n"/>
      <c r="D82" s="39" t="n"/>
    </row>
    <row r="83" ht="10" customHeight="1">
      <c r="A83" s="29" t="inlineStr">
        <is>
          <t>System</t>
        </is>
      </c>
      <c r="B83" s="29" t="inlineStr">
        <is>
          <t>Cost Category</t>
        </is>
      </c>
      <c r="C83" s="29" t="inlineStr">
        <is>
          <t>FY2026 ($K)</t>
        </is>
      </c>
      <c r="D83" s="29" t="inlineStr">
        <is>
          <t>% of Hull</t>
        </is>
      </c>
    </row>
    <row r="84" ht="10" customHeight="1">
      <c r="A84" s="30" t="inlineStr">
        <is>
          <t>Enterprise Air Surveillance Radar (EASR)</t>
        </is>
      </c>
      <c r="B84" s="26" t="inlineStr">
        <is>
          <t>Ordnance</t>
        </is>
      </c>
      <c r="C84" s="49">
        <f>SUMIFS(JB_26BV,JB_B,1,JB_EX,"P-8a",JB_CC,"Ordnance",JB_H,"LHA",JB_CE,"Enterprise Air Surveillance Radar (EASR)",JB_RC,"ALT")</f>
        <v/>
      </c>
      <c r="D84" s="37">
        <f>IFERROR(C84/C$123,0)</f>
        <v/>
      </c>
    </row>
    <row r="85" ht="10" customHeight="1">
      <c r="A85" s="30" t="inlineStr">
        <is>
          <t>NATO Sea Sparrow Missile System (NSSMS) MK 57 Mod 14</t>
        </is>
      </c>
      <c r="B85" s="26" t="inlineStr">
        <is>
          <t>Ordnance</t>
        </is>
      </c>
      <c r="C85" s="49">
        <f>SUMIFS(JB_26BV,JB_B,1,JB_EX,"P-8a",JB_CC,"Ordnance",JB_H,"LHA",JB_CE,"NATO Sea Sparrow Missile System (NSSMS) MK 57 Mod 14",JB_RC,"ALT")</f>
        <v/>
      </c>
      <c r="D85" s="37">
        <f>IFERROR(C85/C$123,0)</f>
        <v/>
      </c>
    </row>
    <row r="86" ht="10" customHeight="1">
      <c r="A86" s="30" t="inlineStr">
        <is>
          <t>MK31 Mod 3, Rolling Airframe Missile (RAM) (Tech Refresh)</t>
        </is>
      </c>
      <c r="B86" s="26" t="inlineStr">
        <is>
          <t>Ordnance</t>
        </is>
      </c>
      <c r="C86" s="49">
        <f>SUMIFS(JB_26BV,JB_B,1,JB_EX,"P-8a",JB_CC,"Ordnance",JB_H,"LHA",JB_CE,"MK31 Mod 3, Rolling Airframe Missile (RAM) (Tech Refresh)",JB_RC,"ALT")</f>
        <v/>
      </c>
      <c r="D86" s="37">
        <f>IFERROR(C86/C$123,0)</f>
        <v/>
      </c>
    </row>
    <row r="87" ht="10" customHeight="1">
      <c r="A87" s="30" t="inlineStr">
        <is>
          <t>PHALANX Block 1B MK15 Mod 21 &amp; 22, Close-in Weapon System (CIWS)</t>
        </is>
      </c>
      <c r="B87" s="26" t="inlineStr">
        <is>
          <t>Ordnance</t>
        </is>
      </c>
      <c r="C87" s="49">
        <f>SUMIFS(JB_26BV,JB_B,1,JB_EX,"P-8a",JB_CC,"Ordnance",JB_H,"LHA",JB_CE,"PHALANX Block 1B MK15 Mod 21 &amp; 22, Close-in Weapon System (CIWS)",JB_RC,"ALT")</f>
        <v/>
      </c>
      <c r="D87" s="37">
        <f>IFERROR(C87/C$123,0)</f>
        <v/>
      </c>
    </row>
    <row r="88" ht="10" customHeight="1">
      <c r="A88" s="30" t="inlineStr">
        <is>
          <t>Vertical/Stationary Take-Off Landing Optical Landing System (VSTOL OLS)</t>
        </is>
      </c>
      <c r="B88" s="26" t="inlineStr">
        <is>
          <t>Ordnance</t>
        </is>
      </c>
      <c r="C88" s="49">
        <f>SUMIFS(JB_26BV,JB_B,1,JB_EX,"P-8a",JB_CC,"Ordnance",JB_H,"LHA",JB_CE,"Vertical/Stationary Take-Off Landing Optical Landing System (VSTOL OLS)",JB_RC,"ALT")</f>
        <v/>
      </c>
      <c r="D88" s="37">
        <f>IFERROR(C88/C$123,0)</f>
        <v/>
      </c>
    </row>
    <row r="89" ht="10" customHeight="1">
      <c r="A89" s="30" t="inlineStr">
        <is>
          <t>Aviation Support</t>
        </is>
      </c>
      <c r="B89" s="26" t="inlineStr">
        <is>
          <t>Ordnance</t>
        </is>
      </c>
      <c r="C89" s="49">
        <f>SUMIFS(JB_26BV,JB_B,1,JB_EX,"P-8a",JB_CC,"Ordnance",JB_H,"LHA",JB_CE,"Aviation Support",JB_RC,"ALT")</f>
        <v/>
      </c>
      <c r="D89" s="37">
        <f>IFERROR(C89/C$123,0)</f>
        <v/>
      </c>
    </row>
    <row r="90" ht="10" customHeight="1">
      <c r="A90" s="30" t="inlineStr">
        <is>
          <t>AN/SPQ-9B Radar Set</t>
        </is>
      </c>
      <c r="B90" s="26" t="inlineStr">
        <is>
          <t>Ordnance</t>
        </is>
      </c>
      <c r="C90" s="49">
        <f>SUMIFS(JB_26BV,JB_B,1,JB_EX,"P-8a",JB_CC,"Ordnance",JB_H,"LHA",JB_CE,"AN/SPQ-9B Radar Set",JB_RC,"ALT")</f>
        <v/>
      </c>
      <c r="D90" s="37">
        <f>IFERROR(C90/C$123,0)</f>
        <v/>
      </c>
    </row>
    <row r="91" ht="10" customHeight="1">
      <c r="A91" s="30" t="inlineStr">
        <is>
          <t>MK 38 Mod 2 Stabilized Gun Stand Assembly</t>
        </is>
      </c>
      <c r="B91" s="26" t="inlineStr">
        <is>
          <t>Ordnance</t>
        </is>
      </c>
      <c r="C91" s="49">
        <f>SUMIFS(JB_26BV,JB_B,1,JB_EX,"P-8a",JB_CC,"Ordnance",JB_H,"LHA",JB_CE,"MK 38 Mod 2 Stabilized Gun Stand Assembly",JB_RC,"ALT")</f>
        <v/>
      </c>
      <c r="D91" s="37">
        <f>IFERROR(C91/C$123,0)</f>
        <v/>
      </c>
    </row>
    <row r="92" ht="10" customHeight="1">
      <c r="A92" s="30" t="inlineStr">
        <is>
          <t>Miscellaneous Ordnance</t>
        </is>
      </c>
      <c r="B92" s="26" t="inlineStr">
        <is>
          <t>Ordnance</t>
        </is>
      </c>
      <c r="C92" s="49">
        <f>SUMIFS(JB_26BV,JB_B,1,JB_EX,"P-8a",JB_CC,"Ordnance",JB_H,"LHA",JB_CE,"Miscellaneous Ordnance",JB_RC,"ALT")</f>
        <v/>
      </c>
      <c r="D92" s="37">
        <f>IFERROR(C92/C$123,0)</f>
        <v/>
      </c>
    </row>
    <row r="93" ht="10" customHeight="1">
      <c r="A93" s="30" t="inlineStr">
        <is>
          <t>MORIAH</t>
        </is>
      </c>
      <c r="B93" s="26" t="inlineStr">
        <is>
          <t>Ordnance</t>
        </is>
      </c>
      <c r="C93" s="49">
        <f>SUMIFS(JB_26BV,JB_B,1,JB_EX,"P-8a",JB_CC,"Ordnance",JB_H,"LHA",JB_CE,"MORIAH",JB_RC,"ALT")</f>
        <v/>
      </c>
      <c r="D93" s="37">
        <f>IFERROR(C93/C$123,0)</f>
        <v/>
      </c>
    </row>
    <row r="94" ht="10" customHeight="1">
      <c r="A94" s="30" t="inlineStr">
        <is>
          <t>AN/SPQ-14</t>
        </is>
      </c>
      <c r="B94" s="26" t="inlineStr">
        <is>
          <t>Ordnance</t>
        </is>
      </c>
      <c r="C94" s="49">
        <f>SUMIFS(JB_26BV,JB_B,1,JB_EX,"P-8a",JB_CC,"Ordnance",JB_H,"LHA",JB_CE,"AN/SPQ-14",JB_RC,"ALT")</f>
        <v/>
      </c>
      <c r="D94" s="37">
        <f>IFERROR(C94/C$123,0)</f>
        <v/>
      </c>
    </row>
    <row r="95" ht="10" customHeight="1">
      <c r="A95" s="30" t="inlineStr">
        <is>
          <t>Equipment &amp; Engineering</t>
        </is>
      </c>
      <c r="B95" s="26" t="inlineStr">
        <is>
          <t>Hull, Mechanical, and Electrical</t>
        </is>
      </c>
      <c r="C95" s="49">
        <f>SUMIFS(JB_26BV,JB_B,1,JB_EX,"P-8a",JB_CC,"Hull, Mechanical, and Electrical",JB_H,"LHA",JB_CE,"Equipment &amp; Engineering",JB_RC,"ALT")</f>
        <v/>
      </c>
      <c r="D95" s="37">
        <f>IFERROR(C95/C$123,0)</f>
        <v/>
      </c>
    </row>
    <row r="96" ht="10" customHeight="1">
      <c r="A96" s="30" t="inlineStr">
        <is>
          <t>Test &amp; Instrumentation</t>
        </is>
      </c>
      <c r="B96" s="26" t="inlineStr">
        <is>
          <t>Hull, Mechanical, and Electrical</t>
        </is>
      </c>
      <c r="C96" s="49">
        <f>SUMIFS(JB_26BV,JB_B,1,JB_EX,"P-8a",JB_CC,"Hull, Mechanical, and Electrical",JB_H,"LHA",JB_CE,"Test &amp; Instrumentation",JB_RC,"ALT")</f>
        <v/>
      </c>
      <c r="D96" s="37">
        <f>IFERROR(C96/C$123,0)</f>
        <v/>
      </c>
    </row>
    <row r="97" ht="10" customHeight="1">
      <c r="A97" s="30" t="inlineStr">
        <is>
          <t>SUPSHIP Material/Services</t>
        </is>
      </c>
      <c r="B97" s="26" t="inlineStr">
        <is>
          <t>Hull, Mechanical, and Electrical</t>
        </is>
      </c>
      <c r="C97" s="49">
        <f>SUMIFS(JB_26BV,JB_B,1,JB_EX,"P-8a",JB_CC,"Hull, Mechanical, and Electrical",JB_H,"LHA",JB_CE,"SUPSHIP Material/Services",JB_RC,"ALT")</f>
        <v/>
      </c>
      <c r="D97" s="37">
        <f>IFERROR(C97/C$123,0)</f>
        <v/>
      </c>
    </row>
    <row r="98" ht="10" customHeight="1">
      <c r="A98" s="30" t="inlineStr">
        <is>
          <t>Command, Control, Communication, Computer Intelligence Surveillance and Reconnaissance (C4ISR)</t>
        </is>
      </c>
      <c r="B98" s="26" t="inlineStr">
        <is>
          <t>Electronics</t>
        </is>
      </c>
      <c r="C98" s="49">
        <f>SUMIFS(JB_26BV,JB_B,1,JB_EX,"P-8a",JB_CC,"Electronics",JB_H,"LHA",JB_CE,"Command, Control, Communication, Computer Intelligence Surveillance and Reconnaissance (C4ISR)",JB_RC,"ALT")</f>
        <v/>
      </c>
      <c r="D98" s="37">
        <f>IFERROR(C98/C$123,0)</f>
        <v/>
      </c>
    </row>
    <row r="99" ht="10" customHeight="1">
      <c r="A99" s="30" t="inlineStr">
        <is>
          <t>MK 2 MOD 4E Ship Self Defense System (SSDS)</t>
        </is>
      </c>
      <c r="B99" s="26" t="inlineStr">
        <is>
          <t>Electronics</t>
        </is>
      </c>
      <c r="C99" s="49">
        <f>SUMIFS(JB_26BV,JB_B,1,JB_EX,"P-8a",JB_CC,"Electronics",JB_H,"LHA",JB_CE,"MK 2 MOD 4E Ship Self Defense System (SSDS)",JB_RC,"ALT")</f>
        <v/>
      </c>
      <c r="D99" s="37">
        <f>IFERROR(C99/C$123,0)</f>
        <v/>
      </c>
    </row>
    <row r="100" ht="10" customHeight="1">
      <c r="A100" s="30" t="inlineStr">
        <is>
          <t>AN/SPN-50 (V)1</t>
        </is>
      </c>
      <c r="B100" s="26" t="inlineStr">
        <is>
          <t>Electronics</t>
        </is>
      </c>
      <c r="C100" s="49">
        <f>SUMIFS(JB_26BV,JB_B,1,JB_EX,"P-8a",JB_CC,"Electronics",JB_H,"LHA",JB_CE,"AN/SPN-50 (V)1",JB_RC,"ALT")</f>
        <v/>
      </c>
      <c r="D100" s="37">
        <f>IFERROR(C100/C$123,0)</f>
        <v/>
      </c>
    </row>
    <row r="101" ht="10" customHeight="1">
      <c r="A101" s="30" t="inlineStr">
        <is>
          <t>AN/SLQ-32(V), Surface Warfare Improvement Program (SEWIP)</t>
        </is>
      </c>
      <c r="B101" s="26" t="inlineStr">
        <is>
          <t>Electronics</t>
        </is>
      </c>
      <c r="C101" s="49">
        <f>SUMIFS(JB_26BV,JB_B,1,JB_EX,"P-8a",JB_CC,"Electronics",JB_H,"LHA",JB_CE,"AN/SLQ-32(V), Surface Warfare Improvement Program (SEWIP)",JB_RC,"ALT")</f>
        <v/>
      </c>
      <c r="D101" s="37">
        <f>IFERROR(C101/C$123,0)</f>
        <v/>
      </c>
    </row>
    <row r="102" ht="10" customHeight="1">
      <c r="A102" s="30" t="inlineStr">
        <is>
          <t>Miscellaneous Electronics</t>
        </is>
      </c>
      <c r="B102" s="26" t="inlineStr">
        <is>
          <t>Electronics</t>
        </is>
      </c>
      <c r="C102" s="49">
        <f>SUMIFS(JB_26BV,JB_B,1,JB_EX,"P-8a",JB_CC,"Electronics",JB_H,"LHA",JB_CE,"Miscellaneous Electronics",JB_RC,"ALT")</f>
        <v/>
      </c>
      <c r="D102" s="37">
        <f>IFERROR(C102/C$123,0)</f>
        <v/>
      </c>
    </row>
    <row r="103" ht="10" customHeight="1">
      <c r="A103" s="30" t="inlineStr">
        <is>
          <t>Integrated Voice Network (IVN)</t>
        </is>
      </c>
      <c r="B103" s="26" t="inlineStr">
        <is>
          <t>Electronics</t>
        </is>
      </c>
      <c r="C103" s="49">
        <f>SUMIFS(JB_26BV,JB_B,1,JB_EX,"P-8a",JB_CC,"Electronics",JB_H,"LHA",JB_CE,"Integrated Voice Network (IVN)",JB_RC,"ALT")</f>
        <v/>
      </c>
      <c r="D103" s="37">
        <f>IFERROR(C103/C$123,0)</f>
        <v/>
      </c>
    </row>
    <row r="104" ht="10" customHeight="1">
      <c r="A104" s="30" t="inlineStr">
        <is>
          <t>AN/UPX-29(V), Identification Friend or Foe (IFF) MK12</t>
        </is>
      </c>
      <c r="B104" s="26" t="inlineStr">
        <is>
          <t>Electronics</t>
        </is>
      </c>
      <c r="C104" s="49">
        <f>SUMIFS(JB_26BV,JB_B,1,JB_EX,"P-8a",JB_CC,"Electronics",JB_H,"LHA",JB_CE,"AN/UPX-29(V), Identification Friend or Foe (IFF) MK12",JB_RC,"ALT")</f>
        <v/>
      </c>
      <c r="D104" s="37">
        <f>IFERROR(C104/C$123,0)</f>
        <v/>
      </c>
    </row>
    <row r="105" ht="10" customHeight="1">
      <c r="A105" s="30" t="inlineStr">
        <is>
          <t>AN/USG-2, Cooperative Engagement Transmission Processing Set (CETPS)</t>
        </is>
      </c>
      <c r="B105" s="26" t="inlineStr">
        <is>
          <t>Electronics</t>
        </is>
      </c>
      <c r="C105" s="49">
        <f>SUMIFS(JB_26BV,JB_B,1,JB_EX,"P-8a",JB_CC,"Electronics",JB_H,"LHA",JB_CE,"AN/USG-2, Cooperative Engagement Transmission Processing Set (CETPS)",JB_RC,"ALT")</f>
        <v/>
      </c>
      <c r="D105" s="37">
        <f>IFERROR(C105/C$123,0)</f>
        <v/>
      </c>
    </row>
    <row r="106" ht="10" customHeight="1">
      <c r="A106" s="30" t="inlineStr">
        <is>
          <t>Joint Precision Approach and Landing System (JPALS) (AN/USN-3(V)1, SSLS)</t>
        </is>
      </c>
      <c r="B106" s="26" t="inlineStr">
        <is>
          <t>Electronics</t>
        </is>
      </c>
      <c r="C106" s="49">
        <f>SUMIFS(JB_26BV,JB_B,1,JB_EX,"P-8a",JB_CC,"Electronics",JB_H,"LHA",JB_CE,"Joint Precision Approach and Landing System (JPALS) (AN/USN-3(V)1, SSLS)",JB_RC,"ALT")</f>
        <v/>
      </c>
      <c r="D106" s="37">
        <f>IFERROR(C106/C$123,0)</f>
        <v/>
      </c>
    </row>
    <row r="107" ht="10" customHeight="1">
      <c r="A107" s="30" t="inlineStr">
        <is>
          <t>USQ-82, Gigabit Ethernet Data Multiplex System (GEDMS)</t>
        </is>
      </c>
      <c r="B107" s="26" t="inlineStr">
        <is>
          <t>Electronics</t>
        </is>
      </c>
      <c r="C107" s="49">
        <f>SUMIFS(JB_26BV,JB_B,1,JB_EX,"P-8a",JB_CC,"Electronics",JB_H,"LHA",JB_CE,"USQ-82, Gigabit Ethernet Data Multiplex System (GEDMS)",JB_RC,"ALT")</f>
        <v/>
      </c>
      <c r="D107" s="37">
        <f>IFERROR(C107/C$123,0)</f>
        <v/>
      </c>
    </row>
    <row r="108" ht="10" customHeight="1">
      <c r="A108" s="30" t="inlineStr">
        <is>
          <t>Aircraft Control Approach Central AN/SPN-35C</t>
        </is>
      </c>
      <c r="B108" s="26" t="inlineStr">
        <is>
          <t>Electronics</t>
        </is>
      </c>
      <c r="C108" s="49">
        <f>SUMIFS(JB_26BV,JB_B,1,JB_EX,"P-8a",JB_CC,"Electronics",JB_H,"LHA",JB_CE,"Aircraft Control Approach Central AN/SPN-35C",JB_RC,"ALT")</f>
        <v/>
      </c>
      <c r="D108" s="37">
        <f>IFERROR(C108/C$123,0)</f>
        <v/>
      </c>
    </row>
    <row r="109" ht="10" customHeight="1">
      <c r="A109" s="30" t="inlineStr">
        <is>
          <t>Hierarchical Yet Dynamically Reprogrammable Architecture (HYDRA) AN/SRC-55</t>
        </is>
      </c>
      <c r="B109" s="26" t="inlineStr">
        <is>
          <t>Electronics</t>
        </is>
      </c>
      <c r="C109" s="49">
        <f>SUMIFS(JB_26BV,JB_B,1,JB_EX,"P-8a",JB_CC,"Electronics",JB_H,"LHA",JB_CE,"Hierarchical Yet Dynamically Reprogrammable Architecture (HYDRA) AN/SRC-55",JB_RC,"ALT")</f>
        <v/>
      </c>
      <c r="D109" s="37">
        <f>IFERROR(C109/C$123,0)</f>
        <v/>
      </c>
    </row>
    <row r="110" ht="10" customHeight="1">
      <c r="A110" s="30" t="inlineStr">
        <is>
          <t>AN/SLQ-25C, Torpedo Countermeasures Transmitting Set (NIXIE)</t>
        </is>
      </c>
      <c r="B110" s="26" t="inlineStr">
        <is>
          <t>Electronics</t>
        </is>
      </c>
      <c r="C110" s="49">
        <f>SUMIFS(JB_26BV,JB_B,1,JB_EX,"P-8a",JB_CC,"Electronics",JB_H,"LHA",JB_CE,"AN/SLQ-25C, Torpedo Countermeasures Transmitting Set (NIXIE)",JB_RC,"ALT")</f>
        <v/>
      </c>
      <c r="D110" s="37">
        <f>IFERROR(C110/C$123,0)</f>
        <v/>
      </c>
    </row>
    <row r="111" ht="10" customHeight="1">
      <c r="A111" s="30" t="inlineStr">
        <is>
          <t>Ring Laser Gyro Navigator (RLGN) AN/WSN-7</t>
        </is>
      </c>
      <c r="B111" s="26" t="inlineStr">
        <is>
          <t>Electronics</t>
        </is>
      </c>
      <c r="C111" s="49">
        <f>SUMIFS(JB_26BV,JB_B,1,JB_EX,"P-8a",JB_CC,"Electronics",JB_H,"LHA",JB_CE,"Ring Laser Gyro Navigator (RLGN) AN/WSN-7",JB_RC,"ALT")</f>
        <v/>
      </c>
      <c r="D111" s="37">
        <f>IFERROR(C111/C$123,0)</f>
        <v/>
      </c>
    </row>
    <row r="112" ht="10" customHeight="1">
      <c r="A112" s="30" t="inlineStr">
        <is>
          <t>Amphibious Air Traffic Control Direct Altitude and Identity Readout (AATC-DAIR)</t>
        </is>
      </c>
      <c r="B112" s="26" t="inlineStr">
        <is>
          <t>Electronics</t>
        </is>
      </c>
      <c r="C112" s="49">
        <f>SUMIFS(JB_26BV,JB_B,1,JB_EX,"P-8a",JB_CC,"Electronics",JB_H,"LHA",JB_CE,"Amphibious Air Traffic Control Direct Altitude and Identity Readout (AATC-DAIR)",JB_RC,"ALT")</f>
        <v/>
      </c>
      <c r="D112" s="37">
        <f>IFERROR(C112/C$123,0)</f>
        <v/>
      </c>
    </row>
    <row r="113" ht="10" customHeight="1">
      <c r="A113" s="30" t="inlineStr">
        <is>
          <t>Aircraft Approach Control Transmitting Set (AACTS) AN/SPN-41B</t>
        </is>
      </c>
      <c r="B113" s="26" t="inlineStr">
        <is>
          <t>Electronics</t>
        </is>
      </c>
      <c r="C113" s="49">
        <f>SUMIFS(JB_26BV,JB_B,1,JB_EX,"P-8a",JB_CC,"Electronics",JB_H,"LHA",JB_CE,"Aircraft Approach Control Transmitting Set (AACTS) AN/SPN-41B",JB_RC,"ALT")</f>
        <v/>
      </c>
      <c r="D113" s="37">
        <f>IFERROR(C113/C$123,0)</f>
        <v/>
      </c>
    </row>
    <row r="114" ht="10" customHeight="1">
      <c r="A114" s="30" t="inlineStr">
        <is>
          <t>Announcing Systems AN/SIA-127H</t>
        </is>
      </c>
      <c r="B114" s="26" t="inlineStr">
        <is>
          <t>Electronics</t>
        </is>
      </c>
      <c r="C114" s="49">
        <f>SUMIFS(JB_26BV,JB_B,1,JB_EX,"P-8a",JB_CC,"Electronics",JB_H,"LHA",JB_CE,"Announcing Systems AN/SIA-127H",JB_RC,"ALT")</f>
        <v/>
      </c>
      <c r="D114" s="37">
        <f>IFERROR(C114/C$123,0)</f>
        <v/>
      </c>
    </row>
    <row r="115" ht="10" customHeight="1">
      <c r="A115" s="30" t="inlineStr">
        <is>
          <t>SATCC</t>
        </is>
      </c>
      <c r="B115" s="26" t="inlineStr">
        <is>
          <t>Electronics</t>
        </is>
      </c>
      <c r="C115" s="49">
        <f>SUMIFS(JB_26BV,JB_B,1,JB_EX,"P-8a",JB_CC,"Electronics",JB_H,"LHA",JB_CE,"SATCC",JB_RC,"ALT")</f>
        <v/>
      </c>
      <c r="D115" s="37">
        <f>IFERROR(C115/C$123,0)</f>
        <v/>
      </c>
    </row>
    <row r="116" ht="10" customHeight="1">
      <c r="A116" s="30" t="inlineStr">
        <is>
          <t>Amphibious Assault Direction System (AADS)</t>
        </is>
      </c>
      <c r="B116" s="26" t="inlineStr">
        <is>
          <t>Electronics</t>
        </is>
      </c>
      <c r="C116" s="49">
        <f>SUMIFS(JB_26BV,JB_B,1,JB_EX,"P-8a",JB_CC,"Electronics",JB_H,"LHA",JB_CE,"Amphibious Assault Direction System (AADS)",JB_RC,"ALT")</f>
        <v/>
      </c>
      <c r="D116" s="37">
        <f>IFERROR(C116/C$123,0)</f>
        <v/>
      </c>
    </row>
    <row r="117" ht="10" customHeight="1">
      <c r="A117" s="30" t="inlineStr">
        <is>
          <t>30 TV</t>
        </is>
      </c>
      <c r="B117" s="26" t="inlineStr">
        <is>
          <t>Electronics</t>
        </is>
      </c>
      <c r="C117" s="49">
        <f>SUMIFS(JB_26BV,JB_B,1,JB_EX,"P-8a",JB_CC,"Electronics",JB_H,"LHA",JB_CE,"30 TV",JB_RC,"ALT")</f>
        <v/>
      </c>
      <c r="D117" s="37">
        <f>IFERROR(C117/C$123,0)</f>
        <v/>
      </c>
    </row>
    <row r="118" ht="10" customHeight="1">
      <c r="A118" s="30" t="inlineStr">
        <is>
          <t>MK 53 NULKA Decoy Launching System (DLS) Mod 3</t>
        </is>
      </c>
      <c r="B118" s="26" t="inlineStr">
        <is>
          <t>Electronics</t>
        </is>
      </c>
      <c r="C118" s="49">
        <f>SUMIFS(JB_26BV,JB_B,1,JB_EX,"P-8a",JB_CC,"Electronics",JB_H,"LHA",JB_CE,"MK 53 NULKA Decoy Launching System (DLS) Mod 3",JB_RC,"ALT")</f>
        <v/>
      </c>
      <c r="D118" s="37">
        <f>IFERROR(C118/C$123,0)</f>
        <v/>
      </c>
    </row>
    <row r="119" ht="10" customHeight="1">
      <c r="A119" s="30" t="inlineStr">
        <is>
          <t>Next Generation Navigational Radar</t>
        </is>
      </c>
      <c r="B119" s="26" t="inlineStr">
        <is>
          <t>Electronics</t>
        </is>
      </c>
      <c r="C119" s="49">
        <f>SUMIFS(JB_26BV,JB_B,1,JB_EX,"P-8a",JB_CC,"Electronics",JB_H,"LHA",JB_CE,"Next Generation Navigational Radar",JB_RC,"ALT")</f>
        <v/>
      </c>
      <c r="D119" s="37">
        <f>IFERROR(C119/C$123,0)</f>
        <v/>
      </c>
    </row>
    <row r="120" ht="10" customHeight="1">
      <c r="A120" s="30" t="inlineStr">
        <is>
          <t>AN/USQ-T46(V), Battle Force Tactical Training (BFTT)</t>
        </is>
      </c>
      <c r="B120" s="26" t="inlineStr">
        <is>
          <t>Electronics</t>
        </is>
      </c>
      <c r="C120" s="49">
        <f>SUMIFS(JB_26BV,JB_B,1,JB_EX,"P-8a",JB_CC,"Electronics",JB_H,"LHA",JB_CE,"AN/USQ-T46(V), Battle Force Tactical Training (BFTT)",JB_RC,"ALT")</f>
        <v/>
      </c>
      <c r="D120" s="37">
        <f>IFERROR(C120/C$123,0)</f>
        <v/>
      </c>
    </row>
    <row r="121" ht="10" customHeight="1">
      <c r="A121" s="30" t="inlineStr">
        <is>
          <t>Digital Photo Lab</t>
        </is>
      </c>
      <c r="B121" s="26" t="inlineStr">
        <is>
          <t>Electronics</t>
        </is>
      </c>
      <c r="C121" s="49">
        <f>SUMIFS(JB_26BV,JB_B,1,JB_EX,"P-8a",JB_CC,"Electronics",JB_H,"LHA",JB_CE,"Digital Photo Lab",JB_RC,"ALT")</f>
        <v/>
      </c>
      <c r="D121" s="37">
        <f>IFERROR(C121/C$123,0)</f>
        <v/>
      </c>
    </row>
    <row r="122" ht="10" customHeight="1">
      <c r="A122" s="30" t="inlineStr">
        <is>
          <t>Print Shop</t>
        </is>
      </c>
      <c r="B122" s="26" t="inlineStr">
        <is>
          <t>Electronics</t>
        </is>
      </c>
      <c r="C122" s="49">
        <f>SUMIFS(JB_26BV,JB_B,1,JB_EX,"P-8a",JB_CC,"Electronics",JB_H,"LHA",JB_CE,"Print Shop",JB_RC,"ALT")</f>
        <v/>
      </c>
      <c r="D122" s="37">
        <f>IFERROR(C122/C$123,0)</f>
        <v/>
      </c>
    </row>
    <row r="123" ht="10" customHeight="1">
      <c r="A123" s="32" t="inlineStr">
        <is>
          <t>LHA Total</t>
        </is>
      </c>
      <c r="B123" s="34" t="n"/>
      <c r="C123" s="33">
        <f>SUM(C84:C122)</f>
        <v/>
      </c>
      <c r="D123" s="38" t="n">
        <v>1</v>
      </c>
    </row>
    <row r="124" ht="10" customHeight="1"/>
    <row r="125" ht="10" customHeight="1">
      <c r="A125" s="46" t="inlineStr">
        <is>
          <t>FFG (Surface Combatants)</t>
        </is>
      </c>
      <c r="B125" s="39" t="n"/>
      <c r="C125" s="39" t="n"/>
      <c r="D125" s="39" t="n"/>
    </row>
    <row r="126" ht="10" customHeight="1">
      <c r="A126" s="29" t="inlineStr">
        <is>
          <t>System</t>
        </is>
      </c>
      <c r="B126" s="29" t="inlineStr">
        <is>
          <t>Cost Category</t>
        </is>
      </c>
      <c r="C126" s="29" t="inlineStr">
        <is>
          <t>FY2026 ($K)</t>
        </is>
      </c>
      <c r="D126" s="29" t="inlineStr">
        <is>
          <t>% of Hull</t>
        </is>
      </c>
    </row>
    <row r="127" ht="10" customHeight="1">
      <c r="A127" s="30" t="inlineStr">
        <is>
          <t>MK 41 Vertical Launch System (VLS)- 32 Cell</t>
        </is>
      </c>
      <c r="B127" s="26" t="inlineStr">
        <is>
          <t>Ordnance</t>
        </is>
      </c>
      <c r="C127" s="49">
        <f>SUMIFS(JB_26BV,JB_B,1,JB_EX,"P-8a",JB_CC,"Ordnance",JB_H,"FFG",JB_CE,"MK 41 Vertical Launch System (VLS)- 32 Cell",JB_RC,"ALT")</f>
        <v/>
      </c>
      <c r="D127" s="37">
        <f>IFERROR(C127/C$145,0)</f>
        <v/>
      </c>
    </row>
    <row r="128" ht="10" customHeight="1">
      <c r="A128" s="30" t="inlineStr">
        <is>
          <t>MK 48 Gun Weapon System (GWS)</t>
        </is>
      </c>
      <c r="B128" s="26" t="inlineStr">
        <is>
          <t>Ordnance</t>
        </is>
      </c>
      <c r="C128" s="49">
        <f>SUMIFS(JB_26BV,JB_B,1,JB_EX,"P-8a",JB_CC,"Ordnance",JB_H,"FFG",JB_CE,"MK 48 Gun Weapon System (GWS)",JB_RC,"ALT")</f>
        <v/>
      </c>
      <c r="D128" s="37">
        <f>IFERROR(C128/C$145,0)</f>
        <v/>
      </c>
    </row>
    <row r="129" ht="10" customHeight="1">
      <c r="A129" s="30" t="inlineStr">
        <is>
          <t>Other Ordnance</t>
        </is>
      </c>
      <c r="B129" s="26" t="inlineStr">
        <is>
          <t>Ordnance</t>
        </is>
      </c>
      <c r="C129" s="49">
        <f>SUMIFS(JB_26BV,JB_B,1,JB_EX,"P-8a",JB_CC,"Ordnance",JB_H,"FFG",JB_CE,"Other Ordnance",JB_RC,"ALT")</f>
        <v/>
      </c>
      <c r="D129" s="37">
        <f>IFERROR(C129/C$145,0)</f>
        <v/>
      </c>
    </row>
    <row r="130" ht="10" customHeight="1">
      <c r="A130" s="30" t="inlineStr">
        <is>
          <t>MK 53 Decoy Launching System (DLS) (Nulka)- 4 Launcher</t>
        </is>
      </c>
      <c r="B130" s="26" t="inlineStr">
        <is>
          <t>Ordnance</t>
        </is>
      </c>
      <c r="C130" s="49">
        <f>SUMIFS(JB_26BV,JB_B,1,JB_EX,"P-8a",JB_CC,"Ordnance",JB_H,"FFG",JB_CE,"MK 53 Decoy Launching System (DLS) (Nulka)- 4 Launcher",JB_RC,"ALT")</f>
        <v/>
      </c>
      <c r="D130" s="37">
        <f>IFERROR(C130/C$145,0)</f>
        <v/>
      </c>
    </row>
    <row r="131" ht="10" customHeight="1">
      <c r="A131" s="30" t="inlineStr">
        <is>
          <t>Aircraft Ship Integrated Securing and Traversing System (ASIST)</t>
        </is>
      </c>
      <c r="B131" s="26" t="inlineStr">
        <is>
          <t>Hull, Mechanical, and Electrical</t>
        </is>
      </c>
      <c r="C131" s="49">
        <f>SUMIFS(JB_26BV,JB_B,1,JB_EX,"P-8a",JB_CC,"Hull, Mechanical, and Electrical",JB_H,"FFG",JB_CE,"Aircraft Ship Integrated Securing and Traversing System (ASIST)",JB_RC,"ALT")</f>
        <v/>
      </c>
      <c r="D131" s="37">
        <f>IFERROR(C131/C$145,0)</f>
        <v/>
      </c>
    </row>
    <row r="132" ht="10" customHeight="1">
      <c r="A132" s="30" t="inlineStr">
        <is>
          <t>Other HM&amp;E</t>
        </is>
      </c>
      <c r="B132" s="26" t="inlineStr">
        <is>
          <t>Hull, Mechanical, and Electrical</t>
        </is>
      </c>
      <c r="C132" s="49">
        <f>SUMIFS(JB_26BV,JB_B,1,JB_EX,"P-8a",JB_CC,"Hull, Mechanical, and Electrical",JB_H,"FFG",JB_CE,"Other HM&amp;E",JB_RC,"ALT")</f>
        <v/>
      </c>
      <c r="D132" s="37">
        <f>IFERROR(C132/C$145,0)</f>
        <v/>
      </c>
    </row>
    <row r="133" ht="10" customHeight="1">
      <c r="A133" s="30" t="inlineStr">
        <is>
          <t>Internal Communication (IC) Voice</t>
        </is>
      </c>
      <c r="B133" s="26" t="inlineStr">
        <is>
          <t>Hull, Mechanical, and Electrical</t>
        </is>
      </c>
      <c r="C133" s="49">
        <f>SUMIFS(JB_26BV,JB_B,1,JB_EX,"P-8a",JB_CC,"Hull, Mechanical, and Electrical",JB_H,"FFG",JB_CE,"Internal Communication (IC) Voice",JB_RC,"ALT")</f>
        <v/>
      </c>
      <c r="D133" s="37">
        <f>IFERROR(C133/C$145,0)</f>
        <v/>
      </c>
    </row>
    <row r="134" ht="10" customHeight="1">
      <c r="A134" s="30" t="inlineStr">
        <is>
          <t>Interior Wireless Communication System (IWCS)</t>
        </is>
      </c>
      <c r="B134" s="26" t="inlineStr">
        <is>
          <t>Hull, Mechanical, and Electrical</t>
        </is>
      </c>
      <c r="C134" s="49">
        <f>SUMIFS(JB_26BV,JB_B,1,JB_EX,"P-8a",JB_CC,"Hull, Mechanical, and Electrical",JB_H,"FFG",JB_CE,"Interior Wireless Communication System (IWCS)",JB_RC,"ALT")</f>
        <v/>
      </c>
      <c r="D134" s="37">
        <f>IFERROR(C134/C$145,0)</f>
        <v/>
      </c>
    </row>
    <row r="135" ht="10" customHeight="1">
      <c r="A135" s="30" t="inlineStr">
        <is>
          <t>Unclassified Video System (UVS)</t>
        </is>
      </c>
      <c r="B135" s="26" t="inlineStr">
        <is>
          <t>Hull, Mechanical, and Electrical</t>
        </is>
      </c>
      <c r="C135" s="49">
        <f>SUMIFS(JB_26BV,JB_B,1,JB_EX,"P-8a",JB_CC,"Hull, Mechanical, and Electrical",JB_H,"FFG",JB_CE,"Unclassified Video System (UVS)",JB_RC,"ALT")</f>
        <v/>
      </c>
      <c r="D135" s="37">
        <f>IFERROR(C135/C$145,0)</f>
        <v/>
      </c>
    </row>
    <row r="136" ht="10" customHeight="1">
      <c r="A136" s="30" t="inlineStr">
        <is>
          <t>Ship Control System-Government (SCS GOV)</t>
        </is>
      </c>
      <c r="B136" s="26" t="inlineStr">
        <is>
          <t>Hull, Mechanical, and Electrical</t>
        </is>
      </c>
      <c r="C136" s="49">
        <f>SUMIFS(JB_26BV,JB_B,1,JB_EX,"P-8a",JB_CC,"Hull, Mechanical, and Electrical",JB_H,"FFG",JB_CE,"Ship Control System-Government (SCS GOV)",JB_RC,"ALT")</f>
        <v/>
      </c>
      <c r="D136" s="37">
        <f>IFERROR(C136/C$145,0)</f>
        <v/>
      </c>
    </row>
    <row r="137" ht="10" customHeight="1">
      <c r="A137" s="30" t="inlineStr">
        <is>
          <t>Advanced Flight Deck Lighting System (AFDLS)</t>
        </is>
      </c>
      <c r="B137" s="26" t="inlineStr">
        <is>
          <t>Hull, Mechanical, and Electrical</t>
        </is>
      </c>
      <c r="C137" s="49">
        <f>SUMIFS(JB_26BV,JB_B,1,JB_EX,"P-8a",JB_CC,"Hull, Mechanical, and Electrical",JB_H,"FFG",JB_CE,"Advanced Flight Deck Lighting System (AFDLS)",JB_RC,"ALT")</f>
        <v/>
      </c>
      <c r="D137" s="37">
        <f>IFERROR(C137/C$145,0)</f>
        <v/>
      </c>
    </row>
    <row r="138" ht="10" customHeight="1">
      <c r="A138" s="30" t="inlineStr">
        <is>
          <t>Enterprise Air Surveillance Radar (EASR)</t>
        </is>
      </c>
      <c r="B138" s="26" t="inlineStr">
        <is>
          <t>Electronics</t>
        </is>
      </c>
      <c r="C138" s="49">
        <f>SUMIFS(JB_26BV,JB_B,1,JB_EX,"P-8a",JB_CC,"Electronics",JB_H,"FFG",JB_CE,"Enterprise Air Surveillance Radar (EASR)",JB_RC,"ALT")</f>
        <v/>
      </c>
      <c r="D138" s="37">
        <f>IFERROR(C138/C$145,0)</f>
        <v/>
      </c>
    </row>
    <row r="139" ht="10" customHeight="1">
      <c r="A139" s="30" t="inlineStr">
        <is>
          <t>AEGIS Weapon System (AWS)</t>
        </is>
      </c>
      <c r="B139" s="26" t="inlineStr">
        <is>
          <t>Electronics</t>
        </is>
      </c>
      <c r="C139" s="49">
        <f>SUMIFS(JB_26BV,JB_B,1,JB_EX,"P-8a",JB_CC,"Electronics",JB_H,"FFG",JB_CE,"AEGIS Weapon System (AWS)",JB_RC,"ALT")</f>
        <v/>
      </c>
      <c r="D139" s="37">
        <f>IFERROR(C139/C$145,0)</f>
        <v/>
      </c>
    </row>
    <row r="140" ht="10" customHeight="1">
      <c r="A140" s="30" t="inlineStr">
        <is>
          <t>Anti-Submarine Warfare (ASW) Combat Suite</t>
        </is>
      </c>
      <c r="B140" s="26" t="inlineStr">
        <is>
          <t>Electronics</t>
        </is>
      </c>
      <c r="C140" s="49">
        <f>SUMIFS(JB_26BV,JB_B,1,JB_EX,"P-8a",JB_CC,"Electronics",JB_H,"FFG",JB_CE,"Anti-Submarine Warfare (ASW) Combat Suite",JB_RC,"ALT")</f>
        <v/>
      </c>
      <c r="D140" s="37">
        <f>IFERROR(C140/C$145,0)</f>
        <v/>
      </c>
    </row>
    <row r="141" ht="10" customHeight="1">
      <c r="A141" s="30" t="inlineStr">
        <is>
          <t>Tactical COMINT System- Spectral</t>
        </is>
      </c>
      <c r="B141" s="26" t="inlineStr">
        <is>
          <t>Electronics</t>
        </is>
      </c>
      <c r="C141" s="49">
        <f>SUMIFS(JB_26BV,JB_B,1,JB_EX,"P-8a",JB_CC,"Electronics",JB_H,"FFG",JB_CE,"Tactical COMINT System- Spectral",JB_RC,"ALT")</f>
        <v/>
      </c>
      <c r="D141" s="37">
        <f>IFERROR(C141/C$145,0)</f>
        <v/>
      </c>
    </row>
    <row r="142" ht="10" customHeight="1">
      <c r="A142" s="30" t="inlineStr">
        <is>
          <t>External Communication Suite (EXCOMM)</t>
        </is>
      </c>
      <c r="B142" s="26" t="inlineStr">
        <is>
          <t>Electronics</t>
        </is>
      </c>
      <c r="C142" s="49">
        <f>SUMIFS(JB_26BV,JB_B,1,JB_EX,"P-8a",JB_CC,"Electronics",JB_H,"FFG",JB_CE,"External Communication Suite (EXCOMM)",JB_RC,"ALT")</f>
        <v/>
      </c>
      <c r="D142" s="37">
        <f>IFERROR(C142/C$145,0)</f>
        <v/>
      </c>
    </row>
    <row r="143" ht="10" customHeight="1">
      <c r="A143" s="30" t="inlineStr">
        <is>
          <t>Cooperative Engagement Capability (CEC)</t>
        </is>
      </c>
      <c r="B143" s="26" t="inlineStr">
        <is>
          <t>Electronics</t>
        </is>
      </c>
      <c r="C143" s="49">
        <f>SUMIFS(JB_26BV,JB_B,1,JB_EX,"P-8a",JB_CC,"Electronics",JB_H,"FFG",JB_CE,"Cooperative Engagement Capability (CEC)",JB_RC,"ALT")</f>
        <v/>
      </c>
      <c r="D143" s="37">
        <f>IFERROR(C143/C$145,0)</f>
        <v/>
      </c>
    </row>
    <row r="144" ht="10" customHeight="1">
      <c r="A144" s="30" t="inlineStr">
        <is>
          <t>Identification Friend or Foe (IFF) UPX-29</t>
        </is>
      </c>
      <c r="B144" s="26" t="inlineStr">
        <is>
          <t>Electronics</t>
        </is>
      </c>
      <c r="C144" s="49">
        <f>SUMIFS(JB_26BV,JB_B,1,JB_EX,"P-8a",JB_CC,"Electronics",JB_H,"FFG",JB_CE,"Identification Friend or Foe (IFF) UPX-29",JB_RC,"ALT")</f>
        <v/>
      </c>
      <c r="D144" s="37">
        <f>IFERROR(C144/C$145,0)</f>
        <v/>
      </c>
    </row>
    <row r="145" ht="10" customHeight="1">
      <c r="A145" s="32" t="inlineStr">
        <is>
          <t>FFG Total</t>
        </is>
      </c>
      <c r="B145" s="34" t="n"/>
      <c r="C145" s="33">
        <f>SUM(C127:C144)</f>
        <v/>
      </c>
      <c r="D145" s="38" t="n">
        <v>1</v>
      </c>
    </row>
    <row r="146" ht="10" customHeight="1"/>
    <row r="147" ht="10" customHeight="1">
      <c r="A147" s="46" t="inlineStr">
        <is>
          <t>LPD (Amphibious Warfare Ships)</t>
        </is>
      </c>
      <c r="B147" s="39" t="n"/>
      <c r="C147" s="39" t="n"/>
      <c r="D147" s="39" t="n"/>
    </row>
    <row r="148" ht="10" customHeight="1">
      <c r="A148" s="29" t="inlineStr">
        <is>
          <t>System</t>
        </is>
      </c>
      <c r="B148" s="29" t="inlineStr">
        <is>
          <t>Cost Category</t>
        </is>
      </c>
      <c r="C148" s="29" t="inlineStr">
        <is>
          <t>FY2026 ($K)</t>
        </is>
      </c>
      <c r="D148" s="29" t="inlineStr">
        <is>
          <t>% of Hull</t>
        </is>
      </c>
    </row>
    <row r="149" ht="10" customHeight="1">
      <c r="A149" s="30" t="inlineStr">
        <is>
          <t>EASR</t>
        </is>
      </c>
      <c r="B149" s="26" t="inlineStr">
        <is>
          <t>Ordnance</t>
        </is>
      </c>
      <c r="C149" s="49">
        <f>SUMIFS(JB_26BV,JB_B,1,JB_EX,"P-8a",JB_CC,"Ordnance",JB_H,"LPD",JB_CE,"EASR",JB_RC,"ALT")</f>
        <v/>
      </c>
      <c r="D149" s="37">
        <f>IFERROR(C149/C$182,0)</f>
        <v/>
      </c>
    </row>
    <row r="150" ht="10" customHeight="1">
      <c r="A150" s="30" t="inlineStr">
        <is>
          <t>RAM BLOCK II</t>
        </is>
      </c>
      <c r="B150" s="26" t="inlineStr">
        <is>
          <t>Ordnance</t>
        </is>
      </c>
      <c r="C150" s="49">
        <f>SUMIFS(JB_26BV,JB_B,1,JB_EX,"P-8a",JB_CC,"Ordnance",JB_H,"LPD",JB_CE,"RAM BLOCK II",JB_RC,"ALT")</f>
        <v/>
      </c>
      <c r="D150" s="37">
        <f>IFERROR(C150/C$182,0)</f>
        <v/>
      </c>
    </row>
    <row r="151" ht="10" customHeight="1">
      <c r="A151" s="30" t="inlineStr">
        <is>
          <t>MISCELLANEOUS ORDNANCE</t>
        </is>
      </c>
      <c r="B151" s="26" t="inlineStr">
        <is>
          <t>Ordnance</t>
        </is>
      </c>
      <c r="C151" s="49">
        <f>SUMIFS(JB_26BV,JB_B,1,JB_EX,"P-8a",JB_CC,"Ordnance",JB_H,"LPD",JB_CE,"MISCELLANEOUS ORDNANCE",JB_RC,"ALT")</f>
        <v/>
      </c>
      <c r="D151" s="37">
        <f>IFERROR(C151/C$182,0)</f>
        <v/>
      </c>
    </row>
    <row r="152" ht="10" customHeight="1">
      <c r="A152" s="30" t="inlineStr">
        <is>
          <t>MK 46 GUN</t>
        </is>
      </c>
      <c r="B152" s="26" t="inlineStr">
        <is>
          <t>Ordnance</t>
        </is>
      </c>
      <c r="C152" s="49">
        <f>SUMIFS(JB_26BV,JB_B,1,JB_EX,"P-8a",JB_CC,"Ordnance",JB_H,"LPD",JB_CE,"MK 46 GUN",JB_RC,"ALT")</f>
        <v/>
      </c>
      <c r="D152" s="37">
        <f>IFERROR(C152/C$182,0)</f>
        <v/>
      </c>
    </row>
    <row r="153" ht="10" customHeight="1">
      <c r="A153" s="30" t="inlineStr">
        <is>
          <t>AN/SPQ-9B Radar Set</t>
        </is>
      </c>
      <c r="B153" s="26" t="inlineStr">
        <is>
          <t>Ordnance</t>
        </is>
      </c>
      <c r="C153" s="49">
        <f>SUMIFS(JB_26BV,JB_B,1,JB_EX,"P-8a",JB_CC,"Ordnance",JB_H,"LPD",JB_CE,"AN/SPQ-9B Radar Set",JB_RC,"ALT")</f>
        <v/>
      </c>
      <c r="D153" s="37">
        <f>IFERROR(C153/C$182,0)</f>
        <v/>
      </c>
    </row>
    <row r="154" ht="10" customHeight="1">
      <c r="A154" s="30" t="inlineStr">
        <is>
          <t>ASGSI/HOSS/MWS Fit Control &amp; Inst Land Sys</t>
        </is>
      </c>
      <c r="B154" s="26" t="inlineStr">
        <is>
          <t>Ordnance</t>
        </is>
      </c>
      <c r="C154" s="49">
        <f>SUMIFS(JB_26BV,JB_B,1,JB_EX,"P-8a",JB_CC,"Ordnance",JB_H,"LPD",JB_CE,"ASGSI/HOSS/MWS Fit Control &amp; Inst Land Sys",JB_RC,"ALT")</f>
        <v/>
      </c>
      <c r="D154" s="37">
        <f>IFERROR(C154/C$182,0)</f>
        <v/>
      </c>
    </row>
    <row r="155" ht="10" customHeight="1">
      <c r="A155" s="30" t="inlineStr">
        <is>
          <t>Next Generation Surface Search Radar (NGSSR)</t>
        </is>
      </c>
      <c r="B155" s="26" t="inlineStr">
        <is>
          <t>Ordnance</t>
        </is>
      </c>
      <c r="C155" s="49">
        <f>SUMIFS(JB_26BV,JB_B,1,JB_EX,"P-8a",JB_CC,"Ordnance",JB_H,"LPD",JB_CE,"Next Generation Surface Search Radar (NGSSR)",JB_RC,"ALT")</f>
        <v/>
      </c>
      <c r="D155" s="37">
        <f>IFERROR(C155/C$182,0)</f>
        <v/>
      </c>
    </row>
    <row r="156" ht="10" customHeight="1">
      <c r="A156" s="30" t="inlineStr">
        <is>
          <t>ORDNANCE HANDLING EQUIPMENT</t>
        </is>
      </c>
      <c r="B156" s="26" t="inlineStr">
        <is>
          <t>Ordnance</t>
        </is>
      </c>
      <c r="C156" s="49">
        <f>SUMIFS(JB_26BV,JB_B,1,JB_EX,"P-8a",JB_CC,"Ordnance",JB_H,"LPD",JB_CE,"ORDNANCE HANDLING EQUIPMENT",JB_RC,"ALT")</f>
        <v/>
      </c>
      <c r="D156" s="37">
        <f>IFERROR(C156/C$182,0)</f>
        <v/>
      </c>
    </row>
    <row r="157" ht="10" customHeight="1">
      <c r="A157" s="30" t="inlineStr">
        <is>
          <t>Unclassified Video System (UVS)</t>
        </is>
      </c>
      <c r="B157" s="26" t="inlineStr">
        <is>
          <t>Hull, Mechanical, and Electrical</t>
        </is>
      </c>
      <c r="C157" s="49">
        <f>SUMIFS(JB_26BV,JB_B,1,JB_EX,"P-8a",JB_CC,"Hull, Mechanical, and Electrical",JB_H,"LPD",JB_CE,"Unclassified Video System (UVS)",JB_RC,"ALT")</f>
        <v/>
      </c>
      <c r="D157" s="37">
        <f>IFERROR(C157/C$182,0)</f>
        <v/>
      </c>
    </row>
    <row r="158" ht="10" customHeight="1">
      <c r="A158" s="30" t="inlineStr">
        <is>
          <t>Forklift Trucks</t>
        </is>
      </c>
      <c r="B158" s="26" t="inlineStr">
        <is>
          <t>Hull, Mechanical, and Electrical</t>
        </is>
      </c>
      <c r="C158" s="49">
        <f>SUMIFS(JB_26BV,JB_B,1,JB_EX,"P-8a",JB_CC,"Hull, Mechanical, and Electrical",JB_H,"LPD",JB_CE,"Forklift Trucks",JB_RC,"ALT")</f>
        <v/>
      </c>
      <c r="D158" s="37">
        <f>IFERROR(C158/C$182,0)</f>
        <v/>
      </c>
    </row>
    <row r="159" ht="10" customHeight="1">
      <c r="A159" s="30" t="inlineStr">
        <is>
          <t>Chemical Warfare Detectors</t>
        </is>
      </c>
      <c r="B159" s="26" t="inlineStr">
        <is>
          <t>Hull, Mechanical, and Electrical</t>
        </is>
      </c>
      <c r="C159" s="49">
        <f>SUMIFS(JB_26BV,JB_B,1,JB_EX,"P-8a",JB_CC,"Hull, Mechanical, and Electrical",JB_H,"LPD",JB_CE,"Chemical Warfare Detectors",JB_RC,"ALT")</f>
        <v/>
      </c>
      <c r="D159" s="37">
        <f>IFERROR(C159/C$182,0)</f>
        <v/>
      </c>
    </row>
    <row r="160" ht="10" customHeight="1">
      <c r="A160" s="30" t="inlineStr">
        <is>
          <t>Motor Operated Pilot Valve (MOPV)</t>
        </is>
      </c>
      <c r="B160" s="26" t="inlineStr">
        <is>
          <t>Hull, Mechanical, and Electrical</t>
        </is>
      </c>
      <c r="C160" s="49">
        <f>SUMIFS(JB_26BV,JB_B,1,JB_EX,"P-8a",JB_CC,"Hull, Mechanical, and Electrical",JB_H,"LPD",JB_CE,"Motor Operated Pilot Valve (MOPV)",JB_RC,"ALT")</f>
        <v/>
      </c>
      <c r="D160" s="37">
        <f>IFERROR(C160/C$182,0)</f>
        <v/>
      </c>
    </row>
    <row r="161" ht="10" customHeight="1">
      <c r="A161" s="30" t="inlineStr">
        <is>
          <t>Plastic Waste Processing EQP</t>
        </is>
      </c>
      <c r="B161" s="26" t="inlineStr">
        <is>
          <t>Hull, Mechanical, and Electrical</t>
        </is>
      </c>
      <c r="C161" s="49">
        <f>SUMIFS(JB_26BV,JB_B,1,JB_EX,"P-8a",JB_CC,"Hull, Mechanical, and Electrical",JB_H,"LPD",JB_CE,"Plastic Waste Processing EQP",JB_RC,"ALT")</f>
        <v/>
      </c>
      <c r="D161" s="37">
        <f>IFERROR(C161/C$182,0)</f>
        <v/>
      </c>
    </row>
    <row r="162" ht="10" customHeight="1">
      <c r="A162" s="30" t="inlineStr">
        <is>
          <t>Boats (Rigid Inflatable Boat, 7 meter)</t>
        </is>
      </c>
      <c r="B162" s="26" t="inlineStr">
        <is>
          <t>Hull, Mechanical, and Electrical</t>
        </is>
      </c>
      <c r="C162" s="49">
        <f>SUMIFS(JB_26BV,JB_B,1,JB_EX,"P-8a",JB_CC,"Hull, Mechanical, and Electrical",JB_H,"LPD",JB_CE,"Boats (Rigid Inflatable Boat, 7 meter)",JB_RC,"ALT")</f>
        <v/>
      </c>
      <c r="D162" s="37">
        <f>IFERROR(C162/C$182,0)</f>
        <v/>
      </c>
    </row>
    <row r="163" ht="10" customHeight="1">
      <c r="A163" s="30" t="inlineStr">
        <is>
          <t>Military Payroll System</t>
        </is>
      </c>
      <c r="B163" s="26" t="inlineStr">
        <is>
          <t>Hull, Mechanical, and Electrical</t>
        </is>
      </c>
      <c r="C163" s="49">
        <f>SUMIFS(JB_26BV,JB_B,1,JB_EX,"P-8a",JB_CC,"Hull, Mechanical, and Electrical",JB_H,"LPD",JB_CE,"Military Payroll System",JB_RC,"ALT")</f>
        <v/>
      </c>
      <c r="D163" s="37">
        <f>IFERROR(C163/C$182,0)</f>
        <v/>
      </c>
    </row>
    <row r="164" ht="10" customHeight="1">
      <c r="A164" s="30" t="inlineStr">
        <is>
          <t>Oily Water Separator</t>
        </is>
      </c>
      <c r="B164" s="26" t="inlineStr">
        <is>
          <t>Hull, Mechanical, and Electrical</t>
        </is>
      </c>
      <c r="C164" s="49">
        <f>SUMIFS(JB_26BV,JB_B,1,JB_EX,"P-8a",JB_CC,"Hull, Mechanical, and Electrical",JB_H,"LPD",JB_CE,"Oily Water Separator",JB_RC,"ALT")</f>
        <v/>
      </c>
      <c r="D164" s="37">
        <f>IFERROR(C164/C$182,0)</f>
        <v/>
      </c>
    </row>
    <row r="165" ht="10" customHeight="1">
      <c r="A165" s="30" t="inlineStr">
        <is>
          <t>C4ISR</t>
        </is>
      </c>
      <c r="B165" s="26" t="inlineStr">
        <is>
          <t>Electronics</t>
        </is>
      </c>
      <c r="C165" s="49">
        <f>SUMIFS(JB_26BV,JB_B,1,JB_EX,"P-8a",JB_CC,"Electronics",JB_H,"LPD",JB_CE,"C4ISR",JB_RC,"ALT")</f>
        <v/>
      </c>
      <c r="D165" s="37">
        <f>IFERROR(C165/C$182,0)</f>
        <v/>
      </c>
    </row>
    <row r="166" ht="10" customHeight="1">
      <c r="A166" s="30" t="inlineStr">
        <is>
          <t>Mission Systems</t>
        </is>
      </c>
      <c r="B166" s="26" t="inlineStr">
        <is>
          <t>Electronics</t>
        </is>
      </c>
      <c r="C166" s="49">
        <f>SUMIFS(JB_26BV,JB_B,1,JB_EX,"P-8a",JB_CC,"Electronics",JB_H,"LPD",JB_CE,"Mission Systems",JB_RC,"ALT")</f>
        <v/>
      </c>
      <c r="D166" s="37">
        <f>IFERROR(C166/C$182,0)</f>
        <v/>
      </c>
    </row>
    <row r="167" ht="10" customHeight="1">
      <c r="A167" s="30" t="inlineStr">
        <is>
          <t>Miscellaneous Electronics</t>
        </is>
      </c>
      <c r="B167" s="26" t="inlineStr">
        <is>
          <t>Electronics</t>
        </is>
      </c>
      <c r="C167" s="49">
        <f>SUMIFS(JB_26BV,JB_B,1,JB_EX,"P-8a",JB_CC,"Electronics",JB_H,"LPD",JB_CE,"Miscellaneous Electronics",JB_RC,"ALT")</f>
        <v/>
      </c>
      <c r="D167" s="37">
        <f>IFERROR(C167/C$182,0)</f>
        <v/>
      </c>
    </row>
    <row r="168" ht="10" customHeight="1">
      <c r="A168" s="30" t="inlineStr">
        <is>
          <t>Ship Self Defense System (SSDS)</t>
        </is>
      </c>
      <c r="B168" s="26" t="inlineStr">
        <is>
          <t>Electronics</t>
        </is>
      </c>
      <c r="C168" s="49">
        <f>SUMIFS(JB_26BV,JB_B,1,JB_EX,"P-8a",JB_CC,"Electronics",JB_H,"LPD",JB_CE,"Ship Self Defense System (SSDS)",JB_RC,"ALT")</f>
        <v/>
      </c>
      <c r="D168" s="37">
        <f>IFERROR(C168/C$182,0)</f>
        <v/>
      </c>
    </row>
    <row r="169" ht="10" customHeight="1">
      <c r="A169" s="30" t="inlineStr">
        <is>
          <t>AN/SLQ-32(V)6 Surface Electronic Warfare Improvement Program (SEWIP)</t>
        </is>
      </c>
      <c r="B169" s="26" t="inlineStr">
        <is>
          <t>Electronics</t>
        </is>
      </c>
      <c r="C169" s="49">
        <f>SUMIFS(JB_26BV,JB_B,1,JB_EX,"P-8a",JB_CC,"Electronics",JB_H,"LPD",JB_CE,"AN/SLQ-32(V)6 Surface Electronic Warfare Improvement Program (SEWIP)",JB_RC,"ALT")</f>
        <v/>
      </c>
      <c r="D169" s="37">
        <f>IFERROR(C169/C$182,0)</f>
        <v/>
      </c>
    </row>
    <row r="170" ht="10" customHeight="1">
      <c r="A170" s="30" t="inlineStr">
        <is>
          <t>Cooperative Engagement Capability (CEC)</t>
        </is>
      </c>
      <c r="B170" s="26" t="inlineStr">
        <is>
          <t>Electronics</t>
        </is>
      </c>
      <c r="C170" s="49">
        <f>SUMIFS(JB_26BV,JB_B,1,JB_EX,"P-8a",JB_CC,"Electronics",JB_H,"LPD",JB_CE,"Cooperative Engagement Capability (CEC)",JB_RC,"ALT")</f>
        <v/>
      </c>
      <c r="D170" s="37">
        <f>IFERROR(C170/C$182,0)</f>
        <v/>
      </c>
    </row>
    <row r="171" ht="10" customHeight="1">
      <c r="A171" s="30" t="inlineStr">
        <is>
          <t>Interrogator System IFF (Identification Friend or Foe)</t>
        </is>
      </c>
      <c r="B171" s="26" t="inlineStr">
        <is>
          <t>Electronics</t>
        </is>
      </c>
      <c r="C171" s="49">
        <f>SUMIFS(JB_26BV,JB_B,1,JB_EX,"P-8a",JB_CC,"Electronics",JB_H,"LPD",JB_CE,"Interrogator System IFF (Identification Friend or Foe)",JB_RC,"ALT")</f>
        <v/>
      </c>
      <c r="D171" s="37">
        <f>IFERROR(C171/C$182,0)</f>
        <v/>
      </c>
    </row>
    <row r="172" ht="10" customHeight="1">
      <c r="A172" s="30" t="inlineStr">
        <is>
          <t>IWS CSI</t>
        </is>
      </c>
      <c r="B172" s="26" t="inlineStr">
        <is>
          <t>Electronics</t>
        </is>
      </c>
      <c r="C172" s="49">
        <f>SUMIFS(JB_26BV,JB_B,1,JB_EX,"P-8a",JB_CC,"Electronics",JB_H,"LPD",JB_CE,"IWS CSI",JB_RC,"ALT")</f>
        <v/>
      </c>
      <c r="D172" s="37">
        <f>IFERROR(C172/C$182,0)</f>
        <v/>
      </c>
    </row>
    <row r="173" ht="10" customHeight="1">
      <c r="A173" s="30" t="inlineStr">
        <is>
          <t>AN/WSN-7(RLGN)</t>
        </is>
      </c>
      <c r="B173" s="26" t="inlineStr">
        <is>
          <t>Electronics</t>
        </is>
      </c>
      <c r="C173" s="49">
        <f>SUMIFS(JB_26BV,JB_B,1,JB_EX,"P-8a",JB_CC,"Electronics",JB_H,"LPD",JB_CE,"AN/WSN-7(RLGN)",JB_RC,"ALT")</f>
        <v/>
      </c>
      <c r="D173" s="37">
        <f>IFERROR(C173/C$182,0)</f>
        <v/>
      </c>
    </row>
    <row r="174" ht="10" customHeight="1">
      <c r="A174" s="30" t="inlineStr">
        <is>
          <t>HM&amp;E Condition System (HMECS)</t>
        </is>
      </c>
      <c r="B174" s="26" t="inlineStr">
        <is>
          <t>Electronics</t>
        </is>
      </c>
      <c r="C174" s="49">
        <f>SUMIFS(JB_26BV,JB_B,1,JB_EX,"P-8a",JB_CC,"Electronics",JB_H,"LPD",JB_CE,"HM&amp;E Condition System (HMECS)",JB_RC,"ALT")</f>
        <v/>
      </c>
      <c r="D174" s="37">
        <f>IFERROR(C174/C$182,0)</f>
        <v/>
      </c>
    </row>
    <row r="175" ht="10" customHeight="1">
      <c r="A175" s="30" t="inlineStr">
        <is>
          <t>Electronic Charting Display and Information Systems-Navy (ECDIS-N)</t>
        </is>
      </c>
      <c r="B175" s="26" t="inlineStr">
        <is>
          <t>Electronics</t>
        </is>
      </c>
      <c r="C175" s="49">
        <f>SUMIFS(JB_26BV,JB_B,1,JB_EX,"P-8a",JB_CC,"Electronics",JB_H,"LPD",JB_CE,"Electronic Charting Display and Information Systems-Navy (ECDIS-N)",JB_RC,"ALT")</f>
        <v/>
      </c>
      <c r="D175" s="37">
        <f>IFERROR(C175/C$182,0)</f>
        <v/>
      </c>
    </row>
    <row r="176" ht="10" customHeight="1">
      <c r="A176" s="30" t="inlineStr">
        <is>
          <t>Nulka Decoy Launching System (DLS)</t>
        </is>
      </c>
      <c r="B176" s="26" t="inlineStr">
        <is>
          <t>Electronics</t>
        </is>
      </c>
      <c r="C176" s="49">
        <f>SUMIFS(JB_26BV,JB_B,1,JB_EX,"P-8a",JB_CC,"Electronics",JB_H,"LPD",JB_CE,"Nulka Decoy Launching System (DLS)",JB_RC,"ALT")</f>
        <v/>
      </c>
      <c r="D176" s="37">
        <f>IFERROR(C176/C$182,0)</f>
        <v/>
      </c>
    </row>
    <row r="177" ht="10" customHeight="1">
      <c r="A177" s="30" t="inlineStr">
        <is>
          <t>Advanced Training Domain (ATD)</t>
        </is>
      </c>
      <c r="B177" s="26" t="inlineStr">
        <is>
          <t>Electronics</t>
        </is>
      </c>
      <c r="C177" s="49">
        <f>SUMIFS(JB_26BV,JB_B,1,JB_EX,"P-8a",JB_CC,"Electronics",JB_H,"LPD",JB_CE,"Advanced Training Domain (ATD)",JB_RC,"ALT")</f>
        <v/>
      </c>
      <c r="D177" s="37">
        <f>IFERROR(C177/C$182,0)</f>
        <v/>
      </c>
    </row>
    <row r="178" ht="10" customHeight="1">
      <c r="A178" s="30" t="inlineStr">
        <is>
          <t>Amphibious Assault Direction System (AADS)</t>
        </is>
      </c>
      <c r="B178" s="26" t="inlineStr">
        <is>
          <t>Electronics</t>
        </is>
      </c>
      <c r="C178" s="49">
        <f>SUMIFS(JB_26BV,JB_B,1,JB_EX,"P-8a",JB_CC,"Electronics",JB_H,"LPD",JB_CE,"Amphibious Assault Direction System (AADS)",JB_RC,"ALT")</f>
        <v/>
      </c>
      <c r="D178" s="37">
        <f>IFERROR(C178/C$182,0)</f>
        <v/>
      </c>
    </row>
    <row r="179" ht="10" customHeight="1">
      <c r="A179" s="30" t="inlineStr">
        <is>
          <t>DHYSL</t>
        </is>
      </c>
      <c r="B179" s="26" t="inlineStr">
        <is>
          <t>Electronics</t>
        </is>
      </c>
      <c r="C179" s="49">
        <f>SUMIFS(JB_26BV,JB_B,1,JB_EX,"P-8a",JB_CC,"Electronics",JB_H,"LPD",JB_CE,"DHYSL",JB_RC,"ALT")</f>
        <v/>
      </c>
      <c r="D179" s="37">
        <f>IFERROR(C179/C$182,0)</f>
        <v/>
      </c>
    </row>
    <row r="180" ht="10" customHeight="1">
      <c r="A180" s="30" t="inlineStr">
        <is>
          <t>AN/UQN-10</t>
        </is>
      </c>
      <c r="B180" s="26" t="inlineStr">
        <is>
          <t>Electronics</t>
        </is>
      </c>
      <c r="C180" s="49">
        <f>SUMIFS(JB_26BV,JB_B,1,JB_EX,"P-8a",JB_CC,"Electronics",JB_H,"LPD",JB_CE,"AN/UQN-10",JB_RC,"ALT")</f>
        <v/>
      </c>
      <c r="D180" s="37">
        <f>IFERROR(C180/C$182,0)</f>
        <v/>
      </c>
    </row>
    <row r="181" ht="10" customHeight="1">
      <c r="A181" s="30" t="inlineStr">
        <is>
          <t>RADIAC</t>
        </is>
      </c>
      <c r="B181" s="26" t="inlineStr">
        <is>
          <t>Electronics</t>
        </is>
      </c>
      <c r="C181" s="49">
        <f>SUMIFS(JB_26BV,JB_B,1,JB_EX,"P-8a",JB_CC,"Electronics",JB_H,"LPD",JB_CE,"RADIAC",JB_RC,"ALT")</f>
        <v/>
      </c>
      <c r="D181" s="37">
        <f>IFERROR(C181/C$182,0)</f>
        <v/>
      </c>
    </row>
    <row r="182" ht="10" customHeight="1">
      <c r="A182" s="32" t="inlineStr">
        <is>
          <t>LPD Total</t>
        </is>
      </c>
      <c r="B182" s="34" t="n"/>
      <c r="C182" s="33">
        <f>SUM(C149:C181)</f>
        <v/>
      </c>
      <c r="D182" s="38" t="n">
        <v>1</v>
      </c>
    </row>
    <row r="183" ht="10" customHeight="1"/>
    <row r="184" ht="10" customHeight="1">
      <c r="A184" s="46" t="inlineStr">
        <is>
          <t>T-AGOS (Surveillance Ships)</t>
        </is>
      </c>
      <c r="B184" s="39" t="n"/>
      <c r="C184" s="39" t="n"/>
      <c r="D184" s="39" t="n"/>
    </row>
    <row r="185" ht="10" customHeight="1">
      <c r="A185" s="29" t="inlineStr">
        <is>
          <t>System</t>
        </is>
      </c>
      <c r="B185" s="29" t="inlineStr">
        <is>
          <t>Cost Category</t>
        </is>
      </c>
      <c r="C185" s="29" t="inlineStr">
        <is>
          <t>FY2026 ($K)</t>
        </is>
      </c>
      <c r="D185" s="29" t="inlineStr">
        <is>
          <t>% of Hull</t>
        </is>
      </c>
    </row>
    <row r="186" ht="10" customHeight="1">
      <c r="A186" s="30" t="inlineStr">
        <is>
          <t>Surveillance Towed Array Sensor System (SURTASS)</t>
        </is>
      </c>
      <c r="B186" s="26" t="inlineStr">
        <is>
          <t>Electronics</t>
        </is>
      </c>
      <c r="C186" s="49">
        <f>SUMIFS(JB_26BV,JB_B,1,JB_EX,"P-8a",JB_CC,"Electronics",JB_H,"T-AGOS",JB_CE,"Surveillance Towed Array Sensor System (SURTASS)",JB_RC,"ALT")</f>
        <v/>
      </c>
      <c r="D186" s="37">
        <f>IFERROR(C186/C$188,0)</f>
        <v/>
      </c>
    </row>
    <row r="187" ht="10" customHeight="1">
      <c r="A187" s="30" t="inlineStr">
        <is>
          <t>Command, Control, Communications, Computers and Intelligence (C4I)</t>
        </is>
      </c>
      <c r="B187" s="26" t="inlineStr">
        <is>
          <t>Electronics</t>
        </is>
      </c>
      <c r="C187" s="49">
        <f>SUMIFS(JB_26BV,JB_B,1,JB_EX,"P-8a",JB_CC,"Electronics",JB_H,"T-AGOS",JB_CE,"Command, Control, Communications, Computers and Intelligence (C4I)",JB_RC,"ALT")</f>
        <v/>
      </c>
      <c r="D187" s="37">
        <f>IFERROR(C187/C$188,0)</f>
        <v/>
      </c>
    </row>
    <row r="188" ht="10" customHeight="1">
      <c r="A188" s="32" t="inlineStr">
        <is>
          <t>T-AGOS Total</t>
        </is>
      </c>
      <c r="B188" s="34" t="n"/>
      <c r="C188" s="33">
        <f>SUM(C186:C187)</f>
        <v/>
      </c>
      <c r="D188" s="38" t="n">
        <v>1</v>
      </c>
    </row>
    <row r="189" ht="10" customHeight="1"/>
    <row r="190" ht="10" customHeight="1">
      <c r="A190" s="46" t="inlineStr">
        <is>
          <t>T-AO (Combat Logistics Ships)</t>
        </is>
      </c>
      <c r="B190" s="39" t="n"/>
      <c r="C190" s="39" t="n"/>
      <c r="D190" s="39" t="n"/>
    </row>
    <row r="191" ht="10" customHeight="1">
      <c r="A191" s="29" t="inlineStr">
        <is>
          <t>System</t>
        </is>
      </c>
      <c r="B191" s="29" t="inlineStr">
        <is>
          <t>Cost Category</t>
        </is>
      </c>
      <c r="C191" s="29" t="inlineStr">
        <is>
          <t>FY2026 ($K)</t>
        </is>
      </c>
      <c r="D191" s="29" t="inlineStr">
        <is>
          <t>% of Hull</t>
        </is>
      </c>
    </row>
    <row r="192" ht="10" customHeight="1">
      <c r="A192" s="30" t="inlineStr">
        <is>
          <t>Engineering Services</t>
        </is>
      </c>
      <c r="B192" s="26" t="inlineStr">
        <is>
          <t>Hull, Mechanical, and Electrical</t>
        </is>
      </c>
      <c r="C192" s="49">
        <f>SUMIFS(JB_26BV,JB_B,1,JB_EX,"P-8a",JB_CC,"Hull, Mechanical, and Electrical",JB_H,"T-AO",JB_CE,"Engineering Services",JB_RC,"ALT")</f>
        <v/>
      </c>
      <c r="D192" s="37">
        <f>IFERROR(C192/C$206,0)</f>
        <v/>
      </c>
    </row>
    <row r="193" ht="10" customHeight="1">
      <c r="A193" s="30" t="inlineStr">
        <is>
          <t>Logistics Support Services</t>
        </is>
      </c>
      <c r="B193" s="26" t="inlineStr">
        <is>
          <t>Hull, Mechanical, and Electrical</t>
        </is>
      </c>
      <c r="C193" s="49">
        <f>SUMIFS(JB_26BV,JB_B,1,JB_EX,"P-8a",JB_CC,"Hull, Mechanical, and Electrical",JB_H,"T-AO",JB_CE,"Logistics Support Services",JB_RC,"ALT")</f>
        <v/>
      </c>
      <c r="D193" s="37">
        <f>IFERROR(C193/C$206,0)</f>
        <v/>
      </c>
    </row>
    <row r="194" ht="10" customHeight="1">
      <c r="A194" s="30" t="inlineStr">
        <is>
          <t>Material Handling Equipment</t>
        </is>
      </c>
      <c r="B194" s="26" t="inlineStr">
        <is>
          <t>Hull, Mechanical, and Electrical</t>
        </is>
      </c>
      <c r="C194" s="49">
        <f>SUMIFS(JB_26BV,JB_B,1,JB_EX,"P-8a",JB_CC,"Hull, Mechanical, and Electrical",JB_H,"T-AO",JB_CE,"Material Handling Equipment",JB_RC,"ALT")</f>
        <v/>
      </c>
      <c r="D194" s="37">
        <f>IFERROR(C194/C$206,0)</f>
        <v/>
      </c>
    </row>
    <row r="195" ht="10" customHeight="1">
      <c r="A195" s="30" t="inlineStr">
        <is>
          <t>Improved Point Detection System - Lifecycle Replacement (IPDS-LR)</t>
        </is>
      </c>
      <c r="B195" s="26" t="inlineStr">
        <is>
          <t>Hull, Mechanical, and Electrical</t>
        </is>
      </c>
      <c r="C195" s="49">
        <f>SUMIFS(JB_26BV,JB_B,1,JB_EX,"P-8a",JB_CC,"Hull, Mechanical, and Electrical",JB_H,"T-AO",JB_CE,"Improved Point Detection System - Lifecycle Replacement (IPDS-LR)",JB_RC,"ALT")</f>
        <v/>
      </c>
      <c r="D195" s="37">
        <f>IFERROR(C195/C$206,0)</f>
        <v/>
      </c>
    </row>
    <row r="196" ht="10" customHeight="1">
      <c r="A196" s="30" t="inlineStr">
        <is>
          <t>Shipboard Automated Maintenance Module (SAMM)</t>
        </is>
      </c>
      <c r="B196" s="26" t="inlineStr">
        <is>
          <t>Hull, Mechanical, and Electrical</t>
        </is>
      </c>
      <c r="C196" s="49">
        <f>SUMIFS(JB_26BV,JB_B,1,JB_EX,"P-8a",JB_CC,"Hull, Mechanical, and Electrical",JB_H,"T-AO",JB_CE,"Shipboard Automated Maintenance Module (SAMM)",JB_RC,"ALT")</f>
        <v/>
      </c>
      <c r="D196" s="37">
        <f>IFERROR(C196/C$206,0)</f>
        <v/>
      </c>
    </row>
    <row r="197" ht="10" customHeight="1">
      <c r="A197" s="30" t="inlineStr">
        <is>
          <t>Network Management System (NMS) 2.0/Consolidated Afloat Networks and Enterprise Services (CANES) [T-AO 214]</t>
        </is>
      </c>
      <c r="B197" s="26" t="inlineStr">
        <is>
          <t>Electronics</t>
        </is>
      </c>
      <c r="C197" s="49">
        <f>SUMIFS(JB_26BV,JB_B,1,JB_EX,"P-8a",JB_CC,"Electronics",JB_H,"T-AO",JB_CE,"Network Management System (NMS) 2.0/Consolidated Afloat Networks and Enterprise Services (CANES) [T-AO 214]",JB_RC,"ALT")</f>
        <v/>
      </c>
      <c r="D197" s="37">
        <f>IFERROR(C197/C$206,0)</f>
        <v/>
      </c>
    </row>
    <row r="198" ht="10" customHeight="1">
      <c r="A198" s="30" t="inlineStr">
        <is>
          <t>Minor Systems</t>
        </is>
      </c>
      <c r="B198" s="26" t="inlineStr">
        <is>
          <t>Electronics</t>
        </is>
      </c>
      <c r="C198" s="49">
        <f>SUMIFS(JB_26BV,JB_B,1,JB_EX,"P-8a",JB_CC,"Electronics",JB_H,"T-AO",JB_CE,"Minor Systems",JB_RC,"ALT")</f>
        <v/>
      </c>
      <c r="D198" s="37">
        <f>IFERROR(C198/C$206,0)</f>
        <v/>
      </c>
    </row>
    <row r="199" ht="10" customHeight="1">
      <c r="A199" s="30" t="inlineStr">
        <is>
          <t>Radio Communication System (RCS) TURNKEY</t>
        </is>
      </c>
      <c r="B199" s="26" t="inlineStr">
        <is>
          <t>Electronics</t>
        </is>
      </c>
      <c r="C199" s="49">
        <f>SUMIFS(JB_26BV,JB_B,1,JB_EX,"P-8a",JB_CC,"Electronics",JB_H,"T-AO",JB_CE,"Radio Communication System (RCS) TURNKEY",JB_RC,"ALT")</f>
        <v/>
      </c>
      <c r="D199" s="37">
        <f>IFERROR(C199/C$206,0)</f>
        <v/>
      </c>
    </row>
    <row r="200" ht="10" customHeight="1">
      <c r="A200" s="30" t="inlineStr">
        <is>
          <t>AN/SLQ-25 NIXIE</t>
        </is>
      </c>
      <c r="B200" s="26" t="inlineStr">
        <is>
          <t>Electronics</t>
        </is>
      </c>
      <c r="C200" s="49">
        <f>SUMIFS(JB_26BV,JB_B,1,JB_EX,"P-8a",JB_CC,"Electronics",JB_H,"T-AO",JB_CE,"AN/SLQ-25 NIXIE",JB_RC,"ALT")</f>
        <v/>
      </c>
      <c r="D200" s="37">
        <f>IFERROR(C200/C$206,0)</f>
        <v/>
      </c>
    </row>
    <row r="201" ht="10" customHeight="1">
      <c r="A201" s="30" t="inlineStr">
        <is>
          <t>Digital Modular Radio (DMR)</t>
        </is>
      </c>
      <c r="B201" s="26" t="inlineStr">
        <is>
          <t>Electronics</t>
        </is>
      </c>
      <c r="C201" s="49">
        <f>SUMIFS(JB_26BV,JB_B,1,JB_EX,"P-8a",JB_CC,"Electronics",JB_H,"T-AO",JB_CE,"Digital Modular Radio (DMR)",JB_RC,"ALT")</f>
        <v/>
      </c>
      <c r="D201" s="37">
        <f>IFERROR(C201/C$206,0)</f>
        <v/>
      </c>
    </row>
    <row r="202" ht="10" customHeight="1">
      <c r="A202" s="30" t="inlineStr">
        <is>
          <t>Commercial Broadband Satellite Program (CBSP)</t>
        </is>
      </c>
      <c r="B202" s="26" t="inlineStr">
        <is>
          <t>Electronics</t>
        </is>
      </c>
      <c r="C202" s="49">
        <f>SUMIFS(JB_26BV,JB_B,1,JB_EX,"P-8a",JB_CC,"Electronics",JB_H,"T-AO",JB_CE,"Commercial Broadband Satellite Program (CBSP)",JB_RC,"ALT")</f>
        <v/>
      </c>
      <c r="D202" s="37">
        <f>IFERROR(C202/C$206,0)</f>
        <v/>
      </c>
    </row>
    <row r="203" ht="10" customHeight="1">
      <c r="A203" s="30" t="inlineStr">
        <is>
          <t>OA-9277A</t>
        </is>
      </c>
      <c r="B203" s="26" t="inlineStr">
        <is>
          <t>Electronics</t>
        </is>
      </c>
      <c r="C203" s="49">
        <f>SUMIFS(JB_26BV,JB_B,1,JB_EX,"P-8a",JB_CC,"Electronics",JB_H,"T-AO",JB_CE,"OA-9277A",JB_RC,"ALT")</f>
        <v/>
      </c>
      <c r="D203" s="37">
        <f>IFERROR(C203/C$206,0)</f>
        <v/>
      </c>
    </row>
    <row r="204" ht="10" customHeight="1">
      <c r="A204" s="30" t="inlineStr">
        <is>
          <t>Battle Force Tactical Network (BFTN)/BFTN Resilient Command and Control System Enhancement (BRSE)</t>
        </is>
      </c>
      <c r="B204" s="26" t="inlineStr">
        <is>
          <t>Electronics</t>
        </is>
      </c>
      <c r="C204" s="49">
        <f>SUMIFS(JB_26BV,JB_B,1,JB_EX,"P-8a",JB_CC,"Electronics",JB_H,"T-AO",JB_CE,"Battle Force Tactical Network (BFTN)/BFTN Resilient Command and Control System Enhancement (BRSE)",JB_RC,"ALT")</f>
        <v/>
      </c>
      <c r="D204" s="37">
        <f>IFERROR(C204/C$206,0)</f>
        <v/>
      </c>
    </row>
    <row r="205" ht="10" customHeight="1">
      <c r="A205" s="30" t="inlineStr">
        <is>
          <t>AN/USQ-155 Tactical Variant Switch (TVS)</t>
        </is>
      </c>
      <c r="B205" s="26" t="inlineStr">
        <is>
          <t>Electronics</t>
        </is>
      </c>
      <c r="C205" s="49">
        <f>SUMIFS(JB_26BV,JB_B,1,JB_EX,"P-8a",JB_CC,"Electronics",JB_H,"T-AO",JB_CE,"AN/USQ-155 Tactical Variant Switch (TVS)",JB_RC,"ALT")</f>
        <v/>
      </c>
      <c r="D205" s="37">
        <f>IFERROR(C205/C$206,0)</f>
        <v/>
      </c>
    </row>
    <row r="206" ht="10" customHeight="1">
      <c r="A206" s="32" t="inlineStr">
        <is>
          <t>T-AO Total</t>
        </is>
      </c>
      <c r="B206" s="34" t="n"/>
      <c r="C206" s="33">
        <f>SUM(C192:C205)</f>
        <v/>
      </c>
      <c r="D206" s="38" t="n">
        <v>1</v>
      </c>
    </row>
    <row r="207" ht="10" customHeight="1"/>
    <row r="208" ht="10" customHeight="1"/>
    <row r="209" ht="10" customHeight="1">
      <c r="A209" s="27" t="inlineStr">
        <is>
          <t>(C) Top P-8a Systems — Cross-Program Summary — FY2026 ($K)</t>
        </is>
      </c>
      <c r="B209" s="28" t="n"/>
      <c r="C209" s="28" t="n"/>
      <c r="D209" s="28" t="n"/>
      <c r="E209" s="28" t="n"/>
    </row>
    <row r="210" ht="10" customHeight="1">
      <c r="A210" s="26" t="inlineStr">
        <is>
          <t>Largest GFE systems aggregated across all SAM hull programs.</t>
        </is>
      </c>
    </row>
    <row r="211" ht="10" customHeight="1">
      <c r="A211" s="29" t="inlineStr">
        <is>
          <t>System</t>
        </is>
      </c>
      <c r="B211" s="29" t="inlineStr">
        <is>
          <t>Cost Category</t>
        </is>
      </c>
      <c r="C211" s="29" t="inlineStr">
        <is>
          <t>FY2026 ($K)</t>
        </is>
      </c>
      <c r="D211" s="29" t="inlineStr">
        <is>
          <t># Hulls</t>
        </is>
      </c>
      <c r="E211" s="29" t="inlineStr">
        <is>
          <t>Hull Programs</t>
        </is>
      </c>
    </row>
    <row r="212" ht="10" customHeight="1">
      <c r="A212" s="30" t="inlineStr">
        <is>
          <t>AN/SPY-6(V)1 (AMDR)</t>
        </is>
      </c>
      <c r="B212" s="26" t="inlineStr">
        <is>
          <t>Ordnance</t>
        </is>
      </c>
      <c r="C212" s="49">
        <f>SUMIFS(JB_26BV,JB_B,1,JB_EX,"P-8a",JB_CE,"AN/SPY-6(V)1 (AMDR)",JB_RC,"ALT")</f>
        <v/>
      </c>
      <c r="D212" s="30" t="n">
        <v>1</v>
      </c>
      <c r="E212" s="26" t="inlineStr">
        <is>
          <t>DDG</t>
        </is>
      </c>
    </row>
    <row r="213" ht="10" customHeight="1">
      <c r="A213" s="30" t="inlineStr">
        <is>
          <t>AEGIS WEAPON SYSTEM (MK-7)</t>
        </is>
      </c>
      <c r="B213" s="26" t="inlineStr">
        <is>
          <t>Ordnance</t>
        </is>
      </c>
      <c r="C213" s="49">
        <f>SUMIFS(JB_26BV,JB_B,1,JB_EX,"P-8a",JB_CE,"AEGIS WEAPON SYSTEM (MK-7)",JB_RC,"ALT")</f>
        <v/>
      </c>
      <c r="D213" s="30" t="n">
        <v>1</v>
      </c>
      <c r="E213" s="26" t="inlineStr">
        <is>
          <t>DDG</t>
        </is>
      </c>
    </row>
    <row r="214" ht="10" customHeight="1">
      <c r="A214" s="30" t="inlineStr">
        <is>
          <t>VERTICAL LAUNCHING SYSTEM (VLS) MK 57 4-CELL MODULES</t>
        </is>
      </c>
      <c r="B214" s="26" t="inlineStr">
        <is>
          <t>Electronics</t>
        </is>
      </c>
      <c r="C214" s="49">
        <f>SUMIFS(JB_26BV,JB_B,1,JB_EX,"P-8a",JB_CE,"VERTICAL LAUNCHING SYSTEM (VLS) MK 57 4-CELL MODULES",JB_RC,"ALT")</f>
        <v/>
      </c>
      <c r="D214" s="30" t="n">
        <v>1</v>
      </c>
      <c r="E214" s="26" t="inlineStr">
        <is>
          <t>DDG</t>
        </is>
      </c>
    </row>
    <row r="215" ht="10" customHeight="1">
      <c r="A215" s="30" t="inlineStr">
        <is>
          <t>MULTI FUNCTION RADAR (MFR)</t>
        </is>
      </c>
      <c r="B215" s="26" t="inlineStr">
        <is>
          <t>Electronics</t>
        </is>
      </c>
      <c r="C215" s="49">
        <f>SUMIFS(JB_26BV,JB_B,1,JB_EX,"P-8a",JB_CE,"MULTI FUNCTION RADAR (MFR)",JB_RC,"ALT")</f>
        <v/>
      </c>
      <c r="D215" s="30" t="n">
        <v>1</v>
      </c>
      <c r="E215" s="26" t="inlineStr">
        <is>
          <t>DDG</t>
        </is>
      </c>
    </row>
    <row r="216" ht="10" customHeight="1">
      <c r="A216" s="30" t="inlineStr">
        <is>
          <t>TOTAL SHIP COMPUTING ENVIRONMENT (TSCE)</t>
        </is>
      </c>
      <c r="B216" s="26" t="inlineStr">
        <is>
          <t>Electronics</t>
        </is>
      </c>
      <c r="C216" s="49">
        <f>SUMIFS(JB_26BV,JB_B,1,JB_EX,"P-8a",JB_CE,"TOTAL SHIP COMPUTING ENVIRONMENT (TSCE)",JB_RC,"ALT")</f>
        <v/>
      </c>
      <c r="D216" s="30" t="n">
        <v>1</v>
      </c>
      <c r="E216" s="26" t="inlineStr">
        <is>
          <t>DDG</t>
        </is>
      </c>
    </row>
    <row r="217" ht="10" customHeight="1">
      <c r="A217" s="30" t="inlineStr">
        <is>
          <t>ADVANCED GUN SYSTEM (AGS)</t>
        </is>
      </c>
      <c r="B217" s="26" t="inlineStr">
        <is>
          <t>Ordnance</t>
        </is>
      </c>
      <c r="C217" s="49">
        <f>SUMIFS(JB_26BV,JB_B,1,JB_EX,"P-8a",JB_CE,"ADVANCED GUN SYSTEM (AGS)",JB_RC,"ALT")</f>
        <v/>
      </c>
      <c r="D217" s="30" t="n">
        <v>1</v>
      </c>
      <c r="E217" s="26" t="inlineStr">
        <is>
          <t>DDG</t>
        </is>
      </c>
    </row>
    <row r="218" ht="10" customHeight="1">
      <c r="A218" s="30" t="inlineStr">
        <is>
          <t>AN/SLQ-32 SEWIP V(7)</t>
        </is>
      </c>
      <c r="B218" s="26" t="inlineStr">
        <is>
          <t>Electronics</t>
        </is>
      </c>
      <c r="C218" s="49">
        <f>SUMIFS(JB_26BV,JB_B,1,JB_EX,"P-8a",JB_CE,"AN/SLQ-32 SEWIP V(7)",JB_RC,"ALT")</f>
        <v/>
      </c>
      <c r="D218" s="30" t="n">
        <v>1</v>
      </c>
      <c r="E218" s="26" t="inlineStr">
        <is>
          <t>DDG</t>
        </is>
      </c>
    </row>
    <row r="219" ht="10" customHeight="1">
      <c r="A219" s="30" t="inlineStr">
        <is>
          <t>VLS MK 41</t>
        </is>
      </c>
      <c r="B219" s="26" t="inlineStr">
        <is>
          <t>Ordnance</t>
        </is>
      </c>
      <c r="C219" s="49">
        <f>SUMIFS(JB_26BV,JB_B,1,JB_EX,"P-8a",JB_CE,"VLS MK 41",JB_RC,"ALT")</f>
        <v/>
      </c>
      <c r="D219" s="30" t="n">
        <v>1</v>
      </c>
      <c r="E219" s="26" t="inlineStr">
        <is>
          <t>DDG</t>
        </is>
      </c>
    </row>
    <row r="220" ht="10" customHeight="1">
      <c r="A220" s="30" t="inlineStr">
        <is>
          <t>EXCOMM</t>
        </is>
      </c>
      <c r="B220" s="26" t="inlineStr">
        <is>
          <t>Electronics</t>
        </is>
      </c>
      <c r="C220" s="49">
        <f>SUMIFS(JB_26BV,JB_B,1,JB_EX,"P-8a",JB_CE,"EXCOMM",JB_RC,"ALT")</f>
        <v/>
      </c>
      <c r="D220" s="30" t="n">
        <v>1</v>
      </c>
      <c r="E220" s="26" t="inlineStr">
        <is>
          <t>DDG</t>
        </is>
      </c>
    </row>
    <row r="221" ht="10" customHeight="1">
      <c r="A221" s="30" t="inlineStr">
        <is>
          <t>MISC. ORDNANCE</t>
        </is>
      </c>
      <c r="B221" s="26" t="inlineStr">
        <is>
          <t>Ordnance</t>
        </is>
      </c>
      <c r="C221" s="49">
        <f>SUMIFS(JB_26BV,JB_B,1,JB_EX,"P-8a",JB_CE,"MISC. ORDNANCE",JB_RC,"ALT")</f>
        <v/>
      </c>
      <c r="D221" s="30" t="n">
        <v>1</v>
      </c>
      <c r="E221" s="26" t="inlineStr">
        <is>
          <t>DDG</t>
        </is>
      </c>
    </row>
    <row r="222" ht="10" customHeight="1">
      <c r="A222" s="30" t="inlineStr">
        <is>
          <t>SQQ 89 ASW</t>
        </is>
      </c>
      <c r="B222" s="26" t="inlineStr">
        <is>
          <t>Electronics</t>
        </is>
      </c>
      <c r="C222" s="49">
        <f>SUMIFS(JB_26BV,JB_B,1,JB_EX,"P-8a",JB_CE,"SQQ 89 ASW",JB_RC,"ALT")</f>
        <v/>
      </c>
      <c r="D222" s="30" t="n">
        <v>1</v>
      </c>
      <c r="E222" s="26" t="inlineStr">
        <is>
          <t>DDG</t>
        </is>
      </c>
    </row>
    <row r="223" ht="10" customHeight="1">
      <c r="A223" s="30" t="inlineStr">
        <is>
          <t>Command, Control, Communication, Computer Intelligence Surveillance and Reconnaissance (C4ISR)</t>
        </is>
      </c>
      <c r="B223" s="26" t="inlineStr">
        <is>
          <t>Electronics</t>
        </is>
      </c>
      <c r="C223" s="49">
        <f>SUMIFS(JB_26BV,JB_B,1,JB_EX,"P-8a",JB_CE,"Command, Control, Communication, Computer Intelligence Surveillance and Reconnaissance (C4ISR)",JB_RC,"ALT")</f>
        <v/>
      </c>
      <c r="D223" s="30" t="n">
        <v>1</v>
      </c>
      <c r="E223" s="26" t="inlineStr">
        <is>
          <t>LHA</t>
        </is>
      </c>
    </row>
    <row r="224" ht="10" customHeight="1">
      <c r="A224" s="30" t="inlineStr">
        <is>
          <t>Enterprise Air Surveillance Radar (EASR)</t>
        </is>
      </c>
      <c r="B224" s="26" t="inlineStr">
        <is>
          <t>Ordnance</t>
        </is>
      </c>
      <c r="C224" s="49">
        <f>SUMIFS(JB_26BV,JB_B,1,JB_EX,"P-8a",JB_CE,"Enterprise Air Surveillance Radar (EASR)",JB_RC,"ALT")</f>
        <v/>
      </c>
      <c r="D224" s="30" t="n">
        <v>2</v>
      </c>
      <c r="E224" s="26" t="inlineStr">
        <is>
          <t>FFG, LHA</t>
        </is>
      </c>
    </row>
    <row r="225" ht="10" customHeight="1">
      <c r="A225" s="30" t="inlineStr">
        <is>
          <t>MISSION SYSTEM ENGR INTEGR &amp; TEST (MSEIT)</t>
        </is>
      </c>
      <c r="B225" s="26" t="inlineStr">
        <is>
          <t>Electronics</t>
        </is>
      </c>
      <c r="C225" s="49">
        <f>SUMIFS(JB_26BV,JB_B,1,JB_EX,"P-8a",JB_CE,"MISSION SYSTEM ENGR INTEGR &amp; TEST (MSEIT)",JB_RC,"ALT")</f>
        <v/>
      </c>
      <c r="D225" s="30" t="n">
        <v>1</v>
      </c>
      <c r="E225" s="26" t="inlineStr">
        <is>
          <t>DDG</t>
        </is>
      </c>
    </row>
    <row r="226" ht="10" customHeight="1">
      <c r="A226" s="30" t="inlineStr">
        <is>
          <t>MISSION SYSTEM ACTIVATION</t>
        </is>
      </c>
      <c r="B226" s="26" t="inlineStr">
        <is>
          <t>Electronics</t>
        </is>
      </c>
      <c r="C226" s="49">
        <f>SUMIFS(JB_26BV,JB_B,1,JB_EX,"P-8a",JB_CE,"MISSION SYSTEM ACTIVATION",JB_RC,"ALT")</f>
        <v/>
      </c>
      <c r="D226" s="30" t="n">
        <v>1</v>
      </c>
      <c r="E226" s="26" t="inlineStr">
        <is>
          <t>DDG</t>
        </is>
      </c>
    </row>
    <row r="227" ht="10" customHeight="1">
      <c r="A227" s="30" t="inlineStr">
        <is>
          <t>SHIP CONTROL SYSTEM (SCS)</t>
        </is>
      </c>
      <c r="B227" s="26" t="inlineStr">
        <is>
          <t>Electronics</t>
        </is>
      </c>
      <c r="C227" s="49">
        <f>SUMIFS(JB_26BV,JB_B,1,JB_EX,"P-8a",JB_CE,"SHIP CONTROL SYSTEM (SCS)",JB_RC,"ALT")</f>
        <v/>
      </c>
      <c r="D227" s="30" t="n">
        <v>1</v>
      </c>
      <c r="E227" s="26" t="inlineStr">
        <is>
          <t>DDG</t>
        </is>
      </c>
    </row>
    <row r="228" ht="10" customHeight="1">
      <c r="A228" s="30" t="inlineStr">
        <is>
          <t>INTEGRATED UNDERSEA WARFARE (IUSW) SYSTEM</t>
        </is>
      </c>
      <c r="B228" s="26" t="inlineStr">
        <is>
          <t>Electronics</t>
        </is>
      </c>
      <c r="C228" s="49">
        <f>SUMIFS(JB_26BV,JB_B,1,JB_EX,"P-8a",JB_CE,"INTEGRATED UNDERSEA WARFARE (IUSW) SYSTEM",JB_RC,"ALT")</f>
        <v/>
      </c>
      <c r="D228" s="30" t="n">
        <v>1</v>
      </c>
      <c r="E228" s="26" t="inlineStr">
        <is>
          <t>DDG</t>
        </is>
      </c>
    </row>
    <row r="229" ht="10" customHeight="1">
      <c r="A229" s="30" t="inlineStr">
        <is>
          <t>MISC. ELECTRONICS</t>
        </is>
      </c>
      <c r="B229" s="26" t="inlineStr">
        <is>
          <t>Electronics</t>
        </is>
      </c>
      <c r="C229" s="49">
        <f>SUMIFS(JB_26BV,JB_B,1,JB_EX,"P-8a",JB_CE,"MISC. ELECTRONICS",JB_RC,"ALT")</f>
        <v/>
      </c>
      <c r="D229" s="30" t="n">
        <v>1</v>
      </c>
      <c r="E229" s="26" t="inlineStr">
        <is>
          <t>DDG</t>
        </is>
      </c>
    </row>
    <row r="230" ht="10" customHeight="1">
      <c r="A230" s="30" t="inlineStr">
        <is>
          <t>AEGIS Weapon System (AWS)</t>
        </is>
      </c>
      <c r="B230" s="26" t="inlineStr">
        <is>
          <t>Electronics</t>
        </is>
      </c>
      <c r="C230" s="49">
        <f>SUMIFS(JB_26BV,JB_B,1,JB_EX,"P-8a",JB_CE,"AEGIS Weapon System (AWS)",JB_RC,"ALT")</f>
        <v/>
      </c>
      <c r="D230" s="30" t="n">
        <v>1</v>
      </c>
      <c r="E230" s="26" t="inlineStr">
        <is>
          <t>FFG</t>
        </is>
      </c>
    </row>
    <row r="231" ht="10" customHeight="1">
      <c r="A231" s="30" t="inlineStr">
        <is>
          <t>MK 45 Light Weight Gun (LWG)</t>
        </is>
      </c>
      <c r="B231" s="26" t="inlineStr">
        <is>
          <t>Ordnance</t>
        </is>
      </c>
      <c r="C231" s="49">
        <f>SUMIFS(JB_26BV,JB_B,1,JB_EX,"P-8a",JB_CE,"MK 45 Light Weight Gun (LWG)",JB_RC,"ALT")</f>
        <v/>
      </c>
      <c r="D231" s="30" t="n">
        <v>1</v>
      </c>
      <c r="E231" s="26" t="inlineStr">
        <is>
          <t>DDG</t>
        </is>
      </c>
    </row>
    <row r="232" ht="10" customHeight="1">
      <c r="A232" s="30" t="inlineStr">
        <is>
          <t>Surveillance Towed Array Sensor System (SURTASS)</t>
        </is>
      </c>
      <c r="B232" s="26" t="inlineStr">
        <is>
          <t>Electronics</t>
        </is>
      </c>
      <c r="C232" s="49">
        <f>SUMIFS(JB_26BV,JB_B,1,JB_EX,"P-8a",JB_CE,"Surveillance Towed Array Sensor System (SURTASS)",JB_RC,"ALT")</f>
        <v/>
      </c>
      <c r="D232" s="30" t="n">
        <v>1</v>
      </c>
      <c r="E232" s="26" t="inlineStr">
        <is>
          <t>T-AGOS</t>
        </is>
      </c>
    </row>
    <row r="233" ht="10" customHeight="1">
      <c r="A233" s="30" t="inlineStr">
        <is>
          <t>C4ISR</t>
        </is>
      </c>
      <c r="B233" s="26" t="inlineStr">
        <is>
          <t>Electronics</t>
        </is>
      </c>
      <c r="C233" s="49">
        <f>SUMIFS(JB_26BV,JB_B,1,JB_EX,"P-8a",JB_CE,"C4ISR",JB_RC,"ALT")</f>
        <v/>
      </c>
      <c r="D233" s="30" t="n">
        <v>1</v>
      </c>
      <c r="E233" s="26" t="inlineStr">
        <is>
          <t>LPD</t>
        </is>
      </c>
    </row>
    <row r="234" ht="10" customHeight="1">
      <c r="A234" s="30" t="inlineStr">
        <is>
          <t>EXTERIOR COMMUNICATIONS (EXCOMMS)</t>
        </is>
      </c>
      <c r="B234" s="26" t="inlineStr">
        <is>
          <t>Electronics</t>
        </is>
      </c>
      <c r="C234" s="49">
        <f>SUMIFS(JB_26BV,JB_B,1,JB_EX,"P-8a",JB_CE,"EXTERIOR COMMUNICATIONS (EXCOMMS)",JB_RC,"ALT")</f>
        <v/>
      </c>
      <c r="D234" s="30" t="n">
        <v>1</v>
      </c>
      <c r="E234" s="26" t="inlineStr">
        <is>
          <t>DDG</t>
        </is>
      </c>
    </row>
    <row r="235" ht="10" customHeight="1">
      <c r="A235" s="30" t="inlineStr">
        <is>
          <t>SPECTRAL</t>
        </is>
      </c>
      <c r="B235" s="26" t="inlineStr">
        <is>
          <t>Electronics</t>
        </is>
      </c>
      <c r="C235" s="49">
        <f>SUMIFS(JB_26BV,JB_B,1,JB_EX,"P-8a",JB_CE,"SPECTRAL",JB_RC,"ALT")</f>
        <v/>
      </c>
      <c r="D235" s="30" t="n">
        <v>1</v>
      </c>
      <c r="E235" s="26" t="inlineStr">
        <is>
          <t>DDG</t>
        </is>
      </c>
    </row>
    <row r="236" ht="10" customHeight="1">
      <c r="A236" s="30" t="inlineStr">
        <is>
          <t>Anti-Submarine Warfare (ASW) Combat Suite</t>
        </is>
      </c>
      <c r="B236" s="26" t="inlineStr">
        <is>
          <t>Electronics</t>
        </is>
      </c>
      <c r="C236" s="49">
        <f>SUMIFS(JB_26BV,JB_B,1,JB_EX,"P-8a",JB_CE,"Anti-Submarine Warfare (ASW) Combat Suite",JB_RC,"ALT")</f>
        <v/>
      </c>
      <c r="D236" s="30" t="n">
        <v>1</v>
      </c>
      <c r="E236" s="26" t="inlineStr">
        <is>
          <t>FFG</t>
        </is>
      </c>
    </row>
    <row r="237" ht="10" customHeight="1">
      <c r="A237" s="30" t="inlineStr">
        <is>
          <t>DDG 1002 TSCE MODERNIZATION</t>
        </is>
      </c>
      <c r="B237" s="26" t="inlineStr">
        <is>
          <t>Electronics</t>
        </is>
      </c>
      <c r="C237" s="49">
        <f>SUMIFS(JB_26BV,JB_B,1,JB_EX,"P-8a",JB_CE,"DDG 1002 TSCE MODERNIZATION",JB_RC,"ALT")</f>
        <v/>
      </c>
      <c r="D237" s="30" t="n">
        <v>1</v>
      </c>
      <c r="E237" s="26" t="inlineStr">
        <is>
          <t>DDG</t>
        </is>
      </c>
    </row>
    <row r="238" ht="10" customHeight="1">
      <c r="A238" s="30" t="inlineStr">
        <is>
          <t>MK 41 Vertical Launch System (VLS)- 32 Cell</t>
        </is>
      </c>
      <c r="B238" s="26" t="inlineStr">
        <is>
          <t>Ordnance</t>
        </is>
      </c>
      <c r="C238" s="49">
        <f>SUMIFS(JB_26BV,JB_B,1,JB_EX,"P-8a",JB_CE,"MK 41 Vertical Launch System (VLS)- 32 Cell",JB_RC,"ALT")</f>
        <v/>
      </c>
      <c r="D238" s="30" t="n">
        <v>1</v>
      </c>
      <c r="E238" s="26" t="inlineStr">
        <is>
          <t>FFG</t>
        </is>
      </c>
    </row>
    <row r="239" ht="10" customHeight="1">
      <c r="A239" s="30" t="inlineStr">
        <is>
          <t>MISC. HM&amp;E</t>
        </is>
      </c>
      <c r="B239" s="26" t="inlineStr">
        <is>
          <t>Hull, Mechanical, and Electrical</t>
        </is>
      </c>
      <c r="C239" s="49">
        <f>SUMIFS(JB_26BV,JB_B,1,JB_EX,"P-8a",JB_CE,"MISC. HM&amp;E",JB_RC,"ALT")</f>
        <v/>
      </c>
      <c r="D239" s="30" t="n">
        <v>1</v>
      </c>
      <c r="E239" s="26" t="inlineStr">
        <is>
          <t>DDG</t>
        </is>
      </c>
    </row>
    <row r="240" ht="10" customHeight="1">
      <c r="A240" s="30" t="inlineStr">
        <is>
          <t>MK 37 TOMAHAWK</t>
        </is>
      </c>
      <c r="B240" s="26" t="inlineStr">
        <is>
          <t>Ordnance</t>
        </is>
      </c>
      <c r="C240" s="49">
        <f>SUMIFS(JB_26BV,JB_B,1,JB_EX,"P-8a",JB_CE,"MK 37 TOMAHAWK",JB_RC,"ALT")</f>
        <v/>
      </c>
      <c r="D240" s="30" t="n">
        <v>1</v>
      </c>
      <c r="E240" s="26" t="inlineStr">
        <is>
          <t>DDG</t>
        </is>
      </c>
    </row>
    <row r="241" ht="10" customHeight="1">
      <c r="A241" s="30" t="inlineStr">
        <is>
          <t>USQ 82(V) GEDMS</t>
        </is>
      </c>
      <c r="B241" s="26" t="inlineStr">
        <is>
          <t>Electronics</t>
        </is>
      </c>
      <c r="C241" s="49">
        <f>SUMIFS(JB_26BV,JB_B,1,JB_EX,"P-8a",JB_CE,"USQ 82(V) GEDMS",JB_RC,"ALT")</f>
        <v/>
      </c>
      <c r="D241" s="30" t="n">
        <v>1</v>
      </c>
      <c r="E241" s="26" t="inlineStr">
        <is>
          <t>DDG</t>
        </is>
      </c>
    </row>
    <row r="242" ht="10" customHeight="1">
      <c r="A242" s="32" t="inlineStr">
        <is>
          <t>Total (top systems)</t>
        </is>
      </c>
      <c r="B242" s="34" t="n"/>
      <c r="C242" s="33">
        <f>SUM(C212:C241)</f>
        <v/>
      </c>
      <c r="D242" s="34" t="n"/>
      <c r="E242" s="34" t="n"/>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Cargo &amp; Vehicle Cargo Ships</t>
        </is>
      </c>
      <c r="B35" s="30" t="inlineStr">
        <is>
          <t>USN</t>
        </is>
      </c>
      <c r="C35"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35" s="37">
        <f>IFERROR(C35/C$55,0)</f>
        <v/>
      </c>
    </row>
    <row r="36" ht="10" customHeight="1">
      <c r="A36" s="30" t="inlineStr">
        <is>
          <t>Combat Logistics Ships</t>
        </is>
      </c>
      <c r="B36" s="30" t="inlineStr">
        <is>
          <t>MSC</t>
        </is>
      </c>
      <c r="C36"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6" s="37">
        <f>IFERROR(C36/C$55,0)</f>
        <v/>
      </c>
    </row>
    <row r="37" ht="10" customHeight="1">
      <c r="A37" s="30" t="inlineStr">
        <is>
          <t>Unmanned Surface Vehicles</t>
        </is>
      </c>
      <c r="B37" s="30" t="inlineStr">
        <is>
          <t>USN</t>
        </is>
      </c>
      <c r="C37"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37" s="37">
        <f>IFERROR(C37/C$55,0)</f>
        <v/>
      </c>
    </row>
    <row r="38" ht="10" customHeight="1">
      <c r="A38" s="30" t="inlineStr">
        <is>
          <t>Unmanned Undersea Vehicles</t>
        </is>
      </c>
      <c r="B38" s="30" t="inlineStr">
        <is>
          <t>USN</t>
        </is>
      </c>
      <c r="C3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38" s="37">
        <f>IFERROR(C38/C$55,0)</f>
        <v/>
      </c>
    </row>
    <row r="39" ht="10" customHeight="1">
      <c r="A39" s="30" t="inlineStr">
        <is>
          <t>Submarine Escort Ship</t>
        </is>
      </c>
      <c r="B39" s="30" t="inlineStr">
        <is>
          <t>USN</t>
        </is>
      </c>
      <c r="C39"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39" s="37">
        <f>IFERROR(C39/C$55,0)</f>
        <v/>
      </c>
    </row>
    <row r="40" ht="10" customHeight="1">
      <c r="A40" s="30" t="inlineStr">
        <is>
          <t>High Speed Transport</t>
        </is>
      </c>
      <c r="B40" s="30" t="inlineStr">
        <is>
          <t>USN</t>
        </is>
      </c>
      <c r="C40"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0" s="37">
        <f>IFERROR(C40/C$55,0)</f>
        <v/>
      </c>
    </row>
    <row r="41" ht="10" customHeight="1">
      <c r="A41" s="30" t="inlineStr">
        <is>
          <t>General Auxiliary</t>
        </is>
      </c>
      <c r="B41" s="30" t="inlineStr">
        <is>
          <t>USN</t>
        </is>
      </c>
      <c r="C41"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1" s="37">
        <f>IFERROR(C41/C$55,0)</f>
        <v/>
      </c>
    </row>
    <row r="42" ht="10" customHeight="1">
      <c r="A42" s="30" t="inlineStr">
        <is>
          <t>Aviation Logistics Support Ship</t>
        </is>
      </c>
      <c r="B42" s="30" t="inlineStr">
        <is>
          <t>USN</t>
        </is>
      </c>
      <c r="C42"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42" s="37">
        <f>IFERROR(C42/C$55,0)</f>
        <v/>
      </c>
    </row>
    <row r="43" ht="10" customHeight="1">
      <c r="A43" s="30" t="inlineStr">
        <is>
          <t>Research, Survey &amp; Instrumentation Ships</t>
        </is>
      </c>
      <c r="B43" s="30" t="inlineStr">
        <is>
          <t>MSC</t>
        </is>
      </c>
      <c r="C43"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43" s="37">
        <f>IFERROR(C43/C$55,0)</f>
        <v/>
      </c>
    </row>
    <row r="44" ht="10" customHeight="1">
      <c r="A44" s="30" t="inlineStr">
        <is>
          <t>Crane Ship</t>
        </is>
      </c>
      <c r="B44" s="30" t="inlineStr">
        <is>
          <t>USN</t>
        </is>
      </c>
      <c r="C44" s="31">
        <f>SUMIFS(JB_26BV,JB_B,2,JB_W,"Crane Ship",JB_RC,"ADD")+SUMIFS(JB_26BV,JB_B,3,JB_W,"Crane Ship",JB_RC,"ADD")+SUMIFS(JB_26BV,JB_B,4,JB_W,"Crane Ship",JB_RC,"ADD")+SUMIFS(JB_26BV,JB_B,5,JB_W,"Crane Ship",JB_RC,"ADD")+SUMIFS(JB_26BV,JB_B,6,JB_W,"Crane Ship",JB_RC,"ADD")+SUMIFS(JB_26BV,JB_B,7,JB_W,"Crane Ship",JB_RC,"ADD")</f>
        <v/>
      </c>
      <c r="D44" s="37">
        <f>IFERROR(C44/C$55,0)</f>
        <v/>
      </c>
    </row>
    <row r="45" ht="10" customHeight="1">
      <c r="A45" s="30" t="inlineStr">
        <is>
          <t>Salvage Ships &amp; Fleet Ocean Tugs</t>
        </is>
      </c>
      <c r="B45" s="30" t="inlineStr">
        <is>
          <t>MSC</t>
        </is>
      </c>
      <c r="C45"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5" s="37">
        <f>IFERROR(C45/C$55,0)</f>
        <v/>
      </c>
    </row>
    <row r="46" ht="10" customHeight="1">
      <c r="A46" s="30" t="inlineStr">
        <is>
          <t>Hospital Ship</t>
        </is>
      </c>
      <c r="B46" s="30" t="inlineStr">
        <is>
          <t>MSC</t>
        </is>
      </c>
      <c r="C46" s="31">
        <f>SUMIFS(JB_26BV,JB_B,2,JB_W,"Hospital Ship",JB_RC,"ADD")+SUMIFS(JB_26BV,JB_B,3,JB_W,"Hospital Ship",JB_RC,"ADD")+SUMIFS(JB_26BV,JB_B,4,JB_W,"Hospital Ship",JB_RC,"ADD")+SUMIFS(JB_26BV,JB_B,5,JB_W,"Hospital Ship",JB_RC,"ADD")+SUMIFS(JB_26BV,JB_B,6,JB_W,"Hospital Ship",JB_RC,"ADD")+SUMIFS(JB_26BV,JB_B,7,JB_W,"Hospital Ship",JB_RC,"ADD")</f>
        <v/>
      </c>
      <c r="D46" s="37">
        <f>IFERROR(C46/C$55,0)</f>
        <v/>
      </c>
    </row>
    <row r="47" ht="10" customHeight="1">
      <c r="A47" s="30" t="inlineStr">
        <is>
          <t>Material Support Ships</t>
        </is>
      </c>
      <c r="B47" s="30" t="inlineStr">
        <is>
          <t>USN</t>
        </is>
      </c>
      <c r="C47"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Icebreakers, Oceangoing</t>
        </is>
      </c>
      <c r="B49" s="30" t="inlineStr">
        <is>
          <t>USCG</t>
        </is>
      </c>
      <c r="C49"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49" s="37">
        <f>IFERROR(C49/C$55,0)</f>
        <v/>
      </c>
    </row>
    <row r="50" ht="10" customHeight="1">
      <c r="A50" s="30" t="inlineStr">
        <is>
          <t>Coastal Buoy Tenders</t>
        </is>
      </c>
      <c r="B50" s="30" t="inlineStr">
        <is>
          <t>USCG</t>
        </is>
      </c>
      <c r="C50"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0" s="37">
        <f>IFERROR(C50/C$55,0)</f>
        <v/>
      </c>
    </row>
    <row r="51" ht="10" customHeight="1">
      <c r="A51" s="30" t="inlineStr">
        <is>
          <t>Fast Response Cutters</t>
        </is>
      </c>
      <c r="B51" s="30" t="inlineStr">
        <is>
          <t>USCG</t>
        </is>
      </c>
      <c r="C51"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1" s="37">
        <f>IFERROR(C51/C$55,0)</f>
        <v/>
      </c>
    </row>
    <row r="52" ht="10" customHeight="1">
      <c r="A52" s="30" t="inlineStr">
        <is>
          <t>Offshore Patrol Cutter</t>
        </is>
      </c>
      <c r="B52" s="30" t="inlineStr">
        <is>
          <t>USCG</t>
        </is>
      </c>
      <c r="C52"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2" s="37">
        <f>IFERROR(C52/C$55,0)</f>
        <v/>
      </c>
    </row>
    <row r="53" ht="10" customHeight="1">
      <c r="A53" s="30" t="inlineStr">
        <is>
          <t>Waterways Commerce Cutters</t>
        </is>
      </c>
      <c r="B53" s="30" t="inlineStr">
        <is>
          <t>USCG</t>
        </is>
      </c>
      <c r="C53"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3" s="37">
        <f>IFERROR(C53/C$55,0)</f>
        <v/>
      </c>
    </row>
    <row r="54" ht="10" customHeight="1">
      <c r="A54" s="30" t="inlineStr">
        <is>
          <t>Icebreakers, Great Lakes</t>
        </is>
      </c>
      <c r="B54" s="30" t="inlineStr">
        <is>
          <t>USCG</t>
        </is>
      </c>
      <c r="C54"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O8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then narrows work types to scheduled depot maintenance (Bucket 2) and modernization/alteration installation (Bucket 4) — the categories where a company could compete for repair or upgrade work.</t>
        </is>
      </c>
    </row>
    <row r="3" ht="10" customHeight="1"/>
    <row r="4" ht="10" customHeight="1">
      <c r="A4" s="27" t="inlineStr">
        <is>
          <t>(A) Bridge: MRO TAM → MRO SAM</t>
        </is>
      </c>
      <c r="B4" s="28" t="n"/>
    </row>
    <row r="5" ht="10" customHeight="1">
      <c r="A5" s="30" t="inlineStr">
        <is>
          <t>MRO TAM</t>
        </is>
      </c>
      <c r="B5" s="49">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3, 5, 6, 7)</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SUMIFS(JB_26BV,JB_B,2,JB_W,"Surface Combatants",JB_RC,"ADD")</f>
        <v/>
      </c>
      <c r="D15" s="31">
        <f>SUMIFS(JB_26BV,JB_B,4,JB_W,"Surface Combatants",JB_RC,"ADD")</f>
        <v/>
      </c>
      <c r="E15" s="31">
        <f>C15+D15</f>
        <v/>
      </c>
      <c r="F15" s="37">
        <f>IFERROR(E15/E$40,0)</f>
        <v/>
      </c>
    </row>
    <row r="16" ht="10" customHeight="1">
      <c r="A16" s="30" t="inlineStr">
        <is>
          <t>Amphibious Warfare Ships</t>
        </is>
      </c>
      <c r="B16" s="30" t="inlineStr">
        <is>
          <t>USN</t>
        </is>
      </c>
      <c r="C16" s="31">
        <f>SUMIFS(JB_26BV,JB_B,2,JB_W,"Amphibious Warfare Ships",JB_RC,"ADD")</f>
        <v/>
      </c>
      <c r="D16" s="31">
        <f>SUMIFS(JB_26BV,JB_B,4,JB_W,"Amphibious Warfare Ships",JB_RC,"ADD")</f>
        <v/>
      </c>
      <c r="E16" s="31">
        <f>C16+D16</f>
        <v/>
      </c>
      <c r="F16" s="37">
        <f>IFERROR(E16/E$40,0)</f>
        <v/>
      </c>
    </row>
    <row r="17" ht="10" customHeight="1">
      <c r="A17" s="30" t="inlineStr">
        <is>
          <t>Surveillance Ships</t>
        </is>
      </c>
      <c r="B17" s="30" t="inlineStr">
        <is>
          <t>USN</t>
        </is>
      </c>
      <c r="C17" s="31">
        <f>SUMIFS(JB_26BV,JB_B,2,JB_W,"Surveillance Ships",JB_RC,"ADD")</f>
        <v/>
      </c>
      <c r="D17" s="31">
        <f>SUMIFS(JB_26BV,JB_B,4,JB_W,"Surveillance Ships",JB_RC,"ADD")</f>
        <v/>
      </c>
      <c r="E17" s="31">
        <f>C17+D17</f>
        <v/>
      </c>
      <c r="F17" s="37">
        <f>IFERROR(E17/E$40,0)</f>
        <v/>
      </c>
    </row>
    <row r="18" ht="10" customHeight="1">
      <c r="A18" s="30" t="inlineStr">
        <is>
          <t>Expeditionary &amp; Seabasing Ships</t>
        </is>
      </c>
      <c r="B18" s="30" t="inlineStr">
        <is>
          <t>USN</t>
        </is>
      </c>
      <c r="C18" s="31">
        <f>SUMIFS(JB_26BV,JB_B,2,JB_W,"Expeditionary &amp; Seabasing Ships",JB_RC,"ADD")</f>
        <v/>
      </c>
      <c r="D18" s="31">
        <f>SUMIFS(JB_26BV,JB_B,4,JB_W,"Expeditionary &amp; Seabasing Ships",JB_RC,"ADD")</f>
        <v/>
      </c>
      <c r="E18" s="31">
        <f>C18+D18</f>
        <v/>
      </c>
      <c r="F18" s="37">
        <f>IFERROR(E18/E$40,0)</f>
        <v/>
      </c>
    </row>
    <row r="19" ht="10" customHeight="1">
      <c r="A19" s="30" t="inlineStr">
        <is>
          <t>Mine Warfare</t>
        </is>
      </c>
      <c r="B19" s="30" t="inlineStr">
        <is>
          <t>USN</t>
        </is>
      </c>
      <c r="C19" s="31">
        <f>SUMIFS(JB_26BV,JB_B,2,JB_W,"Mine Warfare",JB_RC,"ADD")</f>
        <v/>
      </c>
      <c r="D19" s="31">
        <f>SUMIFS(JB_26BV,JB_B,4,JB_W,"Mine Warfare",JB_RC,"ADD")</f>
        <v/>
      </c>
      <c r="E19" s="31">
        <f>C19+D19</f>
        <v/>
      </c>
      <c r="F19" s="37">
        <f>IFERROR(E19/E$40,0)</f>
        <v/>
      </c>
    </row>
    <row r="20" ht="10" customHeight="1">
      <c r="A20" s="30" t="inlineStr">
        <is>
          <t>Command Ships</t>
        </is>
      </c>
      <c r="B20" s="30" t="inlineStr">
        <is>
          <t>USN</t>
        </is>
      </c>
      <c r="C20" s="31">
        <f>SUMIFS(JB_26BV,JB_B,2,JB_W,"Command Ships",JB_RC,"ADD")</f>
        <v/>
      </c>
      <c r="D20" s="31">
        <f>SUMIFS(JB_26BV,JB_B,4,JB_W,"Command Ships",JB_RC,"ADD")</f>
        <v/>
      </c>
      <c r="E20" s="31">
        <f>C20+D20</f>
        <v/>
      </c>
      <c r="F20" s="37">
        <f>IFERROR(E20/E$40,0)</f>
        <v/>
      </c>
    </row>
    <row r="21" ht="10" customHeight="1">
      <c r="A21" s="30" t="inlineStr">
        <is>
          <t>Cargo &amp; Vehicle Cargo Ships</t>
        </is>
      </c>
      <c r="B21" s="30" t="inlineStr">
        <is>
          <t>USN</t>
        </is>
      </c>
      <c r="C21" s="31">
        <f>SUMIFS(JB_26BV,JB_B,2,JB_W,"Cargo &amp; Vehicle Cargo Ships",JB_RC,"ADD")</f>
        <v/>
      </c>
      <c r="D21" s="31">
        <f>SUMIFS(JB_26BV,JB_B,4,JB_W,"Cargo &amp; Vehicle Cargo Ships",JB_RC,"ADD")</f>
        <v/>
      </c>
      <c r="E21" s="31">
        <f>C21+D21</f>
        <v/>
      </c>
      <c r="F21" s="37">
        <f>IFERROR(E21/E$40,0)</f>
        <v/>
      </c>
    </row>
    <row r="22" ht="10" customHeight="1">
      <c r="A22" s="30" t="inlineStr">
        <is>
          <t>Combat Logistics Ships</t>
        </is>
      </c>
      <c r="B22" s="30" t="inlineStr">
        <is>
          <t>MSC</t>
        </is>
      </c>
      <c r="C22" s="31">
        <f>SUMIFS(JB_26BV,JB_B,2,JB_W,"Combat Logistics Ships",JB_RC,"ADD")</f>
        <v/>
      </c>
      <c r="D22" s="31">
        <f>SUMIFS(JB_26BV,JB_B,4,JB_W,"Combat Logistics Ships",JB_RC,"ADD")</f>
        <v/>
      </c>
      <c r="E22" s="31">
        <f>C22+D22</f>
        <v/>
      </c>
      <c r="F22" s="37">
        <f>IFERROR(E22/E$40,0)</f>
        <v/>
      </c>
    </row>
    <row r="23" ht="10" customHeight="1">
      <c r="A23" s="30" t="inlineStr">
        <is>
          <t>Unmanned Surface Vehicles</t>
        </is>
      </c>
      <c r="B23" s="30" t="inlineStr">
        <is>
          <t>USN</t>
        </is>
      </c>
      <c r="C23" s="31">
        <f>SUMIFS(JB_26BV,JB_B,2,JB_W,"Unmanned Surface Vehicles",JB_RC,"ADD")</f>
        <v/>
      </c>
      <c r="D23" s="31">
        <f>SUMIFS(JB_26BV,JB_B,4,JB_W,"Unmanned Surface Vehicles",JB_RC,"ADD")</f>
        <v/>
      </c>
      <c r="E23" s="31">
        <f>C23+D23</f>
        <v/>
      </c>
      <c r="F23" s="37">
        <f>IFERROR(E23/E$40,0)</f>
        <v/>
      </c>
    </row>
    <row r="24" ht="10" customHeight="1">
      <c r="A24" s="30" t="inlineStr">
        <is>
          <t>Aviation Logistics Support Ship</t>
        </is>
      </c>
      <c r="B24" s="30" t="inlineStr">
        <is>
          <t>USN</t>
        </is>
      </c>
      <c r="C24" s="31">
        <f>SUMIFS(JB_26BV,JB_B,2,JB_W,"Aviation Logistics Support Ship",JB_RC,"ADD")</f>
        <v/>
      </c>
      <c r="D24" s="31">
        <f>SUMIFS(JB_26BV,JB_B,4,JB_W,"Aviation Logistics Support Ship",JB_RC,"ADD")</f>
        <v/>
      </c>
      <c r="E24" s="31">
        <f>C24+D24</f>
        <v/>
      </c>
      <c r="F24" s="37">
        <f>IFERROR(E24/E$40,0)</f>
        <v/>
      </c>
    </row>
    <row r="25" ht="10" customHeight="1">
      <c r="A25" s="30" t="inlineStr">
        <is>
          <t>Research, Survey &amp; Instrumentation Ships</t>
        </is>
      </c>
      <c r="B25" s="30" t="inlineStr">
        <is>
          <t>MSC</t>
        </is>
      </c>
      <c r="C25" s="31">
        <f>SUMIFS(JB_26BV,JB_B,2,JB_W,"Research, Survey &amp; Instrumentation Ships",JB_RC,"ADD")</f>
        <v/>
      </c>
      <c r="D25" s="31">
        <f>SUMIFS(JB_26BV,JB_B,4,JB_W,"Research, Survey &amp; Instrumentation Ships",JB_RC,"ADD")</f>
        <v/>
      </c>
      <c r="E25" s="31">
        <f>C25+D25</f>
        <v/>
      </c>
      <c r="F25" s="37">
        <f>IFERROR(E25/E$40,0)</f>
        <v/>
      </c>
    </row>
    <row r="26" ht="10" customHeight="1">
      <c r="A26" s="30" t="inlineStr">
        <is>
          <t>Crane Ship</t>
        </is>
      </c>
      <c r="B26" s="30" t="inlineStr">
        <is>
          <t>USN</t>
        </is>
      </c>
      <c r="C26" s="31">
        <f>SUMIFS(JB_26BV,JB_B,2,JB_W,"Crane Ship",JB_RC,"ADD")</f>
        <v/>
      </c>
      <c r="D26" s="31">
        <f>SUMIFS(JB_26BV,JB_B,4,JB_W,"Crane Ship",JB_RC,"ADD")</f>
        <v/>
      </c>
      <c r="E26" s="31">
        <f>C26+D26</f>
        <v/>
      </c>
      <c r="F26" s="37">
        <f>IFERROR(E26/E$40,0)</f>
        <v/>
      </c>
    </row>
    <row r="27" ht="10" customHeight="1">
      <c r="A27" s="30" t="inlineStr">
        <is>
          <t>Submarine Escort Ship</t>
        </is>
      </c>
      <c r="B27" s="30" t="inlineStr">
        <is>
          <t>USN</t>
        </is>
      </c>
      <c r="C27" s="31">
        <f>SUMIFS(JB_26BV,JB_B,2,JB_W,"Submarine Escort Ship",JB_RC,"ADD")</f>
        <v/>
      </c>
      <c r="D27" s="31">
        <f>SUMIFS(JB_26BV,JB_B,4,JB_W,"Submarine Escort Ship",JB_RC,"ADD")</f>
        <v/>
      </c>
      <c r="E27" s="31">
        <f>C27+D27</f>
        <v/>
      </c>
      <c r="F27" s="37">
        <f>IFERROR(E27/E$40,0)</f>
        <v/>
      </c>
    </row>
    <row r="28" ht="10" customHeight="1">
      <c r="A28" s="30" t="inlineStr">
        <is>
          <t>High Speed Transport</t>
        </is>
      </c>
      <c r="B28" s="30" t="inlineStr">
        <is>
          <t>USN</t>
        </is>
      </c>
      <c r="C28" s="31">
        <f>SUMIFS(JB_26BV,JB_B,2,JB_W,"High Speed Transport",JB_RC,"ADD")</f>
        <v/>
      </c>
      <c r="D28" s="31">
        <f>SUMIFS(JB_26BV,JB_B,4,JB_W,"High Speed Transport",JB_RC,"ADD")</f>
        <v/>
      </c>
      <c r="E28" s="31">
        <f>C28+D28</f>
        <v/>
      </c>
      <c r="F28" s="37">
        <f>IFERROR(E28/E$40,0)</f>
        <v/>
      </c>
    </row>
    <row r="29" ht="10" customHeight="1">
      <c r="A29" s="30" t="inlineStr">
        <is>
          <t>Salvage Ships &amp; Fleet Ocean Tugs</t>
        </is>
      </c>
      <c r="B29" s="30" t="inlineStr">
        <is>
          <t>MSC</t>
        </is>
      </c>
      <c r="C29" s="31">
        <f>SUMIFS(JB_26BV,JB_B,2,JB_W,"Salvage Ships &amp; Fleet Ocean Tugs",JB_RC,"ADD")</f>
        <v/>
      </c>
      <c r="D29" s="31">
        <f>SUMIFS(JB_26BV,JB_B,4,JB_W,"Salvage Ships &amp; Fleet Ocean Tugs",JB_RC,"ADD")</f>
        <v/>
      </c>
      <c r="E29" s="31">
        <f>C29+D29</f>
        <v/>
      </c>
      <c r="F29" s="37">
        <f>IFERROR(E29/E$40,0)</f>
        <v/>
      </c>
    </row>
    <row r="30" ht="10" customHeight="1">
      <c r="A30" s="30" t="inlineStr">
        <is>
          <t>Hospital Ship</t>
        </is>
      </c>
      <c r="B30" s="30" t="inlineStr">
        <is>
          <t>MSC</t>
        </is>
      </c>
      <c r="C30" s="31">
        <f>SUMIFS(JB_26BV,JB_B,2,JB_W,"Hospital Ship",JB_RC,"ADD")</f>
        <v/>
      </c>
      <c r="D30" s="31">
        <f>SUMIFS(JB_26BV,JB_B,4,JB_W,"Hospital Ship",JB_RC,"ADD")</f>
        <v/>
      </c>
      <c r="E30" s="31">
        <f>C30+D30</f>
        <v/>
      </c>
      <c r="F30" s="37">
        <f>IFERROR(E30/E$40,0)</f>
        <v/>
      </c>
    </row>
    <row r="31" ht="10" customHeight="1">
      <c r="A31" s="30" t="inlineStr">
        <is>
          <t>General Auxiliary</t>
        </is>
      </c>
      <c r="B31" s="30" t="inlineStr">
        <is>
          <t>USN</t>
        </is>
      </c>
      <c r="C31" s="31">
        <f>SUMIFS(JB_26BV,JB_B,2,JB_W,"General Auxiliary",JB_RC,"ADD")</f>
        <v/>
      </c>
      <c r="D31" s="31">
        <f>SUMIFS(JB_26BV,JB_B,4,JB_W,"General Auxiliary",JB_RC,"ADD")</f>
        <v/>
      </c>
      <c r="E31" s="31">
        <f>C31+D31</f>
        <v/>
      </c>
      <c r="F31" s="37">
        <f>IFERROR(E31/E$40,0)</f>
        <v/>
      </c>
    </row>
    <row r="32" ht="10" customHeight="1">
      <c r="A32" s="30" t="inlineStr">
        <is>
          <t>Material Support Ships</t>
        </is>
      </c>
      <c r="B32" s="30" t="inlineStr">
        <is>
          <t>USN</t>
        </is>
      </c>
      <c r="C32" s="31">
        <f>SUMIFS(JB_26BV,JB_B,2,JB_W,"Material Support Ships",JB_RC,"ADD")</f>
        <v/>
      </c>
      <c r="D32" s="31">
        <f>SUMIFS(JB_26BV,JB_B,4,JB_W,"Material Support Ships",JB_RC,"ADD")</f>
        <v/>
      </c>
      <c r="E32" s="31">
        <f>C32+D32</f>
        <v/>
      </c>
      <c r="F32" s="37">
        <f>IFERROR(E32/E$40,0)</f>
        <v/>
      </c>
    </row>
    <row r="33" ht="10" customHeight="1">
      <c r="A33" s="30" t="inlineStr">
        <is>
          <t>National Security Cutters</t>
        </is>
      </c>
      <c r="B33" s="30" t="inlineStr">
        <is>
          <t>USCG</t>
        </is>
      </c>
      <c r="C33" s="31">
        <f>SUMIFS(JB_26BV,JB_B,2,JB_W,"National Security Cutters",JB_RC,"ADD")</f>
        <v/>
      </c>
      <c r="D33" s="31">
        <f>SUMIFS(JB_26BV,JB_B,4,JB_W,"National Security Cutters",JB_RC,"ADD")</f>
        <v/>
      </c>
      <c r="E33" s="31">
        <f>C33+D33</f>
        <v/>
      </c>
      <c r="F33" s="37">
        <f>IFERROR(E33/E$40,0)</f>
        <v/>
      </c>
    </row>
    <row r="34" ht="10" customHeight="1">
      <c r="A34" s="30" t="inlineStr">
        <is>
          <t>Fast Response Cutters</t>
        </is>
      </c>
      <c r="B34" s="30" t="inlineStr">
        <is>
          <t>USCG</t>
        </is>
      </c>
      <c r="C34" s="31">
        <f>SUMIFS(JB_26BV,JB_B,2,JB_W,"Fast Response Cutters",JB_RC,"ADD")</f>
        <v/>
      </c>
      <c r="D34" s="31">
        <f>SUMIFS(JB_26BV,JB_B,4,JB_W,"Fast Response Cutters",JB_RC,"ADD")</f>
        <v/>
      </c>
      <c r="E34" s="31">
        <f>C34+D34</f>
        <v/>
      </c>
      <c r="F34" s="37">
        <f>IFERROR(E34/E$40,0)</f>
        <v/>
      </c>
    </row>
    <row r="35" ht="10" customHeight="1">
      <c r="A35" s="30" t="inlineStr">
        <is>
          <t>Offshore Patrol Cutter</t>
        </is>
      </c>
      <c r="B35" s="30" t="inlineStr">
        <is>
          <t>USCG</t>
        </is>
      </c>
      <c r="C35" s="31">
        <f>SUMIFS(JB_26BV,JB_B,2,JB_W,"Offshore Patrol Cutter",JB_RC,"ADD")</f>
        <v/>
      </c>
      <c r="D35" s="31">
        <f>SUMIFS(JB_26BV,JB_B,4,JB_W,"Offshore Patrol Cutter",JB_RC,"ADD")</f>
        <v/>
      </c>
      <c r="E35" s="31">
        <f>C35+D35</f>
        <v/>
      </c>
      <c r="F35" s="37">
        <f>IFERROR(E35/E$40,0)</f>
        <v/>
      </c>
    </row>
    <row r="36" ht="10" customHeight="1">
      <c r="A36" s="30" t="inlineStr">
        <is>
          <t>Icebreakers, Oceangoing</t>
        </is>
      </c>
      <c r="B36" s="30" t="inlineStr">
        <is>
          <t>USCG</t>
        </is>
      </c>
      <c r="C36" s="31">
        <f>SUMIFS(JB_26BV,JB_B,2,JB_W,"Icebreakers, Oceangoing",JB_RC,"ADD")</f>
        <v/>
      </c>
      <c r="D36" s="31">
        <f>SUMIFS(JB_26BV,JB_B,4,JB_W,"Icebreakers, Oceangoing",JB_RC,"ADD")</f>
        <v/>
      </c>
      <c r="E36" s="31">
        <f>C36+D36</f>
        <v/>
      </c>
      <c r="F36" s="37">
        <f>IFERROR(E36/E$40,0)</f>
        <v/>
      </c>
    </row>
    <row r="37" ht="10" customHeight="1">
      <c r="A37" s="30" t="inlineStr">
        <is>
          <t>Waterways Commerce Cutters</t>
        </is>
      </c>
      <c r="B37" s="30" t="inlineStr">
        <is>
          <t>USCG</t>
        </is>
      </c>
      <c r="C37" s="31">
        <f>SUMIFS(JB_26BV,JB_B,2,JB_W,"Waterways Commerce Cutters",JB_RC,"ADD")</f>
        <v/>
      </c>
      <c r="D37" s="31">
        <f>SUMIFS(JB_26BV,JB_B,4,JB_W,"Waterways Commerce Cutters",JB_RC,"ADD")</f>
        <v/>
      </c>
      <c r="E37" s="31">
        <f>C37+D37</f>
        <v/>
      </c>
      <c r="F37" s="37">
        <f>IFERROR(E37/E$40,0)</f>
        <v/>
      </c>
    </row>
    <row r="38" ht="10" customHeight="1">
      <c r="A38" s="30" t="inlineStr">
        <is>
          <t>Coastal Buoy Tenders</t>
        </is>
      </c>
      <c r="B38" s="30" t="inlineStr">
        <is>
          <t>USCG</t>
        </is>
      </c>
      <c r="C38" s="31">
        <f>SUMIFS(JB_26BV,JB_B,2,JB_W,"Coastal Buoy Tenders",JB_RC,"ADD")</f>
        <v/>
      </c>
      <c r="D38" s="31">
        <f>SUMIFS(JB_26BV,JB_B,4,JB_W,"Coastal Buoy Tenders",JB_RC,"ADD")</f>
        <v/>
      </c>
      <c r="E38" s="31">
        <f>C38+D38</f>
        <v/>
      </c>
      <c r="F38" s="37">
        <f>IFERROR(E38/E$40,0)</f>
        <v/>
      </c>
    </row>
    <row r="39" ht="10" customHeight="1">
      <c r="A39" s="30" t="inlineStr">
        <is>
          <t>Icebreakers, Great Lakes</t>
        </is>
      </c>
      <c r="B39" s="30" t="inlineStr">
        <is>
          <t>USCG</t>
        </is>
      </c>
      <c r="C39" s="31">
        <f>SUMIFS(JB_26BV,JB_B,2,JB_W,"Icebreakers, Great Lakes",JB_RC,"ADD")</f>
        <v/>
      </c>
      <c r="D39" s="31">
        <f>SUMIFS(JB_26BV,JB_B,4,JB_W,"Icebreakers, Great Lakes",JB_RC,"ADD")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by Hull Program — FY2026 ($K)</t>
        </is>
      </c>
      <c r="B43" s="28" t="n"/>
      <c r="C43" s="28" t="n"/>
      <c r="D43" s="28" t="n"/>
      <c r="E43" s="28" t="n"/>
      <c r="F43" s="28" t="n"/>
      <c r="G43" s="28" t="n"/>
    </row>
    <row r="44" ht="10" customHeight="1">
      <c r="A44" s="26" t="inlineStr">
        <is>
          <t>Same funding as (B) broken down to individual hull programs — the level at which depot maintenance and modernization line items are traceable.</t>
        </is>
      </c>
    </row>
    <row r="45" ht="10" customHeight="1">
      <c r="A45" s="29" t="inlineStr">
        <is>
          <t>Hull Program</t>
        </is>
      </c>
      <c r="B45" s="29" t="inlineStr">
        <is>
          <t>Vessel Type</t>
        </is>
      </c>
      <c r="C45" s="29" t="inlineStr">
        <is>
          <t>Service</t>
        </is>
      </c>
      <c r="D45" s="29" t="inlineStr">
        <is>
          <t>SDM ($K)</t>
        </is>
      </c>
      <c r="E45" s="29" t="inlineStr">
        <is>
          <t>Mod ($K)</t>
        </is>
      </c>
      <c r="F45" s="29" t="inlineStr">
        <is>
          <t>Total ($K)</t>
        </is>
      </c>
      <c r="G45" s="29" t="inlineStr">
        <is>
          <t>% of Total</t>
        </is>
      </c>
    </row>
    <row r="46" ht="10" customHeight="1">
      <c r="A46" s="30" t="inlineStr">
        <is>
          <t>DDG</t>
        </is>
      </c>
      <c r="B46" s="30" t="inlineStr">
        <is>
          <t>Surface Combatants</t>
        </is>
      </c>
      <c r="C46" s="30" t="inlineStr">
        <is>
          <t>USN</t>
        </is>
      </c>
      <c r="D46" s="31">
        <f>SUMIFS(JB_26BV,JB_B,2,JB_H,"DDG",JB_RC,"ADD")</f>
        <v/>
      </c>
      <c r="E46" s="31">
        <f>SUMIFS(JB_26BV,JB_B,4,JB_H,"DDG",JB_RC,"ADD")</f>
        <v/>
      </c>
      <c r="F46" s="31">
        <f>D46+E46</f>
        <v/>
      </c>
      <c r="G46" s="37">
        <f>IFERROR(F46/F$58,0)</f>
        <v/>
      </c>
    </row>
    <row r="47" ht="10" customHeight="1">
      <c r="A47" s="30" t="inlineStr">
        <is>
          <t>LCS</t>
        </is>
      </c>
      <c r="B47" s="30" t="inlineStr">
        <is>
          <t>Surface Combatants</t>
        </is>
      </c>
      <c r="C47" s="30" t="inlineStr">
        <is>
          <t>USN</t>
        </is>
      </c>
      <c r="D47" s="31">
        <f>SUMIFS(JB_26BV,JB_B,2,JB_H,"LCS",JB_RC,"ADD")</f>
        <v/>
      </c>
      <c r="E47" s="31">
        <f>SUMIFS(JB_26BV,JB_B,4,JB_H,"LCS",JB_RC,"ADD")</f>
        <v/>
      </c>
      <c r="F47" s="31">
        <f>D47+E47</f>
        <v/>
      </c>
      <c r="G47" s="37">
        <f>IFERROR(F47/F$58,0)</f>
        <v/>
      </c>
    </row>
    <row r="48" ht="10" customHeight="1">
      <c r="A48" s="30" t="inlineStr">
        <is>
          <t>LHD</t>
        </is>
      </c>
      <c r="B48" s="30" t="inlineStr">
        <is>
          <t>Amphibious Warfare Ships</t>
        </is>
      </c>
      <c r="C48" s="30" t="inlineStr">
        <is>
          <t>USN</t>
        </is>
      </c>
      <c r="D48" s="31">
        <f>SUMIFS(JB_26BV,JB_B,2,JB_H,"LHD",JB_RC,"ADD")</f>
        <v/>
      </c>
      <c r="E48" s="31">
        <f>SUMIFS(JB_26BV,JB_B,4,JB_H,"LHD",JB_RC,"ADD")</f>
        <v/>
      </c>
      <c r="F48" s="31">
        <f>D48+E48</f>
        <v/>
      </c>
      <c r="G48" s="37">
        <f>IFERROR(F48/F$58,0)</f>
        <v/>
      </c>
    </row>
    <row r="49" ht="10" customHeight="1">
      <c r="A49" s="30" t="inlineStr">
        <is>
          <t>LPD</t>
        </is>
      </c>
      <c r="B49" s="30" t="inlineStr">
        <is>
          <t>Amphibious Warfare Ships</t>
        </is>
      </c>
      <c r="C49" s="30" t="inlineStr">
        <is>
          <t>USN</t>
        </is>
      </c>
      <c r="D49" s="31">
        <f>SUMIFS(JB_26BV,JB_B,2,JB_H,"LPD",JB_RC,"ADD")</f>
        <v/>
      </c>
      <c r="E49" s="31">
        <f>SUMIFS(JB_26BV,JB_B,4,JB_H,"LPD",JB_RC,"ADD")</f>
        <v/>
      </c>
      <c r="F49" s="31">
        <f>D49+E49</f>
        <v/>
      </c>
      <c r="G49" s="37">
        <f>IFERROR(F49/F$58,0)</f>
        <v/>
      </c>
    </row>
    <row r="50" ht="10" customHeight="1">
      <c r="A50" s="30" t="inlineStr">
        <is>
          <t>CG</t>
        </is>
      </c>
      <c r="B50" s="30" t="inlineStr">
        <is>
          <t>Surface Combatants</t>
        </is>
      </c>
      <c r="C50" s="30" t="inlineStr">
        <is>
          <t>USN</t>
        </is>
      </c>
      <c r="D50" s="31">
        <f>SUMIFS(JB_26BV,JB_B,2,JB_H,"CG",JB_RC,"ADD")</f>
        <v/>
      </c>
      <c r="E50" s="31">
        <f>SUMIFS(JB_26BV,JB_B,4,JB_H,"CG",JB_RC,"ADD")</f>
        <v/>
      </c>
      <c r="F50" s="31">
        <f>D50+E50</f>
        <v/>
      </c>
      <c r="G50" s="37">
        <f>IFERROR(F50/F$58,0)</f>
        <v/>
      </c>
    </row>
    <row r="51" ht="10" customHeight="1">
      <c r="A51" s="30" t="inlineStr">
        <is>
          <t>LSD</t>
        </is>
      </c>
      <c r="B51" s="30" t="inlineStr">
        <is>
          <t>Amphibious Warfare Ships</t>
        </is>
      </c>
      <c r="C51" s="30" t="inlineStr">
        <is>
          <t>USN</t>
        </is>
      </c>
      <c r="D51" s="31">
        <f>SUMIFS(JB_26BV,JB_B,2,JB_H,"LSD",JB_RC,"ADD")</f>
        <v/>
      </c>
      <c r="E51" s="31">
        <f>SUMIFS(JB_26BV,JB_B,4,JB_H,"LSD",JB_RC,"ADD")</f>
        <v/>
      </c>
      <c r="F51" s="31">
        <f>D51+E51</f>
        <v/>
      </c>
      <c r="G51" s="37">
        <f>IFERROR(F51/F$58,0)</f>
        <v/>
      </c>
    </row>
    <row r="52" ht="10" customHeight="1">
      <c r="A52" s="30" t="inlineStr">
        <is>
          <t>LHA</t>
        </is>
      </c>
      <c r="B52" s="30" t="inlineStr">
        <is>
          <t>Amphibious Warfare Ships</t>
        </is>
      </c>
      <c r="C52" s="30" t="inlineStr">
        <is>
          <t>USN</t>
        </is>
      </c>
      <c r="D52" s="31">
        <f>SUMIFS(JB_26BV,JB_B,2,JB_H,"LHA",JB_RC,"ADD")</f>
        <v/>
      </c>
      <c r="E52" s="31">
        <f>SUMIFS(JB_26BV,JB_B,4,JB_H,"LHA",JB_RC,"ADD")</f>
        <v/>
      </c>
      <c r="F52" s="31">
        <f>D52+E52</f>
        <v/>
      </c>
      <c r="G52" s="37">
        <f>IFERROR(F52/F$58,0)</f>
        <v/>
      </c>
    </row>
    <row r="53" ht="10" customHeight="1">
      <c r="A53" s="30" t="inlineStr">
        <is>
          <t>T-AGOS</t>
        </is>
      </c>
      <c r="B53" s="30" t="inlineStr">
        <is>
          <t>Surveillance Ships</t>
        </is>
      </c>
      <c r="C53" s="30" t="inlineStr">
        <is>
          <t>MSC</t>
        </is>
      </c>
      <c r="D53" s="31">
        <f>SUMIFS(JB_26BV,JB_B,2,JB_H,"T-AGOS",JB_RC,"ADD")</f>
        <v/>
      </c>
      <c r="E53" s="31">
        <f>SUMIFS(JB_26BV,JB_B,4,JB_H,"T-AGOS",JB_RC,"ADD")</f>
        <v/>
      </c>
      <c r="F53" s="31">
        <f>D53+E53</f>
        <v/>
      </c>
      <c r="G53" s="37">
        <f>IFERROR(F53/F$58,0)</f>
        <v/>
      </c>
    </row>
    <row r="54" ht="10" customHeight="1">
      <c r="A54" s="30" t="inlineStr">
        <is>
          <t>ESB</t>
        </is>
      </c>
      <c r="B54" s="30" t="inlineStr">
        <is>
          <t>Expeditionary &amp; Seabasing Ships</t>
        </is>
      </c>
      <c r="C54" s="30" t="inlineStr">
        <is>
          <t>USN</t>
        </is>
      </c>
      <c r="D54" s="31">
        <f>SUMIFS(JB_26BV,JB_B,2,JB_H,"ESB",JB_RC,"ADD")</f>
        <v/>
      </c>
      <c r="E54" s="31">
        <f>SUMIFS(JB_26BV,JB_B,4,JB_H,"ESB",JB_RC,"ADD")</f>
        <v/>
      </c>
      <c r="F54" s="31">
        <f>D54+E54</f>
        <v/>
      </c>
      <c r="G54" s="37">
        <f>IFERROR(F54/F$58,0)</f>
        <v/>
      </c>
    </row>
    <row r="55" ht="10" customHeight="1">
      <c r="A55" s="30" t="inlineStr">
        <is>
          <t>MCM</t>
        </is>
      </c>
      <c r="B55" s="30" t="inlineStr">
        <is>
          <t>Mine Warfare</t>
        </is>
      </c>
      <c r="C55" s="30" t="inlineStr">
        <is>
          <t>USN</t>
        </is>
      </c>
      <c r="D55" s="31">
        <f>SUMIFS(JB_26BV,JB_B,2,JB_H,"MCM",JB_RC,"ADD")</f>
        <v/>
      </c>
      <c r="E55" s="31">
        <f>SUMIFS(JB_26BV,JB_B,4,JB_H,"MCM",JB_RC,"ADD")</f>
        <v/>
      </c>
      <c r="F55" s="31">
        <f>D55+E55</f>
        <v/>
      </c>
      <c r="G55" s="37">
        <f>IFERROR(F55/F$58,0)</f>
        <v/>
      </c>
    </row>
    <row r="56" ht="10" customHeight="1">
      <c r="A56" s="30" t="inlineStr">
        <is>
          <t>LCC</t>
        </is>
      </c>
      <c r="B56" s="30" t="inlineStr">
        <is>
          <t>Command Ships</t>
        </is>
      </c>
      <c r="C56" s="30" t="inlineStr">
        <is>
          <t>USN</t>
        </is>
      </c>
      <c r="D56" s="31">
        <f>SUMIFS(JB_26BV,JB_B,2,JB_H,"LCC",JB_RC,"ADD")</f>
        <v/>
      </c>
      <c r="E56" s="31">
        <f>SUMIFS(JB_26BV,JB_B,4,JB_H,"LCC",JB_RC,"ADD")</f>
        <v/>
      </c>
      <c r="F56" s="31">
        <f>D56+E56</f>
        <v/>
      </c>
      <c r="G56" s="37">
        <f>IFERROR(F56/F$58,0)</f>
        <v/>
      </c>
    </row>
    <row r="57" ht="10" customHeight="1">
      <c r="A57" s="30" t="inlineStr">
        <is>
          <t>WMSL</t>
        </is>
      </c>
      <c r="B57" s="30" t="inlineStr">
        <is>
          <t>National Security Cutters</t>
        </is>
      </c>
      <c r="C57" s="30" t="inlineStr">
        <is>
          <t>USCG</t>
        </is>
      </c>
      <c r="D57" s="31">
        <f>SUMIFS(JB_26BV,JB_B,2,JB_H,"WMSL",JB_RC,"ADD")</f>
        <v/>
      </c>
      <c r="E57" s="31">
        <f>SUMIFS(JB_26BV,JB_B,4,JB_H,"WMSL",JB_RC,"ADD")</f>
        <v/>
      </c>
      <c r="F57" s="31">
        <f>D57+E57</f>
        <v/>
      </c>
      <c r="G57" s="37">
        <f>IFERROR(F57/F$58,0)</f>
        <v/>
      </c>
    </row>
    <row r="58" ht="10" customHeight="1">
      <c r="A58" s="32" t="inlineStr">
        <is>
          <t>MRO SAM (all programs)</t>
        </is>
      </c>
      <c r="B58" s="32" t="inlineStr"/>
      <c r="C58" s="32" t="inlineStr"/>
      <c r="D58" s="33">
        <f>SUM(D46:D57)</f>
        <v/>
      </c>
      <c r="E58" s="33">
        <f>SUM(E46:E57)</f>
        <v/>
      </c>
      <c r="F58" s="33">
        <f>SUM(F46:F57)</f>
        <v/>
      </c>
      <c r="G58" s="38" t="n">
        <v>1</v>
      </c>
    </row>
    <row r="59" ht="10" customHeight="1"/>
    <row r="60" ht="10" customHeight="1"/>
    <row r="61" ht="10" customHeight="1">
      <c r="A61" s="27" t="inlineStr">
        <is>
          <t>(C→D) Bridge: All Programs → Cost-Element Coverage</t>
        </is>
      </c>
      <c r="B61" s="28" t="n"/>
    </row>
    <row r="62" ht="10" customHeight="1">
      <c r="A62" s="30" t="inlineStr">
        <is>
          <t>MRO SAM (all programs)</t>
        </is>
      </c>
      <c r="B62" s="31">
        <f>F58</f>
        <v/>
      </c>
    </row>
    <row r="63" ht="10" customHeight="1">
      <c r="A63" s="30" t="inlineStr">
        <is>
          <t xml:space="preserve">  Less: DDG (Surface Combatants — no P-5c)</t>
        </is>
      </c>
      <c r="B63" s="31">
        <f>-(SUMIFS(JB_26BV,JB_B,2,JB_H,"DDG",JB_RC,"ADD")+SUMIFS(JB_26BV,JB_B,4,JB_H,"DDG",JB_RC,"ADD"))</f>
        <v/>
      </c>
    </row>
    <row r="64" ht="10" customHeight="1">
      <c r="A64" s="30" t="inlineStr">
        <is>
          <t xml:space="preserve">  Less: LCS (Surface Combatants — no P-5c)</t>
        </is>
      </c>
      <c r="B64" s="31">
        <f>-(SUMIFS(JB_26BV,JB_B,2,JB_H,"LCS",JB_RC,"ADD")+SUMIFS(JB_26BV,JB_B,4,JB_H,"LCS",JB_RC,"ADD"))</f>
        <v/>
      </c>
    </row>
    <row r="65" ht="10" customHeight="1">
      <c r="A65" s="30" t="inlineStr">
        <is>
          <t xml:space="preserve">  Less: LHD (Amphibious Warfare Ships — no P-5c)</t>
        </is>
      </c>
      <c r="B65" s="31">
        <f>-(SUMIFS(JB_26BV,JB_B,2,JB_H,"LHD",JB_RC,"ADD")+SUMIFS(JB_26BV,JB_B,4,JB_H,"LHD",JB_RC,"ADD"))</f>
        <v/>
      </c>
    </row>
    <row r="66" ht="10" customHeight="1">
      <c r="A66" s="30" t="inlineStr">
        <is>
          <t xml:space="preserve">  Less: LPD (Amphibious Warfare Ships — no P-5c)</t>
        </is>
      </c>
      <c r="B66" s="31">
        <f>-(SUMIFS(JB_26BV,JB_B,2,JB_H,"LPD",JB_RC,"ADD")+SUMIFS(JB_26BV,JB_B,4,JB_H,"LPD",JB_RC,"ADD"))</f>
        <v/>
      </c>
    </row>
    <row r="67" ht="10" customHeight="1">
      <c r="A67" s="30" t="inlineStr">
        <is>
          <t xml:space="preserve">  Less: CG (Surface Combatants — no P-5c)</t>
        </is>
      </c>
      <c r="B67" s="31">
        <f>-(SUMIFS(JB_26BV,JB_B,2,JB_H,"CG",JB_RC,"ADD")+SUMIFS(JB_26BV,JB_B,4,JB_H,"CG",JB_RC,"ADD"))</f>
        <v/>
      </c>
    </row>
    <row r="68" ht="10" customHeight="1">
      <c r="A68" s="30" t="inlineStr">
        <is>
          <t xml:space="preserve">  Less: LSD (Amphibious Warfare Ships — no P-5c)</t>
        </is>
      </c>
      <c r="B68" s="31">
        <f>-(SUMIFS(JB_26BV,JB_B,2,JB_H,"LSD",JB_RC,"ADD")+SUMIFS(JB_26BV,JB_B,4,JB_H,"LSD",JB_RC,"ADD"))</f>
        <v/>
      </c>
    </row>
    <row r="69" ht="10" customHeight="1">
      <c r="A69" s="30" t="inlineStr">
        <is>
          <t xml:space="preserve">  Less: LHA (Amphibious Warfare Ships — no P-5c)</t>
        </is>
      </c>
      <c r="B69" s="31">
        <f>-(SUMIFS(JB_26BV,JB_B,2,JB_H,"LHA",JB_RC,"ADD")+SUMIFS(JB_26BV,JB_B,4,JB_H,"LHA",JB_RC,"ADD"))</f>
        <v/>
      </c>
    </row>
    <row r="70" ht="10" customHeight="1">
      <c r="A70" s="30" t="inlineStr">
        <is>
          <t xml:space="preserve">  Less: T-AGOS (Surveillance Ships — no P-5c)</t>
        </is>
      </c>
      <c r="B70" s="31">
        <f>-(SUMIFS(JB_26BV,JB_B,2,JB_H,"T-AGOS",JB_RC,"ADD")+SUMIFS(JB_26BV,JB_B,4,JB_H,"T-AGOS",JB_RC,"ADD"))</f>
        <v/>
      </c>
    </row>
    <row r="71" ht="10" customHeight="1">
      <c r="A71" s="30" t="inlineStr">
        <is>
          <t xml:space="preserve">  Less: ESB (Expeditionary &amp; Seabasing Ships — no P-5c)</t>
        </is>
      </c>
      <c r="B71" s="31">
        <f>-(SUMIFS(JB_26BV,JB_B,2,JB_H,"ESB",JB_RC,"ADD")+SUMIFS(JB_26BV,JB_B,4,JB_H,"ESB",JB_RC,"ADD"))</f>
        <v/>
      </c>
    </row>
    <row r="72" ht="10" customHeight="1">
      <c r="A72" s="30" t="inlineStr">
        <is>
          <t xml:space="preserve">  Less: MCM (Mine Warfare — no P-5c)</t>
        </is>
      </c>
      <c r="B72" s="31">
        <f>-(SUMIFS(JB_26BV,JB_B,2,JB_H,"MCM",JB_RC,"ADD")+SUMIFS(JB_26BV,JB_B,4,JB_H,"MCM",JB_RC,"ADD"))</f>
        <v/>
      </c>
    </row>
    <row r="73" ht="10" customHeight="1">
      <c r="A73" s="30" t="inlineStr">
        <is>
          <t xml:space="preserve">  Less: LCC (Command Ships — no P-5c)</t>
        </is>
      </c>
      <c r="B73" s="31">
        <f>-(SUMIFS(JB_26BV,JB_B,2,JB_H,"LCC",JB_RC,"ADD")+SUMIFS(JB_26BV,JB_B,4,JB_H,"LCC",JB_RC,"ADD"))</f>
        <v/>
      </c>
    </row>
    <row r="74" ht="10" customHeight="1">
      <c r="A74" s="30" t="inlineStr">
        <is>
          <t xml:space="preserve">  Less: WMSL (National Security Cutters, USCG — no P-5c)</t>
        </is>
      </c>
      <c r="B74" s="31">
        <f>-(SUMIFS(JB_26BV,JB_B,2,JB_H,"WMSL",JB_RC,"ADD")+SUMIFS(JB_26BV,JB_B,4,JB_H,"WMSL",JB_RC,"ADD"))</f>
        <v/>
      </c>
    </row>
    <row r="75" ht="10" customHeight="1">
      <c r="A75" s="32" t="inlineStr">
        <is>
          <t>MRO SAM (cost-element coverage)</t>
        </is>
      </c>
      <c r="B75" s="33">
        <f>SUM(B62:B74)</f>
        <v/>
      </c>
    </row>
    <row r="76" ht="10" customHeight="1"/>
    <row r="77" ht="10" customHeight="1"/>
    <row r="78" ht="10" customHeight="1">
      <c r="A78" s="27" t="inlineStr">
        <is>
          <t>(D) MRO SAM — SDM vs Modernization by Hull (Mekko)</t>
        </is>
      </c>
      <c r="B78" s="28" t="n"/>
      <c r="C78" s="28" t="n"/>
      <c r="D78" s="28" t="n"/>
      <c r="E78" s="28" t="n"/>
      <c r="F78" s="28" t="n"/>
      <c r="G78" s="28" t="n"/>
      <c r="H78" s="28" t="n"/>
      <c r="I78" s="28" t="n"/>
      <c r="J78" s="28" t="n"/>
      <c r="K78" s="28" t="n"/>
      <c r="L78" s="28" t="n"/>
      <c r="M78" s="28" t="n"/>
      <c r="N78" s="28" t="n"/>
    </row>
    <row r="79" ht="10" customHeight="1">
      <c r="A79" s="39" t="n"/>
      <c r="B79" s="40" t="inlineStr">
        <is>
          <t>USN</t>
        </is>
      </c>
      <c r="C79" s="39" t="n"/>
      <c r="D79" s="39" t="n"/>
      <c r="E79" s="39" t="n"/>
      <c r="F79" s="39" t="n"/>
      <c r="G79" s="39" t="n"/>
      <c r="H79" s="39" t="n"/>
      <c r="I79" s="39" t="n"/>
      <c r="J79" s="39" t="n"/>
      <c r="K79" s="39" t="n"/>
      <c r="L79" s="39" t="n"/>
      <c r="M79" s="40" t="inlineStr">
        <is>
          <t>USCG</t>
        </is>
      </c>
      <c r="N79" s="41" t="n"/>
    </row>
    <row r="80" ht="10" customHeight="1">
      <c r="A80" s="29" t="inlineStr">
        <is>
          <t>Work Type</t>
        </is>
      </c>
      <c r="B80" s="42" t="inlineStr">
        <is>
          <t>DDG</t>
        </is>
      </c>
      <c r="C80" s="29" t="inlineStr">
        <is>
          <t>LCS</t>
        </is>
      </c>
      <c r="D80" s="29" t="inlineStr">
        <is>
          <t>LHD</t>
        </is>
      </c>
      <c r="E80" s="29" t="inlineStr">
        <is>
          <t>LPD</t>
        </is>
      </c>
      <c r="F80" s="29" t="inlineStr">
        <is>
          <t>CG</t>
        </is>
      </c>
      <c r="G80" s="29" t="inlineStr">
        <is>
          <t>LSD</t>
        </is>
      </c>
      <c r="H80" s="29" t="inlineStr">
        <is>
          <t>LHA</t>
        </is>
      </c>
      <c r="I80" s="29" t="inlineStr">
        <is>
          <t>T-AGOS</t>
        </is>
      </c>
      <c r="J80" s="29" t="inlineStr">
        <is>
          <t>ESB</t>
        </is>
      </c>
      <c r="K80" s="29" t="inlineStr">
        <is>
          <t>MCM</t>
        </is>
      </c>
      <c r="L80" s="29" t="inlineStr">
        <is>
          <t>LCC</t>
        </is>
      </c>
      <c r="M80" s="42" t="inlineStr">
        <is>
          <t>WMSL</t>
        </is>
      </c>
      <c r="N80" s="42" t="inlineStr">
        <is>
          <t>Total</t>
        </is>
      </c>
    </row>
    <row r="81" ht="10" customHeight="1">
      <c r="A81" s="30" t="inlineStr">
        <is>
          <t>Scheduled Depot Maintenance</t>
        </is>
      </c>
      <c r="B81" s="43">
        <f>IFERROR((SUMIFS(JB_26BV,JB_B,2,JB_H,"DDG",JB_RC,"ADD"))/B$83,0)</f>
        <v/>
      </c>
      <c r="C81" s="37">
        <f>IFERROR((SUMIFS(JB_26BV,JB_B,2,JB_H,"LCS",JB_RC,"ADD"))/C$83,0)</f>
        <v/>
      </c>
      <c r="D81" s="37">
        <f>IFERROR((SUMIFS(JB_26BV,JB_B,2,JB_H,"LHD",JB_RC,"ADD"))/D$83,0)</f>
        <v/>
      </c>
      <c r="E81" s="37">
        <f>IFERROR((SUMIFS(JB_26BV,JB_B,2,JB_H,"LPD",JB_RC,"ADD"))/E$83,0)</f>
        <v/>
      </c>
      <c r="F81" s="37">
        <f>IFERROR((SUMIFS(JB_26BV,JB_B,2,JB_H,"CG",JB_RC,"ADD"))/F$83,0)</f>
        <v/>
      </c>
      <c r="G81" s="37">
        <f>IFERROR((SUMIFS(JB_26BV,JB_B,2,JB_H,"LSD",JB_RC,"ADD"))/G$83,0)</f>
        <v/>
      </c>
      <c r="H81" s="37">
        <f>IFERROR((SUMIFS(JB_26BV,JB_B,2,JB_H,"LHA",JB_RC,"ADD"))/H$83,0)</f>
        <v/>
      </c>
      <c r="I81" s="37">
        <f>IFERROR((SUMIFS(JB_26BV,JB_B,2,JB_H,"T-AGOS",JB_RC,"ADD"))/I$83,0)</f>
        <v/>
      </c>
      <c r="J81" s="37">
        <f>IFERROR((SUMIFS(JB_26BV,JB_B,2,JB_H,"ESB",JB_RC,"ADD"))/J$83,0)</f>
        <v/>
      </c>
      <c r="K81" s="37">
        <f>IFERROR((SUMIFS(JB_26BV,JB_B,2,JB_H,"MCM",JB_RC,"ADD"))/K$83,0)</f>
        <v/>
      </c>
      <c r="L81" s="37">
        <f>IFERROR((SUMIFS(JB_26BV,JB_B,2,JB_H,"LCC",JB_RC,"ADD"))/L$83,0)</f>
        <v/>
      </c>
      <c r="M81" s="43">
        <f>IFERROR((SUMIFS(JB_26BV,JB_B,2,JB_H,"WMSL",JB_RC,"ADD"))/M$83,0)</f>
        <v/>
      </c>
      <c r="N81" s="43">
        <f>IFERROR(1-N82,0)</f>
        <v/>
      </c>
    </row>
    <row r="82" ht="10" customHeight="1">
      <c r="A82" s="30" t="inlineStr">
        <is>
          <t>Modernization</t>
        </is>
      </c>
      <c r="B82" s="43">
        <f>IFERROR((SUMIFS(JB_26BV,JB_B,4,JB_H,"DDG",JB_RC,"ADD"))/B$83,0)</f>
        <v/>
      </c>
      <c r="C82" s="37">
        <f>IFERROR((SUMIFS(JB_26BV,JB_B,4,JB_H,"LCS",JB_RC,"ADD"))/C$83,0)</f>
        <v/>
      </c>
      <c r="D82" s="37">
        <f>IFERROR((SUMIFS(JB_26BV,JB_B,4,JB_H,"LHD",JB_RC,"ADD"))/D$83,0)</f>
        <v/>
      </c>
      <c r="E82" s="37">
        <f>IFERROR((SUMIFS(JB_26BV,JB_B,4,JB_H,"LPD",JB_RC,"ADD"))/E$83,0)</f>
        <v/>
      </c>
      <c r="F82" s="37">
        <f>IFERROR((SUMIFS(JB_26BV,JB_B,4,JB_H,"CG",JB_RC,"ADD"))/F$83,0)</f>
        <v/>
      </c>
      <c r="G82" s="37">
        <f>IFERROR((SUMIFS(JB_26BV,JB_B,4,JB_H,"LSD",JB_RC,"ADD"))/G$83,0)</f>
        <v/>
      </c>
      <c r="H82" s="37">
        <f>IFERROR((SUMIFS(JB_26BV,JB_B,4,JB_H,"LHA",JB_RC,"ADD"))/H$83,0)</f>
        <v/>
      </c>
      <c r="I82" s="37">
        <f>IFERROR((SUMIFS(JB_26BV,JB_B,4,JB_H,"T-AGOS",JB_RC,"ADD"))/I$83,0)</f>
        <v/>
      </c>
      <c r="J82" s="37">
        <f>IFERROR((SUMIFS(JB_26BV,JB_B,4,JB_H,"ESB",JB_RC,"ADD"))/J$83,0)</f>
        <v/>
      </c>
      <c r="K82" s="37">
        <f>IFERROR((SUMIFS(JB_26BV,JB_B,4,JB_H,"MCM",JB_RC,"ADD"))/K$83,0)</f>
        <v/>
      </c>
      <c r="L82" s="37">
        <f>IFERROR((SUMIFS(JB_26BV,JB_B,4,JB_H,"LCC",JB_RC,"ADD"))/L$83,0)</f>
        <v/>
      </c>
      <c r="M82" s="43">
        <f>IFERROR((SUMIFS(JB_26BV,JB_B,4,JB_H,"WMSL",JB_RC,"ADD"))/M$83,0)</f>
        <v/>
      </c>
      <c r="N82" s="43">
        <f>IFERROR((SUMIFS(JB_26BV,JB_B,4,JB_H,"DDG",JB_RC,"ADD")+SUMIFS(JB_26BV,JB_B,4,JB_H,"LCS",JB_RC,"ADD")+SUMIFS(JB_26BV,JB_B,4,JB_H,"LHD",JB_RC,"ADD")+SUMIFS(JB_26BV,JB_B,4,JB_H,"LPD",JB_RC,"ADD")+SUMIFS(JB_26BV,JB_B,4,JB_H,"CG",JB_RC,"ADD")+SUMIFS(JB_26BV,JB_B,4,JB_H,"LSD",JB_RC,"ADD")+SUMIFS(JB_26BV,JB_B,4,JB_H,"LHA",JB_RC,"ADD")+SUMIFS(JB_26BV,JB_B,4,JB_H,"T-AGOS",JB_RC,"ADD")+SUMIFS(JB_26BV,JB_B,4,JB_H,"ESB",JB_RC,"ADD")+SUMIFS(JB_26BV,JB_B,4,JB_H,"MCM",JB_RC,"ADD")+SUMIFS(JB_26BV,JB_B,4,JB_H,"LCC",JB_RC,"ADD")+SUMIFS(JB_26BV,JB_B,4,JB_H,"WMSL",JB_RC,"ADD"))/N$83,0)</f>
        <v/>
      </c>
    </row>
    <row r="83" ht="10" customHeight="1">
      <c r="A83" s="32" t="inlineStr">
        <is>
          <t>Total ($K)</t>
        </is>
      </c>
      <c r="B83" s="44">
        <f>SUMIFS(JB_26BV,JB_B,2,JB_H,"DDG",JB_RC,"ADD")+SUMIFS(JB_26BV,JB_B,4,JB_H,"DDG",JB_RC,"ADD")</f>
        <v/>
      </c>
      <c r="C83" s="33">
        <f>SUMIFS(JB_26BV,JB_B,2,JB_H,"LCS",JB_RC,"ADD")+SUMIFS(JB_26BV,JB_B,4,JB_H,"LCS",JB_RC,"ADD")</f>
        <v/>
      </c>
      <c r="D83" s="33">
        <f>SUMIFS(JB_26BV,JB_B,2,JB_H,"LHD",JB_RC,"ADD")+SUMIFS(JB_26BV,JB_B,4,JB_H,"LHD",JB_RC,"ADD")</f>
        <v/>
      </c>
      <c r="E83" s="33">
        <f>SUMIFS(JB_26BV,JB_B,2,JB_H,"LPD",JB_RC,"ADD")+SUMIFS(JB_26BV,JB_B,4,JB_H,"LPD",JB_RC,"ADD")</f>
        <v/>
      </c>
      <c r="F83" s="33">
        <f>SUMIFS(JB_26BV,JB_B,2,JB_H,"CG",JB_RC,"ADD")+SUMIFS(JB_26BV,JB_B,4,JB_H,"CG",JB_RC,"ADD")</f>
        <v/>
      </c>
      <c r="G83" s="33">
        <f>SUMIFS(JB_26BV,JB_B,2,JB_H,"LSD",JB_RC,"ADD")+SUMIFS(JB_26BV,JB_B,4,JB_H,"LSD",JB_RC,"ADD")</f>
        <v/>
      </c>
      <c r="H83" s="33">
        <f>SUMIFS(JB_26BV,JB_B,2,JB_H,"LHA",JB_RC,"ADD")+SUMIFS(JB_26BV,JB_B,4,JB_H,"LHA",JB_RC,"ADD")</f>
        <v/>
      </c>
      <c r="I83" s="33">
        <f>SUMIFS(JB_26BV,JB_B,2,JB_H,"T-AGOS",JB_RC,"ADD")+SUMIFS(JB_26BV,JB_B,4,JB_H,"T-AGOS",JB_RC,"ADD")</f>
        <v/>
      </c>
      <c r="J83" s="33">
        <f>SUMIFS(JB_26BV,JB_B,2,JB_H,"ESB",JB_RC,"ADD")+SUMIFS(JB_26BV,JB_B,4,JB_H,"ESB",JB_RC,"ADD")</f>
        <v/>
      </c>
      <c r="K83" s="33">
        <f>SUMIFS(JB_26BV,JB_B,2,JB_H,"MCM",JB_RC,"ADD")+SUMIFS(JB_26BV,JB_B,4,JB_H,"MCM",JB_RC,"ADD")</f>
        <v/>
      </c>
      <c r="L83" s="33">
        <f>SUMIFS(JB_26BV,JB_B,2,JB_H,"LCC",JB_RC,"ADD")+SUMIFS(JB_26BV,JB_B,4,JB_H,"LCC",JB_RC,"ADD")</f>
        <v/>
      </c>
      <c r="M83" s="44">
        <f>SUMIFS(JB_26BV,JB_B,2,JB_H,"WMSL",JB_RC,"ADD")+SUMIFS(JB_26BV,JB_B,4,JB_H,"WMSL",JB_RC,"ADD")</f>
        <v/>
      </c>
      <c r="N83" s="44">
        <f>SUM(B83:M83)</f>
        <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Submarine Escort Ship</t>
        </is>
      </c>
      <c r="B28" s="30" t="inlineStr">
        <is>
          <t>USN</t>
        </is>
      </c>
      <c r="C28" s="31">
        <f>SUMIFS(JB_27BV,JB_B,1,JB_W,"Submarine Escort Ship",JB_RC,"ADD")</f>
        <v/>
      </c>
      <c r="D28" s="37">
        <f>IFERROR(C28/C$44,0)</f>
        <v/>
      </c>
    </row>
    <row r="29" ht="10" customHeight="1">
      <c r="A29" s="30" t="inlineStr">
        <is>
          <t>Command Ships</t>
        </is>
      </c>
      <c r="B29" s="30" t="inlineStr">
        <is>
          <t>USN</t>
        </is>
      </c>
      <c r="C29" s="31">
        <f>SUMIFS(JB_27BV,JB_B,1,JB_W,"Command Ships",JB_RC,"ADD")</f>
        <v/>
      </c>
      <c r="D29" s="37">
        <f>IFERROR(C29/C$44,0)</f>
        <v/>
      </c>
    </row>
    <row r="30" ht="10" customHeight="1">
      <c r="A30" s="30" t="inlineStr">
        <is>
          <t>High Speed Transport</t>
        </is>
      </c>
      <c r="B30" s="30" t="inlineStr">
        <is>
          <t>USN</t>
        </is>
      </c>
      <c r="C30" s="31">
        <f>SUMIFS(JB_27BV,JB_B,1,JB_W,"High Speed Transport",JB_RC,"ADD")</f>
        <v/>
      </c>
      <c r="D30" s="37">
        <f>IFERROR(C30/C$44,0)</f>
        <v/>
      </c>
    </row>
    <row r="31" ht="10" customHeight="1">
      <c r="A31" s="30" t="inlineStr">
        <is>
          <t>General Auxiliary</t>
        </is>
      </c>
      <c r="B31" s="30" t="inlineStr">
        <is>
          <t>USN</t>
        </is>
      </c>
      <c r="C31" s="31">
        <f>SUMIFS(JB_27BV,JB_B,1,JB_W,"General Auxiliary",JB_RC,"ADD")</f>
        <v/>
      </c>
      <c r="D31" s="37">
        <f>IFERROR(C31/C$44,0)</f>
        <v/>
      </c>
    </row>
    <row r="32" ht="10" customHeight="1">
      <c r="A32" s="30" t="inlineStr">
        <is>
          <t>Aviation Logistics Support Ship</t>
        </is>
      </c>
      <c r="B32" s="30" t="inlineStr">
        <is>
          <t>USN</t>
        </is>
      </c>
      <c r="C32" s="31">
        <f>SUMIFS(JB_27BV,JB_B,1,JB_W,"Aviation Logistics Support Ship",JB_RC,"ADD")</f>
        <v/>
      </c>
      <c r="D32" s="37">
        <f>IFERROR(C32/C$44,0)</f>
        <v/>
      </c>
    </row>
    <row r="33" ht="10" customHeight="1">
      <c r="A33" s="30" t="inlineStr">
        <is>
          <t>Research, Survey &amp; Instrumentation Ships</t>
        </is>
      </c>
      <c r="B33" s="30" t="inlineStr">
        <is>
          <t>MSC</t>
        </is>
      </c>
      <c r="C33" s="31">
        <f>SUMIFS(JB_27BV,JB_B,1,JB_W,"Research, Survey &amp; Instrumentation Ships",JB_RC,"ADD")</f>
        <v/>
      </c>
      <c r="D33" s="37">
        <f>IFERROR(C33/C$44,0)</f>
        <v/>
      </c>
    </row>
    <row r="34" ht="10" customHeight="1">
      <c r="A34" s="30" t="inlineStr">
        <is>
          <t>Crane Ship</t>
        </is>
      </c>
      <c r="B34" s="30" t="inlineStr">
        <is>
          <t>USN</t>
        </is>
      </c>
      <c r="C34" s="31">
        <f>SUMIFS(JB_27BV,JB_B,1,JB_W,"Crane Ship",JB_RC,"ADD")</f>
        <v/>
      </c>
      <c r="D34" s="37">
        <f>IFERROR(C34/C$44,0)</f>
        <v/>
      </c>
    </row>
    <row r="35" ht="10" customHeight="1">
      <c r="A35" s="30" t="inlineStr">
        <is>
          <t>Mine Warfare</t>
        </is>
      </c>
      <c r="B35" s="30" t="inlineStr">
        <is>
          <t>USN</t>
        </is>
      </c>
      <c r="C35" s="31">
        <f>SUMIFS(JB_27BV,JB_B,1,JB_W,"Mine Warfare",JB_RC,"ADD")</f>
        <v/>
      </c>
      <c r="D35" s="37">
        <f>IFERROR(C35/C$44,0)</f>
        <v/>
      </c>
    </row>
    <row r="36" ht="10" customHeight="1">
      <c r="A36" s="30" t="inlineStr">
        <is>
          <t>Salvage Ships &amp; Fleet Ocean Tugs</t>
        </is>
      </c>
      <c r="B36" s="30" t="inlineStr">
        <is>
          <t>MSC</t>
        </is>
      </c>
      <c r="C36" s="31">
        <f>SUMIFS(JB_27BV,JB_B,1,JB_W,"Salvage Ships &amp; Fleet Ocean Tugs",JB_RC,"ADD")</f>
        <v/>
      </c>
      <c r="D36" s="37">
        <f>IFERROR(C36/C$44,0)</f>
        <v/>
      </c>
    </row>
    <row r="37" ht="10" customHeight="1">
      <c r="A37" s="30" t="inlineStr">
        <is>
          <t>Icebreakers, Oceangoing</t>
        </is>
      </c>
      <c r="B37" s="30" t="inlineStr">
        <is>
          <t>USCG</t>
        </is>
      </c>
      <c r="C37" s="31">
        <f>SUMIFS(JB_27BV,JB_B,1,JB_W,"Icebreakers, Oceangoing",JB_RC,"ADD")</f>
        <v/>
      </c>
      <c r="D37" s="37">
        <f>IFERROR(C37/C$44,0)</f>
        <v/>
      </c>
    </row>
    <row r="38" ht="10" customHeight="1">
      <c r="A38" s="30" t="inlineStr">
        <is>
          <t>Coastal Buoy Tenders</t>
        </is>
      </c>
      <c r="B38" s="30" t="inlineStr">
        <is>
          <t>USCG</t>
        </is>
      </c>
      <c r="C38" s="31">
        <f>SUMIFS(JB_27BV,JB_B,1,JB_W,"Coastal Buoy Tenders",JB_RC,"ADD")</f>
        <v/>
      </c>
      <c r="D38" s="37">
        <f>IFERROR(C38/C$44,0)</f>
        <v/>
      </c>
    </row>
    <row r="39" ht="10" customHeight="1">
      <c r="A39" s="30" t="inlineStr">
        <is>
          <t>Fast Response Cutters</t>
        </is>
      </c>
      <c r="B39" s="30" t="inlineStr">
        <is>
          <t>USCG</t>
        </is>
      </c>
      <c r="C39" s="31">
        <f>SUMIFS(JB_27BV,JB_B,1,JB_W,"Fast Response Cutters",JB_RC,"ADD")</f>
        <v/>
      </c>
      <c r="D39" s="37">
        <f>IFERROR(C39/C$44,0)</f>
        <v/>
      </c>
    </row>
    <row r="40" ht="10" customHeight="1">
      <c r="A40" s="30" t="inlineStr">
        <is>
          <t>National Security Cutters</t>
        </is>
      </c>
      <c r="B40" s="30" t="inlineStr">
        <is>
          <t>USCG</t>
        </is>
      </c>
      <c r="C40" s="31">
        <f>SUMIFS(JB_27BV,JB_B,1,JB_W,"National Security Cutters",JB_RC,"ADD")</f>
        <v/>
      </c>
      <c r="D40" s="37">
        <f>IFERROR(C40/C$44,0)</f>
        <v/>
      </c>
    </row>
    <row r="41" ht="10" customHeight="1">
      <c r="A41" s="30" t="inlineStr">
        <is>
          <t>Offshore Patrol Cutter</t>
        </is>
      </c>
      <c r="B41" s="30" t="inlineStr">
        <is>
          <t>USCG</t>
        </is>
      </c>
      <c r="C41" s="31">
        <f>SUMIFS(JB_27BV,JB_B,1,JB_W,"Offshore Patrol Cutter",JB_RC,"ADD")</f>
        <v/>
      </c>
      <c r="D41" s="37">
        <f>IFERROR(C41/C$44,0)</f>
        <v/>
      </c>
    </row>
    <row r="42" ht="10" customHeight="1">
      <c r="A42" s="30" t="inlineStr">
        <is>
          <t>Waterways Commerce Cutters</t>
        </is>
      </c>
      <c r="B42" s="30" t="inlineStr">
        <is>
          <t>USCG</t>
        </is>
      </c>
      <c r="C42" s="31">
        <f>SUMIFS(JB_27BV,JB_B,1,JB_W,"Waterways Commerce Cutters",JB_RC,"ADD")</f>
        <v/>
      </c>
      <c r="D42" s="37">
        <f>IFERROR(C42/C$44,0)</f>
        <v/>
      </c>
    </row>
    <row r="43" ht="10" customHeight="1">
      <c r="A43" s="30" t="inlineStr">
        <is>
          <t>Icebreakers, Great Lakes</t>
        </is>
      </c>
      <c r="B43" s="30" t="inlineStr">
        <is>
          <t>USCG</t>
        </is>
      </c>
      <c r="C43" s="31">
        <f>SUMIFS(JB_27BV,JB_B,1,JB_W,"Icebreakers, Great Lakes",JB_RC,"ADD")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Cargo &amp; Vehicle Cargo Ships</t>
        </is>
      </c>
      <c r="B32" s="30" t="inlineStr">
        <is>
          <t>USN</t>
        </is>
      </c>
      <c r="C32"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2" s="37">
        <f>IFERROR(C32/C$53,0)</f>
        <v/>
      </c>
    </row>
    <row r="33" ht="10" customHeight="1">
      <c r="A33" s="30" t="inlineStr">
        <is>
          <t>Combat Logistics Ships</t>
        </is>
      </c>
      <c r="B33" s="30" t="inlineStr">
        <is>
          <t>MSC</t>
        </is>
      </c>
      <c r="C33"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3" s="37">
        <f>IFERROR(C33/C$53,0)</f>
        <v/>
      </c>
    </row>
    <row r="34" ht="10" customHeight="1">
      <c r="A34" s="30" t="inlineStr">
        <is>
          <t>Unmanned Surface Vehicles</t>
        </is>
      </c>
      <c r="B34" s="30" t="inlineStr">
        <is>
          <t>USN</t>
        </is>
      </c>
      <c r="C34"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4" s="37">
        <f>IFERROR(C34/C$53,0)</f>
        <v/>
      </c>
    </row>
    <row r="35" ht="10" customHeight="1">
      <c r="A35" s="30" t="inlineStr">
        <is>
          <t>Unmanned Undersea Vehicles</t>
        </is>
      </c>
      <c r="B35" s="30" t="inlineStr">
        <is>
          <t>USN</t>
        </is>
      </c>
      <c r="C35"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35" s="37">
        <f>IFERROR(C35/C$53,0)</f>
        <v/>
      </c>
    </row>
    <row r="36" ht="10" customHeight="1">
      <c r="A36" s="30" t="inlineStr">
        <is>
          <t>Submarine Escort Ship</t>
        </is>
      </c>
      <c r="B36" s="30" t="inlineStr">
        <is>
          <t>USN</t>
        </is>
      </c>
      <c r="C36"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6" s="37">
        <f>IFERROR(C36/C$53,0)</f>
        <v/>
      </c>
    </row>
    <row r="37" ht="10" customHeight="1">
      <c r="A37" s="30" t="inlineStr">
        <is>
          <t>High Speed Transport</t>
        </is>
      </c>
      <c r="B37" s="30" t="inlineStr">
        <is>
          <t>USN</t>
        </is>
      </c>
      <c r="C37"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37" s="37">
        <f>IFERROR(C37/C$53,0)</f>
        <v/>
      </c>
    </row>
    <row r="38" ht="10" customHeight="1">
      <c r="A38" s="30" t="inlineStr">
        <is>
          <t>General Auxiliary</t>
        </is>
      </c>
      <c r="B38" s="30" t="inlineStr">
        <is>
          <t>USN</t>
        </is>
      </c>
      <c r="C38"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8" s="37">
        <f>IFERROR(C38/C$53,0)</f>
        <v/>
      </c>
    </row>
    <row r="39" ht="10" customHeight="1">
      <c r="A39" s="30" t="inlineStr">
        <is>
          <t>Aviation Logistics Support Ship</t>
        </is>
      </c>
      <c r="B39" s="30" t="inlineStr">
        <is>
          <t>USN</t>
        </is>
      </c>
      <c r="C39"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9" s="37">
        <f>IFERROR(C39/C$53,0)</f>
        <v/>
      </c>
    </row>
    <row r="40" ht="10" customHeight="1">
      <c r="A40" s="30" t="inlineStr">
        <is>
          <t>Research, Survey &amp; Instrumentation Ships</t>
        </is>
      </c>
      <c r="B40" s="30" t="inlineStr">
        <is>
          <t>MSC</t>
        </is>
      </c>
      <c r="C40"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40" s="37">
        <f>IFERROR(C40/C$53,0)</f>
        <v/>
      </c>
    </row>
    <row r="41" ht="10" customHeight="1">
      <c r="A41" s="30" t="inlineStr">
        <is>
          <t>Crane Ship</t>
        </is>
      </c>
      <c r="B41" s="30" t="inlineStr">
        <is>
          <t>USN</t>
        </is>
      </c>
      <c r="C41" s="31">
        <f>SUMIFS(JB_27BV,JB_B,2,JB_W,"Crane Ship",JB_RC,"ADD")+SUMIFS(JB_27BV,JB_B,3,JB_W,"Crane Ship",JB_RC,"ADD")+SUMIFS(JB_27BV,JB_B,4,JB_W,"Crane Ship",JB_RC,"ADD")+SUMIFS(JB_27BV,JB_B,5,JB_W,"Crane Ship",JB_RC,"ADD")+SUMIFS(JB_27BV,JB_B,6,JB_W,"Crane Ship",JB_RC,"ADD")+SUMIFS(JB_27BV,JB_B,7,JB_W,"Crane Ship",JB_RC,"ADD")</f>
        <v/>
      </c>
      <c r="D41" s="37">
        <f>IFERROR(C41/C$53,0)</f>
        <v/>
      </c>
    </row>
    <row r="42" ht="10" customHeight="1">
      <c r="A42" s="30" t="inlineStr">
        <is>
          <t>Mine Warfare</t>
        </is>
      </c>
      <c r="B42" s="30" t="inlineStr">
        <is>
          <t>USN</t>
        </is>
      </c>
      <c r="C42" s="31">
        <f>SUMIFS(JB_27BV,JB_B,2,JB_W,"Mine Warfare",JB_RC,"ADD")+SUMIFS(JB_27BV,JB_B,3,JB_W,"Mine Warfare",JB_RC,"ADD")+SUMIFS(JB_27BV,JB_B,4,JB_W,"Mine Warfare",JB_RC,"ADD")+SUMIFS(JB_27BV,JB_B,5,JB_W,"Mine Warfare",JB_RC,"ADD")+SUMIFS(JB_27BV,JB_B,6,JB_W,"Mine Warfare",JB_RC,"ADD")+SUMIFS(JB_27BV,JB_B,7,JB_W,"Mine Warfare",JB_RC,"ADD")</f>
        <v/>
      </c>
      <c r="D42" s="37">
        <f>IFERROR(C42/C$53,0)</f>
        <v/>
      </c>
    </row>
    <row r="43" ht="10" customHeight="1">
      <c r="A43" s="30" t="inlineStr">
        <is>
          <t>Salvage Ships &amp; Fleet Ocean Tugs</t>
        </is>
      </c>
      <c r="B43" s="30" t="inlineStr">
        <is>
          <t>MSC</t>
        </is>
      </c>
      <c r="C43"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43" s="37">
        <f>IFERROR(C43/C$53,0)</f>
        <v/>
      </c>
    </row>
    <row r="44" ht="10" customHeight="1">
      <c r="A44" s="30" t="inlineStr">
        <is>
          <t>Hospital Ship</t>
        </is>
      </c>
      <c r="B44" s="30" t="inlineStr">
        <is>
          <t>MSC</t>
        </is>
      </c>
      <c r="C44" s="31">
        <f>SUMIFS(JB_27BV,JB_B,2,JB_W,"Hospital Ship",JB_RC,"ADD")+SUMIFS(JB_27BV,JB_B,3,JB_W,"Hospital Ship",JB_RC,"ADD")+SUMIFS(JB_27BV,JB_B,4,JB_W,"Hospital Ship",JB_RC,"ADD")+SUMIFS(JB_27BV,JB_B,5,JB_W,"Hospital Ship",JB_RC,"ADD")+SUMIFS(JB_27BV,JB_B,6,JB_W,"Hospital Ship",JB_RC,"ADD")+SUMIFS(JB_27BV,JB_B,7,JB_W,"Hospital Ship",JB_RC,"ADD")</f>
        <v/>
      </c>
      <c r="D44" s="37">
        <f>IFERROR(C44/C$53,0)</f>
        <v/>
      </c>
    </row>
    <row r="45" ht="10" customHeight="1">
      <c r="A45" s="30" t="inlineStr">
        <is>
          <t>Material Support Ships</t>
        </is>
      </c>
      <c r="B45" s="30" t="inlineStr">
        <is>
          <t>USN</t>
        </is>
      </c>
      <c r="C45"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5" s="37">
        <f>IFERROR(C45/C$53,0)</f>
        <v/>
      </c>
    </row>
    <row r="46" ht="10" customHeight="1">
      <c r="A46" s="30" t="inlineStr">
        <is>
          <t>Icebreakers, Oceangoing</t>
        </is>
      </c>
      <c r="B46" s="30" t="inlineStr">
        <is>
          <t>USCG</t>
        </is>
      </c>
      <c r="C46"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6" s="37">
        <f>IFERROR(C46/C$53,0)</f>
        <v/>
      </c>
    </row>
    <row r="47" ht="10" customHeight="1">
      <c r="A47" s="30" t="inlineStr">
        <is>
          <t>Coastal Buoy Tenders</t>
        </is>
      </c>
      <c r="B47" s="30" t="inlineStr">
        <is>
          <t>USCG</t>
        </is>
      </c>
      <c r="C47"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7" s="37">
        <f>IFERROR(C47/C$53,0)</f>
        <v/>
      </c>
    </row>
    <row r="48" ht="10" customHeight="1">
      <c r="A48" s="30" t="inlineStr">
        <is>
          <t>Fast Response Cutters</t>
        </is>
      </c>
      <c r="B48" s="30" t="inlineStr">
        <is>
          <t>USCG</t>
        </is>
      </c>
      <c r="C48"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8" s="37">
        <f>IFERROR(C48/C$53,0)</f>
        <v/>
      </c>
    </row>
    <row r="49" ht="10" customHeight="1">
      <c r="A49" s="30" t="inlineStr">
        <is>
          <t>National Security Cutters</t>
        </is>
      </c>
      <c r="B49" s="30" t="inlineStr">
        <is>
          <t>USCG</t>
        </is>
      </c>
      <c r="C49"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9" s="37">
        <f>IFERROR(C49/C$53,0)</f>
        <v/>
      </c>
    </row>
    <row r="50" ht="10" customHeight="1">
      <c r="A50" s="30" t="inlineStr">
        <is>
          <t>Offshore Patrol Cutter</t>
        </is>
      </c>
      <c r="B50" s="30" t="inlineStr">
        <is>
          <t>USCG</t>
        </is>
      </c>
      <c r="C50"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50" s="37">
        <f>IFERROR(C50/C$53,0)</f>
        <v/>
      </c>
    </row>
    <row r="51" ht="10" customHeight="1">
      <c r="A51" s="30" t="inlineStr">
        <is>
          <t>Waterways Commerce Cutters</t>
        </is>
      </c>
      <c r="B51" s="30" t="inlineStr">
        <is>
          <t>USCG</t>
        </is>
      </c>
      <c r="C51"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51" s="37">
        <f>IFERROR(C51/C$53,0)</f>
        <v/>
      </c>
    </row>
    <row r="52" ht="10" customHeight="1">
      <c r="A52" s="30" t="inlineStr">
        <is>
          <t>Icebreakers, Great Lakes</t>
        </is>
      </c>
      <c r="B52" s="30" t="inlineStr">
        <is>
          <t>USCG</t>
        </is>
      </c>
      <c r="C52"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I7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10" customHeight="1">
      <c r="A1" s="24" t="inlineStr">
        <is>
          <t>MRO SAM — FY2027 ($K)</t>
        </is>
      </c>
      <c r="B1" s="25" t="n"/>
      <c r="C1" s="25" t="n"/>
      <c r="D1" s="25" t="n"/>
      <c r="E1" s="25" t="n"/>
      <c r="F1" s="25" t="n"/>
      <c r="G1" s="25" t="n"/>
      <c r="H1" s="25" t="n"/>
      <c r="I1" s="25" t="n"/>
    </row>
    <row r="2" ht="10" customHeight="1">
      <c r="A2" s="26" t="inlineStr">
        <is>
          <t>Outsourceable MRO sized at hull-program level. Starts from MRO TAM, excludes single-yard/nuclear programs (Submarines, Aircraft Carriers, UUVs), then narrows work types to scheduled depot maintenance (Bucket 2) and modernization/alteration installation (Bucket 4) — the categories where a company could compete for repair or upgrade work.</t>
        </is>
      </c>
    </row>
    <row r="3" ht="10" customHeight="1"/>
    <row r="4" ht="10" customHeight="1">
      <c r="A4" s="27" t="inlineStr">
        <is>
          <t>(A) Bridge: MRO TAM → MRO SAM</t>
        </is>
      </c>
      <c r="B4" s="28" t="n"/>
    </row>
    <row r="5" ht="10" customHeight="1">
      <c r="A5" s="30" t="inlineStr">
        <is>
          <t>MRO TAM</t>
        </is>
      </c>
      <c r="B5" s="49">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3, 5, 6, 7)</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Cargo &amp; Vehicle Cargo Ships</t>
        </is>
      </c>
      <c r="B18" s="30" t="inlineStr">
        <is>
          <t>USN</t>
        </is>
      </c>
      <c r="C18" s="31">
        <f>SUMIFS(JB_27BV,JB_B,2,JB_W,"Cargo &amp; Vehicle Cargo Ships",JB_RC,"ADD")</f>
        <v/>
      </c>
      <c r="D18" s="31">
        <f>SUMIFS(JB_27BV,JB_B,4,JB_W,"Cargo &amp; Vehicle Cargo Ships",JB_RC,"ADD")</f>
        <v/>
      </c>
      <c r="E18" s="31">
        <f>C18+D18</f>
        <v/>
      </c>
      <c r="F18" s="37">
        <f>IFERROR(E18/E$40,0)</f>
        <v/>
      </c>
    </row>
    <row r="19" ht="10" customHeight="1">
      <c r="A19" s="30" t="inlineStr">
        <is>
          <t>Combat Logistics Ships</t>
        </is>
      </c>
      <c r="B19" s="30" t="inlineStr">
        <is>
          <t>MSC</t>
        </is>
      </c>
      <c r="C19" s="31">
        <f>SUMIFS(JB_27BV,JB_B,2,JB_W,"Combat Logistics Ships",JB_RC,"ADD")</f>
        <v/>
      </c>
      <c r="D19" s="31">
        <f>SUMIFS(JB_27BV,JB_B,4,JB_W,"Combat Logistics Ships",JB_RC,"ADD")</f>
        <v/>
      </c>
      <c r="E19" s="31">
        <f>C19+D19</f>
        <v/>
      </c>
      <c r="F19" s="37">
        <f>IFERROR(E19/E$40,0)</f>
        <v/>
      </c>
    </row>
    <row r="20" ht="10" customHeight="1">
      <c r="A20" s="30" t="inlineStr">
        <is>
          <t>Unmanned Surface Vehicles</t>
        </is>
      </c>
      <c r="B20" s="30" t="inlineStr">
        <is>
          <t>USN</t>
        </is>
      </c>
      <c r="C20" s="31">
        <f>SUMIFS(JB_27BV,JB_B,2,JB_W,"Unmanned Surface Vehicles",JB_RC,"ADD")</f>
        <v/>
      </c>
      <c r="D20" s="31">
        <f>SUMIFS(JB_27BV,JB_B,4,JB_W,"Unmanned Surface Vehicles",JB_RC,"ADD")</f>
        <v/>
      </c>
      <c r="E20" s="31">
        <f>C20+D20</f>
        <v/>
      </c>
      <c r="F20" s="37">
        <f>IFERROR(E20/E$40,0)</f>
        <v/>
      </c>
    </row>
    <row r="21" ht="10" customHeight="1">
      <c r="A21" s="30" t="inlineStr">
        <is>
          <t>Aviation Logistics Support Ship</t>
        </is>
      </c>
      <c r="B21" s="30" t="inlineStr">
        <is>
          <t>USN</t>
        </is>
      </c>
      <c r="C21" s="31">
        <f>SUMIFS(JB_27BV,JB_B,2,JB_W,"Aviation Logistics Support Ship",JB_RC,"ADD")</f>
        <v/>
      </c>
      <c r="D21" s="31">
        <f>SUMIFS(JB_27BV,JB_B,4,JB_W,"Aviation Logistics Support Ship",JB_RC,"ADD")</f>
        <v/>
      </c>
      <c r="E21" s="31">
        <f>C21+D21</f>
        <v/>
      </c>
      <c r="F21" s="37">
        <f>IFERROR(E21/E$40,0)</f>
        <v/>
      </c>
    </row>
    <row r="22" ht="10" customHeight="1">
      <c r="A22" s="30" t="inlineStr">
        <is>
          <t>Research, Survey &amp; Instrumentation Ships</t>
        </is>
      </c>
      <c r="B22" s="30" t="inlineStr">
        <is>
          <t>MSC</t>
        </is>
      </c>
      <c r="C22" s="31">
        <f>SUMIFS(JB_27BV,JB_B,2,JB_W,"Research, Survey &amp; Instrumentation Ships",JB_RC,"ADD")</f>
        <v/>
      </c>
      <c r="D22" s="31">
        <f>SUMIFS(JB_27BV,JB_B,4,JB_W,"Research, Survey &amp; Instrumentation Ships",JB_RC,"ADD")</f>
        <v/>
      </c>
      <c r="E22" s="31">
        <f>C22+D22</f>
        <v/>
      </c>
      <c r="F22" s="37">
        <f>IFERROR(E22/E$40,0)</f>
        <v/>
      </c>
    </row>
    <row r="23" ht="10" customHeight="1">
      <c r="A23" s="30" t="inlineStr">
        <is>
          <t>Crane Ship</t>
        </is>
      </c>
      <c r="B23" s="30" t="inlineStr">
        <is>
          <t>USN</t>
        </is>
      </c>
      <c r="C23" s="31">
        <f>SUMIFS(JB_27BV,JB_B,2,JB_W,"Crane Ship",JB_RC,"ADD")</f>
        <v/>
      </c>
      <c r="D23" s="31">
        <f>SUMIFS(JB_27BV,JB_B,4,JB_W,"Crane Ship",JB_RC,"ADD")</f>
        <v/>
      </c>
      <c r="E23" s="31">
        <f>C23+D23</f>
        <v/>
      </c>
      <c r="F23" s="37">
        <f>IFERROR(E23/E$40,0)</f>
        <v/>
      </c>
    </row>
    <row r="24" ht="10" customHeight="1">
      <c r="A24" s="30" t="inlineStr">
        <is>
          <t>Submarine Escort Ship</t>
        </is>
      </c>
      <c r="B24" s="30" t="inlineStr">
        <is>
          <t>USN</t>
        </is>
      </c>
      <c r="C24" s="31">
        <f>SUMIFS(JB_27BV,JB_B,2,JB_W,"Submarine Escort Ship",JB_RC,"ADD")</f>
        <v/>
      </c>
      <c r="D24" s="31">
        <f>SUMIFS(JB_27BV,JB_B,4,JB_W,"Submarine Escort Ship",JB_RC,"ADD")</f>
        <v/>
      </c>
      <c r="E24" s="31">
        <f>C24+D24</f>
        <v/>
      </c>
      <c r="F24" s="37">
        <f>IFERROR(E24/E$40,0)</f>
        <v/>
      </c>
    </row>
    <row r="25" ht="10" customHeight="1">
      <c r="A25" s="30" t="inlineStr">
        <is>
          <t>Mine Warfare</t>
        </is>
      </c>
      <c r="B25" s="30" t="inlineStr">
        <is>
          <t>USN</t>
        </is>
      </c>
      <c r="C25" s="31">
        <f>SUMIFS(JB_27BV,JB_B,2,JB_W,"Mine Warfare",JB_RC,"ADD")</f>
        <v/>
      </c>
      <c r="D25" s="31">
        <f>SUMIFS(JB_27BV,JB_B,4,JB_W,"Mine Warfare",JB_RC,"ADD")</f>
        <v/>
      </c>
      <c r="E25" s="31">
        <f>C25+D25</f>
        <v/>
      </c>
      <c r="F25" s="37">
        <f>IFERROR(E25/E$40,0)</f>
        <v/>
      </c>
    </row>
    <row r="26" ht="10" customHeight="1">
      <c r="A26" s="30" t="inlineStr">
        <is>
          <t>Command Ships</t>
        </is>
      </c>
      <c r="B26" s="30" t="inlineStr">
        <is>
          <t>USN</t>
        </is>
      </c>
      <c r="C26" s="31">
        <f>SUMIFS(JB_27BV,JB_B,2,JB_W,"Command Ships",JB_RC,"ADD")</f>
        <v/>
      </c>
      <c r="D26" s="31">
        <f>SUMIFS(JB_27BV,JB_B,4,JB_W,"Command Ships",JB_RC,"ADD")</f>
        <v/>
      </c>
      <c r="E26" s="31">
        <f>C26+D26</f>
        <v/>
      </c>
      <c r="F26" s="37">
        <f>IFERROR(E26/E$40,0)</f>
        <v/>
      </c>
    </row>
    <row r="27" ht="10" customHeight="1">
      <c r="A27" s="30" t="inlineStr">
        <is>
          <t>High Speed Transport</t>
        </is>
      </c>
      <c r="B27" s="30" t="inlineStr">
        <is>
          <t>USN</t>
        </is>
      </c>
      <c r="C27" s="31">
        <f>SUMIFS(JB_27BV,JB_B,2,JB_W,"High Speed Transport",JB_RC,"ADD")</f>
        <v/>
      </c>
      <c r="D27" s="31">
        <f>SUMIFS(JB_27BV,JB_B,4,JB_W,"High Speed Transport",JB_RC,"ADD")</f>
        <v/>
      </c>
      <c r="E27" s="31">
        <f>C27+D27</f>
        <v/>
      </c>
      <c r="F27" s="37">
        <f>IFERROR(E27/E$40,0)</f>
        <v/>
      </c>
    </row>
    <row r="28" ht="10" customHeight="1">
      <c r="A28" s="30" t="inlineStr">
        <is>
          <t>Salvage Ships &amp; Fleet Ocean Tugs</t>
        </is>
      </c>
      <c r="B28" s="30" t="inlineStr">
        <is>
          <t>MSC</t>
        </is>
      </c>
      <c r="C28" s="31">
        <f>SUMIFS(JB_27BV,JB_B,2,JB_W,"Salvage Ships &amp; Fleet Ocean Tugs",JB_RC,"ADD")</f>
        <v/>
      </c>
      <c r="D28" s="31">
        <f>SUMIFS(JB_27BV,JB_B,4,JB_W,"Salvage Ships &amp; Fleet Ocean Tugs",JB_RC,"ADD")</f>
        <v/>
      </c>
      <c r="E28" s="31">
        <f>C28+D28</f>
        <v/>
      </c>
      <c r="F28" s="37">
        <f>IFERROR(E28/E$40,0)</f>
        <v/>
      </c>
    </row>
    <row r="29" ht="10" customHeight="1">
      <c r="A29" s="30" t="inlineStr">
        <is>
          <t>Hospital Ship</t>
        </is>
      </c>
      <c r="B29" s="30" t="inlineStr">
        <is>
          <t>MSC</t>
        </is>
      </c>
      <c r="C29" s="31">
        <f>SUMIFS(JB_27BV,JB_B,2,JB_W,"Hospital Ship",JB_RC,"ADD")</f>
        <v/>
      </c>
      <c r="D29" s="31">
        <f>SUMIFS(JB_27BV,JB_B,4,JB_W,"Hospital Ship",JB_RC,"ADD")</f>
        <v/>
      </c>
      <c r="E29" s="31">
        <f>C29+D29</f>
        <v/>
      </c>
      <c r="F29" s="37">
        <f>IFERROR(E29/E$40,0)</f>
        <v/>
      </c>
    </row>
    <row r="30" ht="10" customHeight="1">
      <c r="A30" s="30" t="inlineStr">
        <is>
          <t>Expeditionary &amp; Seabasing Ships</t>
        </is>
      </c>
      <c r="B30" s="30" t="inlineStr">
        <is>
          <t>USN</t>
        </is>
      </c>
      <c r="C30" s="31">
        <f>SUMIFS(JB_27BV,JB_B,2,JB_W,"Expeditionary &amp; Seabasing Ships",JB_RC,"ADD")</f>
        <v/>
      </c>
      <c r="D30" s="31">
        <f>SUMIFS(JB_27BV,JB_B,4,JB_W,"Expeditionary &amp; Seabasing Ships",JB_RC,"ADD")</f>
        <v/>
      </c>
      <c r="E30" s="31">
        <f>C30+D30</f>
        <v/>
      </c>
      <c r="F30" s="37">
        <f>IFERROR(E30/E$40,0)</f>
        <v/>
      </c>
    </row>
    <row r="31" ht="10" customHeight="1">
      <c r="A31" s="30" t="inlineStr">
        <is>
          <t>General Auxiliary</t>
        </is>
      </c>
      <c r="B31" s="30" t="inlineStr">
        <is>
          <t>USN</t>
        </is>
      </c>
      <c r="C31" s="31">
        <f>SUMIFS(JB_27BV,JB_B,2,JB_W,"General Auxiliary",JB_RC,"ADD")</f>
        <v/>
      </c>
      <c r="D31" s="31">
        <f>SUMIFS(JB_27BV,JB_B,4,JB_W,"General Auxiliary",JB_RC,"ADD")</f>
        <v/>
      </c>
      <c r="E31" s="31">
        <f>C31+D31</f>
        <v/>
      </c>
      <c r="F31" s="37">
        <f>IFERROR(E31/E$40,0)</f>
        <v/>
      </c>
    </row>
    <row r="32" ht="10" customHeight="1">
      <c r="A32" s="30" t="inlineStr">
        <is>
          <t>Material Support Ships</t>
        </is>
      </c>
      <c r="B32" s="30" t="inlineStr">
        <is>
          <t>USN</t>
        </is>
      </c>
      <c r="C32" s="31">
        <f>SUMIFS(JB_27BV,JB_B,2,JB_W,"Material Support Ships",JB_RC,"ADD")</f>
        <v/>
      </c>
      <c r="D32" s="31">
        <f>SUMIFS(JB_27BV,JB_B,4,JB_W,"Material Support Ships",JB_RC,"ADD")</f>
        <v/>
      </c>
      <c r="E32" s="31">
        <f>C32+D32</f>
        <v/>
      </c>
      <c r="F32" s="37">
        <f>IFERROR(E32/E$40,0)</f>
        <v/>
      </c>
    </row>
    <row r="33" ht="10" customHeight="1">
      <c r="A33" s="30" t="inlineStr">
        <is>
          <t>Fast Response Cutters</t>
        </is>
      </c>
      <c r="B33" s="30" t="inlineStr">
        <is>
          <t>USCG</t>
        </is>
      </c>
      <c r="C33" s="31">
        <f>SUMIFS(JB_27BV,JB_B,2,JB_W,"Fast Response Cutters",JB_RC,"ADD")</f>
        <v/>
      </c>
      <c r="D33" s="31">
        <f>SUMIFS(JB_27BV,JB_B,4,JB_W,"Fast Response Cutters",JB_RC,"ADD")</f>
        <v/>
      </c>
      <c r="E33" s="31">
        <f>C33+D33</f>
        <v/>
      </c>
      <c r="F33" s="37">
        <f>IFERROR(E33/E$40,0)</f>
        <v/>
      </c>
    </row>
    <row r="34" ht="10" customHeight="1">
      <c r="A34" s="30" t="inlineStr">
        <is>
          <t>National Security Cutters</t>
        </is>
      </c>
      <c r="B34" s="30" t="inlineStr">
        <is>
          <t>USCG</t>
        </is>
      </c>
      <c r="C34" s="31">
        <f>SUMIFS(JB_27BV,JB_B,2,JB_W,"National Security Cutters",JB_RC,"ADD")</f>
        <v/>
      </c>
      <c r="D34" s="31">
        <f>SUMIFS(JB_27BV,JB_B,4,JB_W,"National Security Cutters",JB_RC,"ADD")</f>
        <v/>
      </c>
      <c r="E34" s="31">
        <f>C34+D34</f>
        <v/>
      </c>
      <c r="F34" s="37">
        <f>IFERROR(E34/E$40,0)</f>
        <v/>
      </c>
    </row>
    <row r="35" ht="10" customHeight="1">
      <c r="A35" s="30" t="inlineStr">
        <is>
          <t>Offshore Patrol Cutter</t>
        </is>
      </c>
      <c r="B35" s="30" t="inlineStr">
        <is>
          <t>USCG</t>
        </is>
      </c>
      <c r="C35" s="31">
        <f>SUMIFS(JB_27BV,JB_B,2,JB_W,"Offshore Patrol Cutter",JB_RC,"ADD")</f>
        <v/>
      </c>
      <c r="D35" s="31">
        <f>SUMIFS(JB_27BV,JB_B,4,JB_W,"Offshore Patrol Cutter",JB_RC,"ADD")</f>
        <v/>
      </c>
      <c r="E35" s="31">
        <f>C35+D35</f>
        <v/>
      </c>
      <c r="F35" s="37">
        <f>IFERROR(E35/E$40,0)</f>
        <v/>
      </c>
    </row>
    <row r="36" ht="10" customHeight="1">
      <c r="A36" s="30" t="inlineStr">
        <is>
          <t>Icebreakers, Oceangoing</t>
        </is>
      </c>
      <c r="B36" s="30" t="inlineStr">
        <is>
          <t>USCG</t>
        </is>
      </c>
      <c r="C36" s="31">
        <f>SUMIFS(JB_27BV,JB_B,2,JB_W,"Icebreakers, Oceangoing",JB_RC,"ADD")</f>
        <v/>
      </c>
      <c r="D36" s="31">
        <f>SUMIFS(JB_27BV,JB_B,4,JB_W,"Icebreakers, Oceangoing",JB_RC,"ADD")</f>
        <v/>
      </c>
      <c r="E36" s="31">
        <f>C36+D36</f>
        <v/>
      </c>
      <c r="F36" s="37">
        <f>IFERROR(E36/E$40,0)</f>
        <v/>
      </c>
    </row>
    <row r="37" ht="10" customHeight="1">
      <c r="A37" s="30" t="inlineStr">
        <is>
          <t>Waterways Commerce Cutters</t>
        </is>
      </c>
      <c r="B37" s="30" t="inlineStr">
        <is>
          <t>USCG</t>
        </is>
      </c>
      <c r="C37" s="31">
        <f>SUMIFS(JB_27BV,JB_B,2,JB_W,"Waterways Commerce Cutters",JB_RC,"ADD")</f>
        <v/>
      </c>
      <c r="D37" s="31">
        <f>SUMIFS(JB_27BV,JB_B,4,JB_W,"Waterways Commerce Cutters",JB_RC,"ADD")</f>
        <v/>
      </c>
      <c r="E37" s="31">
        <f>C37+D37</f>
        <v/>
      </c>
      <c r="F37" s="37">
        <f>IFERROR(E37/E$40,0)</f>
        <v/>
      </c>
    </row>
    <row r="38" ht="10" customHeight="1">
      <c r="A38" s="30" t="inlineStr">
        <is>
          <t>Coastal Buoy Tenders</t>
        </is>
      </c>
      <c r="B38" s="30" t="inlineStr">
        <is>
          <t>USCG</t>
        </is>
      </c>
      <c r="C38" s="31">
        <f>SUMIFS(JB_27BV,JB_B,2,JB_W,"Coastal Buoy Tenders",JB_RC,"ADD")</f>
        <v/>
      </c>
      <c r="D38" s="31">
        <f>SUMIFS(JB_27BV,JB_B,4,JB_W,"Coastal Buoy Tenders",JB_RC,"ADD")</f>
        <v/>
      </c>
      <c r="E38" s="31">
        <f>C38+D38</f>
        <v/>
      </c>
      <c r="F38" s="37">
        <f>IFERROR(E38/E$40,0)</f>
        <v/>
      </c>
    </row>
    <row r="39" ht="10" customHeight="1">
      <c r="A39" s="30" t="inlineStr">
        <is>
          <t>Icebreakers, Great Lakes</t>
        </is>
      </c>
      <c r="B39" s="30" t="inlineStr">
        <is>
          <t>USCG</t>
        </is>
      </c>
      <c r="C39" s="31">
        <f>SUMIFS(JB_27BV,JB_B,2,JB_W,"Icebreakers, Great Lakes",JB_RC,"ADD")</f>
        <v/>
      </c>
      <c r="D39" s="31">
        <f>SUMIFS(JB_27BV,JB_B,4,JB_W,"Icebreakers, Great Lakes",JB_RC,"ADD")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by Hull Program — FY2027 ($K)</t>
        </is>
      </c>
      <c r="B43" s="28" t="n"/>
      <c r="C43" s="28" t="n"/>
      <c r="D43" s="28" t="n"/>
      <c r="E43" s="28" t="n"/>
      <c r="F43" s="28" t="n"/>
      <c r="G43" s="28" t="n"/>
    </row>
    <row r="44" ht="10" customHeight="1">
      <c r="A44" s="26" t="inlineStr">
        <is>
          <t>Same funding as (B) broken down to individual hull programs — the level at which depot maintenance and modernization line items are traceable.</t>
        </is>
      </c>
    </row>
    <row r="45" ht="10" customHeight="1">
      <c r="A45" s="29" t="inlineStr">
        <is>
          <t>Hull Program</t>
        </is>
      </c>
      <c r="B45" s="29" t="inlineStr">
        <is>
          <t>Vessel Type</t>
        </is>
      </c>
      <c r="C45" s="29" t="inlineStr">
        <is>
          <t>Service</t>
        </is>
      </c>
      <c r="D45" s="29" t="inlineStr">
        <is>
          <t>SDM ($K)</t>
        </is>
      </c>
      <c r="E45" s="29" t="inlineStr">
        <is>
          <t>Mod ($K)</t>
        </is>
      </c>
      <c r="F45" s="29" t="inlineStr">
        <is>
          <t>Total ($K)</t>
        </is>
      </c>
      <c r="G45" s="29" t="inlineStr">
        <is>
          <t>% of Total</t>
        </is>
      </c>
    </row>
    <row r="46" ht="10" customHeight="1">
      <c r="A46" s="30" t="inlineStr">
        <is>
          <t>DDG</t>
        </is>
      </c>
      <c r="B46" s="30" t="inlineStr">
        <is>
          <t>Surface Combatants</t>
        </is>
      </c>
      <c r="C46" s="30" t="inlineStr">
        <is>
          <t>USN</t>
        </is>
      </c>
      <c r="D46" s="31">
        <f>SUMIFS(JB_27BV,JB_B,2,JB_H,"DDG",JB_RC,"ADD")</f>
        <v/>
      </c>
      <c r="E46" s="31">
        <f>SUMIFS(JB_27BV,JB_B,4,JB_H,"DDG",JB_RC,"ADD")</f>
        <v/>
      </c>
      <c r="F46" s="31">
        <f>D46+E46</f>
        <v/>
      </c>
      <c r="G46" s="37">
        <f>IFERROR(F46/F$52,0)</f>
        <v/>
      </c>
    </row>
    <row r="47" ht="10" customHeight="1">
      <c r="A47" s="30" t="inlineStr">
        <is>
          <t>LCS</t>
        </is>
      </c>
      <c r="B47" s="30" t="inlineStr">
        <is>
          <t>Surface Combatants</t>
        </is>
      </c>
      <c r="C47" s="30" t="inlineStr">
        <is>
          <t>USN</t>
        </is>
      </c>
      <c r="D47" s="31">
        <f>SUMIFS(JB_27BV,JB_B,2,JB_H,"LCS",JB_RC,"ADD")</f>
        <v/>
      </c>
      <c r="E47" s="31">
        <f>SUMIFS(JB_27BV,JB_B,4,JB_H,"LCS",JB_RC,"ADD")</f>
        <v/>
      </c>
      <c r="F47" s="31">
        <f>D47+E47</f>
        <v/>
      </c>
      <c r="G47" s="37">
        <f>IFERROR(F47/F$52,0)</f>
        <v/>
      </c>
    </row>
    <row r="48" ht="10" customHeight="1">
      <c r="A48" s="30" t="inlineStr">
        <is>
          <t>LPD</t>
        </is>
      </c>
      <c r="B48" s="30" t="inlineStr">
        <is>
          <t>Amphibious Warfare Ships</t>
        </is>
      </c>
      <c r="C48" s="30" t="inlineStr">
        <is>
          <t>USN</t>
        </is>
      </c>
      <c r="D48" s="31">
        <f>SUMIFS(JB_27BV,JB_B,2,JB_H,"LPD",JB_RC,"ADD")</f>
        <v/>
      </c>
      <c r="E48" s="31">
        <f>SUMIFS(JB_27BV,JB_B,4,JB_H,"LPD",JB_RC,"ADD")</f>
        <v/>
      </c>
      <c r="F48" s="31">
        <f>D48+E48</f>
        <v/>
      </c>
      <c r="G48" s="37">
        <f>IFERROR(F48/F$52,0)</f>
        <v/>
      </c>
    </row>
    <row r="49" ht="10" customHeight="1">
      <c r="A49" s="30" t="inlineStr">
        <is>
          <t>LHD</t>
        </is>
      </c>
      <c r="B49" s="30" t="inlineStr">
        <is>
          <t>Amphibious Warfare Ships</t>
        </is>
      </c>
      <c r="C49" s="30" t="inlineStr">
        <is>
          <t>USN</t>
        </is>
      </c>
      <c r="D49" s="31">
        <f>SUMIFS(JB_27BV,JB_B,2,JB_H,"LHD",JB_RC,"ADD")</f>
        <v/>
      </c>
      <c r="E49" s="31">
        <f>SUMIFS(JB_27BV,JB_B,4,JB_H,"LHD",JB_RC,"ADD")</f>
        <v/>
      </c>
      <c r="F49" s="31">
        <f>D49+E49</f>
        <v/>
      </c>
      <c r="G49" s="37">
        <f>IFERROR(F49/F$52,0)</f>
        <v/>
      </c>
    </row>
    <row r="50" ht="10" customHeight="1">
      <c r="A50" s="30" t="inlineStr">
        <is>
          <t>T-AGOS</t>
        </is>
      </c>
      <c r="B50" s="30" t="inlineStr">
        <is>
          <t>Surveillance Ships</t>
        </is>
      </c>
      <c r="C50" s="30" t="inlineStr">
        <is>
          <t>MSC</t>
        </is>
      </c>
      <c r="D50" s="31">
        <f>SUMIFS(JB_27BV,JB_B,2,JB_H,"T-AGOS",JB_RC,"ADD")</f>
        <v/>
      </c>
      <c r="E50" s="31">
        <f>SUMIFS(JB_27BV,JB_B,4,JB_H,"T-AGOS",JB_RC,"ADD")</f>
        <v/>
      </c>
      <c r="F50" s="31">
        <f>D50+E50</f>
        <v/>
      </c>
      <c r="G50" s="37">
        <f>IFERROR(F50/F$52,0)</f>
        <v/>
      </c>
    </row>
    <row r="51" ht="10" customHeight="1">
      <c r="A51" s="30" t="inlineStr">
        <is>
          <t>LSD</t>
        </is>
      </c>
      <c r="B51" s="30" t="inlineStr">
        <is>
          <t>Amphibious Warfare Ships</t>
        </is>
      </c>
      <c r="C51" s="30" t="inlineStr">
        <is>
          <t>USN</t>
        </is>
      </c>
      <c r="D51" s="31">
        <f>SUMIFS(JB_27BV,JB_B,2,JB_H,"LSD",JB_RC,"ADD")</f>
        <v/>
      </c>
      <c r="E51" s="31">
        <f>SUMIFS(JB_27BV,JB_B,4,JB_H,"LSD",JB_RC,"ADD")</f>
        <v/>
      </c>
      <c r="F51" s="31">
        <f>D51+E51</f>
        <v/>
      </c>
      <c r="G51" s="37">
        <f>IFERROR(F51/F$52,0)</f>
        <v/>
      </c>
    </row>
    <row r="52" ht="10" customHeight="1">
      <c r="A52" s="32" t="inlineStr">
        <is>
          <t>MRO SAM (all programs)</t>
        </is>
      </c>
      <c r="B52" s="32" t="inlineStr"/>
      <c r="C52" s="32" t="inlineStr"/>
      <c r="D52" s="33">
        <f>SUM(D46:D51)</f>
        <v/>
      </c>
      <c r="E52" s="33">
        <f>SUM(E46:E51)</f>
        <v/>
      </c>
      <c r="F52" s="33">
        <f>SUM(F46:F51)</f>
        <v/>
      </c>
      <c r="G52" s="38" t="n">
        <v>1</v>
      </c>
    </row>
    <row r="53" ht="10" customHeight="1"/>
    <row r="54" ht="10" customHeight="1"/>
    <row r="55" ht="10" customHeight="1">
      <c r="A55" s="27" t="inlineStr">
        <is>
          <t>(C→D) Bridge: All Programs → Cost-Element Coverage</t>
        </is>
      </c>
      <c r="B55" s="28" t="n"/>
    </row>
    <row r="56" ht="10" customHeight="1">
      <c r="A56" s="30" t="inlineStr">
        <is>
          <t>MRO SAM (all programs)</t>
        </is>
      </c>
      <c r="B56" s="31">
        <f>F52</f>
        <v/>
      </c>
    </row>
    <row r="57" ht="10" customHeight="1">
      <c r="A57" s="30" t="inlineStr">
        <is>
          <t xml:space="preserve">  Less: DDG (Surface Combatants — no P-5c)</t>
        </is>
      </c>
      <c r="B57" s="31">
        <f>-(SUMIFS(JB_27BV,JB_B,2,JB_H,"DDG",JB_RC,"ADD")+SUMIFS(JB_27BV,JB_B,4,JB_H,"DDG",JB_RC,"ADD"))</f>
        <v/>
      </c>
    </row>
    <row r="58" ht="10" customHeight="1">
      <c r="A58" s="30" t="inlineStr">
        <is>
          <t xml:space="preserve">  Less: LCS (Surface Combatants — no P-5c)</t>
        </is>
      </c>
      <c r="B58" s="31">
        <f>-(SUMIFS(JB_27BV,JB_B,2,JB_H,"LCS",JB_RC,"ADD")+SUMIFS(JB_27BV,JB_B,4,JB_H,"LCS",JB_RC,"ADD"))</f>
        <v/>
      </c>
    </row>
    <row r="59" ht="10" customHeight="1">
      <c r="A59" s="30" t="inlineStr">
        <is>
          <t xml:space="preserve">  Less: LPD (Amphibious Warfare Ships — no P-5c)</t>
        </is>
      </c>
      <c r="B59" s="31">
        <f>-(SUMIFS(JB_27BV,JB_B,2,JB_H,"LPD",JB_RC,"ADD")+SUMIFS(JB_27BV,JB_B,4,JB_H,"LPD",JB_RC,"ADD"))</f>
        <v/>
      </c>
    </row>
    <row r="60" ht="10" customHeight="1">
      <c r="A60" s="30" t="inlineStr">
        <is>
          <t xml:space="preserve">  Less: LHD (Amphibious Warfare Ships — no P-5c)</t>
        </is>
      </c>
      <c r="B60" s="31">
        <f>-(SUMIFS(JB_27BV,JB_B,2,JB_H,"LHD",JB_RC,"ADD")+SUMIFS(JB_27BV,JB_B,4,JB_H,"LHD",JB_RC,"ADD"))</f>
        <v/>
      </c>
    </row>
    <row r="61" ht="10" customHeight="1">
      <c r="A61" s="30" t="inlineStr">
        <is>
          <t xml:space="preserve">  Less: T-AGOS (Surveillance Ships — no P-5c)</t>
        </is>
      </c>
      <c r="B61" s="31">
        <f>-(SUMIFS(JB_27BV,JB_B,2,JB_H,"T-AGOS",JB_RC,"ADD")+SUMIFS(JB_27BV,JB_B,4,JB_H,"T-AGOS",JB_RC,"ADD"))</f>
        <v/>
      </c>
    </row>
    <row r="62" ht="10" customHeight="1">
      <c r="A62" s="30" t="inlineStr">
        <is>
          <t xml:space="preserve">  Less: LSD (Amphibious Warfare Ships — no P-5c)</t>
        </is>
      </c>
      <c r="B62" s="31">
        <f>-(SUMIFS(JB_27BV,JB_B,2,JB_H,"LSD",JB_RC,"ADD")+SUMIFS(JB_27BV,JB_B,4,JB_H,"LSD",JB_RC,"ADD"))</f>
        <v/>
      </c>
    </row>
    <row r="63" ht="10" customHeight="1">
      <c r="A63" s="32" t="inlineStr">
        <is>
          <t>MRO SAM (cost-element coverage)</t>
        </is>
      </c>
      <c r="B63" s="33">
        <f>SUM(B56:B62)</f>
        <v/>
      </c>
    </row>
    <row r="64" ht="10" customHeight="1"/>
    <row r="65" ht="10" customHeight="1"/>
    <row r="66" ht="10" customHeight="1">
      <c r="A66" s="27" t="inlineStr">
        <is>
          <t>(D) MRO SAM — SDM vs Modernization by Hull (Mekko)</t>
        </is>
      </c>
      <c r="B66" s="28" t="n"/>
      <c r="C66" s="28" t="n"/>
      <c r="D66" s="28" t="n"/>
      <c r="E66" s="28" t="n"/>
      <c r="F66" s="28" t="n"/>
      <c r="G66" s="28" t="n"/>
      <c r="H66" s="28" t="n"/>
    </row>
    <row r="67" ht="10" customHeight="1">
      <c r="A67" s="39" t="n"/>
      <c r="B67" s="40" t="inlineStr">
        <is>
          <t>USN</t>
        </is>
      </c>
      <c r="C67" s="39" t="n"/>
      <c r="D67" s="39" t="n"/>
      <c r="E67" s="39" t="n"/>
      <c r="F67" s="39" t="n"/>
      <c r="G67" s="39" t="n"/>
      <c r="H67" s="41" t="n"/>
    </row>
    <row r="68" ht="10" customHeight="1">
      <c r="A68" s="29" t="inlineStr">
        <is>
          <t>Work Type</t>
        </is>
      </c>
      <c r="B68" s="42" t="inlineStr">
        <is>
          <t>DDG</t>
        </is>
      </c>
      <c r="C68" s="29" t="inlineStr">
        <is>
          <t>LCS</t>
        </is>
      </c>
      <c r="D68" s="29" t="inlineStr">
        <is>
          <t>LPD</t>
        </is>
      </c>
      <c r="E68" s="29" t="inlineStr">
        <is>
          <t>LHD</t>
        </is>
      </c>
      <c r="F68" s="29" t="inlineStr">
        <is>
          <t>T-AGOS</t>
        </is>
      </c>
      <c r="G68" s="29" t="inlineStr">
        <is>
          <t>LSD</t>
        </is>
      </c>
      <c r="H68" s="42" t="inlineStr">
        <is>
          <t>Total</t>
        </is>
      </c>
    </row>
    <row r="69" ht="10" customHeight="1">
      <c r="A69" s="30" t="inlineStr">
        <is>
          <t>Scheduled Depot Maintenance</t>
        </is>
      </c>
      <c r="B69" s="43">
        <f>IFERROR((SUMIFS(JB_27BV,JB_B,2,JB_H,"DDG",JB_RC,"ADD"))/B$71,0)</f>
        <v/>
      </c>
      <c r="C69" s="37">
        <f>IFERROR((SUMIFS(JB_27BV,JB_B,2,JB_H,"LCS",JB_RC,"ADD"))/C$71,0)</f>
        <v/>
      </c>
      <c r="D69" s="37">
        <f>IFERROR((SUMIFS(JB_27BV,JB_B,2,JB_H,"LPD",JB_RC,"ADD"))/D$71,0)</f>
        <v/>
      </c>
      <c r="E69" s="37">
        <f>IFERROR((SUMIFS(JB_27BV,JB_B,2,JB_H,"LHD",JB_RC,"ADD"))/E$71,0)</f>
        <v/>
      </c>
      <c r="F69" s="37">
        <f>IFERROR((SUMIFS(JB_27BV,JB_B,2,JB_H,"T-AGOS",JB_RC,"ADD"))/F$71,0)</f>
        <v/>
      </c>
      <c r="G69" s="37">
        <f>IFERROR((SUMIFS(JB_27BV,JB_B,2,JB_H,"LSD",JB_RC,"ADD"))/G$71,0)</f>
        <v/>
      </c>
      <c r="H69" s="43">
        <f>IFERROR(1-H70,0)</f>
        <v/>
      </c>
    </row>
    <row r="70" ht="10" customHeight="1">
      <c r="A70" s="30" t="inlineStr">
        <is>
          <t>Modernization</t>
        </is>
      </c>
      <c r="B70" s="43">
        <f>IFERROR((SUMIFS(JB_27BV,JB_B,4,JB_H,"DDG",JB_RC,"ADD"))/B$71,0)</f>
        <v/>
      </c>
      <c r="C70" s="37">
        <f>IFERROR((SUMIFS(JB_27BV,JB_B,4,JB_H,"LCS",JB_RC,"ADD"))/C$71,0)</f>
        <v/>
      </c>
      <c r="D70" s="37">
        <f>IFERROR((SUMIFS(JB_27BV,JB_B,4,JB_H,"LPD",JB_RC,"ADD"))/D$71,0)</f>
        <v/>
      </c>
      <c r="E70" s="37">
        <f>IFERROR((SUMIFS(JB_27BV,JB_B,4,JB_H,"LHD",JB_RC,"ADD"))/E$71,0)</f>
        <v/>
      </c>
      <c r="F70" s="37">
        <f>IFERROR((SUMIFS(JB_27BV,JB_B,4,JB_H,"T-AGOS",JB_RC,"ADD"))/F$71,0)</f>
        <v/>
      </c>
      <c r="G70" s="37">
        <f>IFERROR((SUMIFS(JB_27BV,JB_B,4,JB_H,"LSD",JB_RC,"ADD"))/G$71,0)</f>
        <v/>
      </c>
      <c r="H70" s="43">
        <f>IFERROR((SUMIFS(JB_27BV,JB_B,4,JB_H,"DDG",JB_RC,"ADD")+SUMIFS(JB_27BV,JB_B,4,JB_H,"LCS",JB_RC,"ADD")+SUMIFS(JB_27BV,JB_B,4,JB_H,"LPD",JB_RC,"ADD")+SUMIFS(JB_27BV,JB_B,4,JB_H,"LHD",JB_RC,"ADD")+SUMIFS(JB_27BV,JB_B,4,JB_H,"T-AGOS",JB_RC,"ADD")+SUMIFS(JB_27BV,JB_B,4,JB_H,"LSD",JB_RC,"ADD"))/H$71,0)</f>
        <v/>
      </c>
    </row>
    <row r="71" ht="10" customHeight="1">
      <c r="A71" s="32" t="inlineStr">
        <is>
          <t>Total ($K)</t>
        </is>
      </c>
      <c r="B71" s="44">
        <f>SUMIFS(JB_27BV,JB_B,2,JB_H,"DDG",JB_RC,"ADD")+SUMIFS(JB_27BV,JB_B,4,JB_H,"DDG",JB_RC,"ADD")</f>
        <v/>
      </c>
      <c r="C71" s="33">
        <f>SUMIFS(JB_27BV,JB_B,2,JB_H,"LCS",JB_RC,"ADD")+SUMIFS(JB_27BV,JB_B,4,JB_H,"LCS",JB_RC,"ADD")</f>
        <v/>
      </c>
      <c r="D71" s="33">
        <f>SUMIFS(JB_27BV,JB_B,2,JB_H,"LPD",JB_RC,"ADD")+SUMIFS(JB_27BV,JB_B,4,JB_H,"LPD",JB_RC,"ADD")</f>
        <v/>
      </c>
      <c r="E71" s="33">
        <f>SUMIFS(JB_27BV,JB_B,2,JB_H,"LHD",JB_RC,"ADD")+SUMIFS(JB_27BV,JB_B,4,JB_H,"LHD",JB_RC,"ADD")</f>
        <v/>
      </c>
      <c r="F71" s="33">
        <f>SUMIFS(JB_27BV,JB_B,2,JB_H,"T-AGOS",JB_RC,"ADD")+SUMIFS(JB_27BV,JB_B,4,JB_H,"T-AGOS",JB_RC,"ADD")</f>
        <v/>
      </c>
      <c r="G71" s="33">
        <f>SUMIFS(JB_27BV,JB_B,2,JB_H,"LSD",JB_RC,"ADD")+SUMIFS(JB_27BV,JB_B,4,JB_H,"LSD",JB_RC,"ADD")</f>
        <v/>
      </c>
      <c r="H71" s="44">
        <f>SUM(B71:G71)</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0" t="n">
        <v>22000000</v>
      </c>
      <c r="D6" s="26" t="inlineStr">
        <is>
          <t>DDG-51 $11.4B, LPD $4.7B, LHA $4.5B, DDG-1000 $0.3B, depot</t>
        </is>
      </c>
    </row>
    <row r="7" ht="10" customHeight="1">
      <c r="A7" s="30" t="inlineStr">
        <is>
          <t>Raytheon / RTX</t>
        </is>
      </c>
      <c r="B7" s="26" t="inlineStr">
        <is>
          <t>RTX Corp</t>
        </is>
      </c>
      <c r="C7" s="50" t="n">
        <v>13700000</v>
      </c>
      <c r="D7" s="26" t="inlineStr">
        <is>
          <t>Standard Missile $5.7B, SPY-6 $3.5B, CIWS/RAM $2.0B, DDG-1000 $0.9B, CEC $0.6B</t>
        </is>
      </c>
    </row>
    <row r="8" ht="10" customHeight="1">
      <c r="A8" s="30" t="inlineStr">
        <is>
          <t>Bath Iron Works</t>
        </is>
      </c>
      <c r="B8" s="26" t="inlineStr">
        <is>
          <t>General Dynamics</t>
        </is>
      </c>
      <c r="C8" s="50" t="n">
        <v>8800000</v>
      </c>
      <c r="D8" s="26" t="inlineStr">
        <is>
          <t>DDG-51 FY23-27 $5.0B, FY18-22 $3.3B, FY13-17 $0.5B, DDG-1000 $0.2B</t>
        </is>
      </c>
    </row>
    <row r="9" ht="10" customHeight="1">
      <c r="A9" s="30" t="inlineStr">
        <is>
          <t>BAE Systems</t>
        </is>
      </c>
      <c r="B9" s="26" t="inlineStr">
        <is>
          <t>BAE Systems plc</t>
        </is>
      </c>
      <c r="C9" s="50" t="n">
        <v>5000000</v>
      </c>
      <c r="D9" s="26" t="inlineStr">
        <is>
          <t>DDG/LHD/LPD/LSD/CG depot maintenance — Norfolk, San Diego, Jacksonville, Hawaii</t>
        </is>
      </c>
    </row>
    <row r="10" ht="10" customHeight="1">
      <c r="A10" s="30" t="inlineStr">
        <is>
          <t>Lockheed Martin</t>
        </is>
      </c>
      <c r="B10" s="26" t="inlineStr">
        <is>
          <t>LM</t>
        </is>
      </c>
      <c r="C10" s="50" t="n">
        <v>1500000</v>
      </c>
      <c r="D10" s="26" t="inlineStr">
        <is>
          <t>SLQ-32(V)6 $0.8B, SSDS $0.4B, HELIOS $0.1B, LCS Freedom $0.3B</t>
        </is>
      </c>
    </row>
    <row r="11" ht="10" customHeight="1">
      <c r="A11" s="30" t="inlineStr">
        <is>
          <t>Metro Machine Corp</t>
        </is>
      </c>
      <c r="B11" s="26" t="inlineStr">
        <is>
          <t>--</t>
        </is>
      </c>
      <c r="C11" s="50" t="n">
        <v>700000</v>
      </c>
      <c r="D11" s="26" t="inlineStr">
        <is>
          <t>LHD/DDG/LSD depot maintenance — Norfolk</t>
        </is>
      </c>
    </row>
    <row r="12" ht="10" customHeight="1">
      <c r="A12" s="30" t="inlineStr">
        <is>
          <t>NASSCO</t>
        </is>
      </c>
      <c r="B12" s="26" t="inlineStr">
        <is>
          <t>General Dynamics</t>
        </is>
      </c>
      <c r="C12" s="50" t="n">
        <v>600000</v>
      </c>
      <c r="D12" s="26" t="inlineStr">
        <is>
          <t>LHA/LHD/LSD/DDG/CG depot maintenance — San Diego</t>
        </is>
      </c>
    </row>
    <row r="13" ht="10" customHeight="1">
      <c r="A13" s="30" t="inlineStr">
        <is>
          <t>Vigor Marine LLC</t>
        </is>
      </c>
      <c r="B13" s="26" t="inlineStr">
        <is>
          <t>--</t>
        </is>
      </c>
      <c r="C13" s="50" t="n">
        <v>500000</v>
      </c>
      <c r="D13" s="26" t="inlineStr">
        <is>
          <t>DDG/CG depot maintenance — Portland, OR</t>
        </is>
      </c>
    </row>
    <row r="14" ht="10" customHeight="1">
      <c r="A14" s="30" t="inlineStr">
        <is>
          <t>Northrop Grumman Systems</t>
        </is>
      </c>
      <c r="B14" s="26" t="inlineStr">
        <is>
          <t>NG</t>
        </is>
      </c>
      <c r="C14" s="50" t="n">
        <v>487000</v>
      </c>
      <c r="D14" s="26" t="inlineStr">
        <is>
          <t>Knifefish/LCS $0.35B, SEWIP Block 3 $0.14B, ALMDS $0.07B</t>
        </is>
      </c>
    </row>
    <row r="15" ht="10" customHeight="1">
      <c r="A15" s="30" t="inlineStr">
        <is>
          <t>QED Systems</t>
        </is>
      </c>
      <c r="B15" s="26" t="inlineStr">
        <is>
          <t>--</t>
        </is>
      </c>
      <c r="C15" s="50" t="n">
        <v>300000</v>
      </c>
      <c r="D15" s="26" t="inlineStr">
        <is>
          <t>Third-party planning DDG/CG/LPD/LHD</t>
        </is>
      </c>
    </row>
    <row r="16" ht="10" customHeight="1">
      <c r="A16" s="30" t="inlineStr">
        <is>
          <t>Continental Maritime</t>
        </is>
      </c>
      <c r="B16" s="26" t="inlineStr">
        <is>
          <t>--</t>
        </is>
      </c>
      <c r="C16" s="50" t="n">
        <v>300000</v>
      </c>
      <c r="D16" s="26" t="inlineStr">
        <is>
          <t>DDG depot — San Diego</t>
        </is>
      </c>
    </row>
    <row r="17" ht="10" customHeight="1">
      <c r="A17" s="30" t="inlineStr">
        <is>
          <t>Textron Systems</t>
        </is>
      </c>
      <c r="B17" s="26" t="inlineStr">
        <is>
          <t>Textron</t>
        </is>
      </c>
      <c r="C17" s="50" t="n">
        <v>242000</v>
      </c>
      <c r="D17" s="26" t="inlineStr">
        <is>
          <t>UISS $0.24B</t>
        </is>
      </c>
    </row>
    <row r="18" ht="10" customHeight="1">
      <c r="A18" s="30" t="inlineStr">
        <is>
          <t>Advanced Technology International</t>
        </is>
      </c>
      <c r="B18" s="26" t="inlineStr">
        <is>
          <t>--</t>
        </is>
      </c>
      <c r="C18" s="50" t="n">
        <v>235000</v>
      </c>
      <c r="D18" s="26" t="inlineStr">
        <is>
          <t>OTA consortium: MK-54 MOD 2, SPY-6 prototype, HEL, LHD midlife</t>
        </is>
      </c>
    </row>
    <row r="19" ht="10" customHeight="1">
      <c r="A19" s="30" t="inlineStr">
        <is>
          <t>General Dynamics Mission Systems</t>
        </is>
      </c>
      <c r="B19" s="26" t="inlineStr">
        <is>
          <t>General Dynamics</t>
        </is>
      </c>
      <c r="C19" s="50" t="n">
        <v>210000</v>
      </c>
      <c r="D19" s="26" t="inlineStr">
        <is>
          <t>MK-54 MOD 1 $0.12B, Knifefish Block 1 $0.08B</t>
        </is>
      </c>
    </row>
    <row r="20" ht="10" customHeight="1">
      <c r="A20" s="30" t="inlineStr">
        <is>
          <t>SAIC</t>
        </is>
      </c>
      <c r="B20" s="26" t="inlineStr">
        <is>
          <t>SAIC</t>
        </is>
      </c>
      <c r="C20" s="50" t="n">
        <v>200000</v>
      </c>
      <c r="D20" s="26" t="inlineStr">
        <is>
          <t>DDG-1000 engineering, SSTD Nixie, torpedo defense</t>
        </is>
      </c>
    </row>
    <row r="21" ht="10" customHeight="1">
      <c r="A21" s="30" t="inlineStr">
        <is>
          <t>Marine Hydraulics International</t>
        </is>
      </c>
      <c r="B21" s="26" t="inlineStr">
        <is>
          <t>--</t>
        </is>
      </c>
      <c r="C21" s="50" t="n">
        <v>200000</v>
      </c>
      <c r="D21" s="26" t="inlineStr">
        <is>
          <t>DDG/LSD depot + sub-prime on LHD primes</t>
        </is>
      </c>
    </row>
    <row r="22" ht="10" customHeight="1">
      <c r="A22" s="30" t="inlineStr">
        <is>
          <t>Bollinger Shipyards</t>
        </is>
      </c>
      <c r="B22" s="26" t="inlineStr">
        <is>
          <t>Bollinger</t>
        </is>
      </c>
      <c r="C22" s="50" t="n">
        <v>116000</v>
      </c>
      <c r="D22" s="26" t="inlineStr">
        <is>
          <t>MCM USV production</t>
        </is>
      </c>
    </row>
    <row r="23" ht="10" customHeight="1">
      <c r="A23" s="30" t="inlineStr">
        <is>
          <t>Ultra Electronics Ocean Systems</t>
        </is>
      </c>
      <c r="B23" s="26" t="inlineStr">
        <is>
          <t>Ultra</t>
        </is>
      </c>
      <c r="C23" s="50" t="n">
        <v>68000</v>
      </c>
      <c r="D23" s="26" t="inlineStr">
        <is>
          <t>MK 54 MOD 0 array kits + Nixie production</t>
        </is>
      </c>
    </row>
    <row r="24" ht="10" customHeight="1">
      <c r="A24" s="30" t="inlineStr">
        <is>
          <t>Penn State Applied Research Lab</t>
        </is>
      </c>
      <c r="B24" s="26" t="inlineStr">
        <is>
          <t>Penn State</t>
        </is>
      </c>
      <c r="C24" s="50"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0" t="n">
        <v>2487000</v>
      </c>
      <c r="C30" s="50" t="n">
        <v>2</v>
      </c>
      <c r="D30" s="50" t="n">
        <v>1</v>
      </c>
      <c r="E30" s="26" t="inlineStr">
        <is>
          <t>LCS Freedom hull builder — actual constructor under LM prime</t>
        </is>
      </c>
    </row>
    <row r="31" ht="10" customHeight="1">
      <c r="A31" s="30" t="inlineStr">
        <is>
          <t>Timken Gears &amp; Services</t>
        </is>
      </c>
      <c r="B31" s="50" t="n">
        <v>516000</v>
      </c>
      <c r="C31" s="50" t="n">
        <v>22</v>
      </c>
      <c r="D31" s="50" t="n">
        <v>20</v>
      </c>
      <c r="E31" s="26" t="inlineStr">
        <is>
          <t>DDG/LHD/CG propulsion gearing</t>
        </is>
      </c>
    </row>
    <row r="32" ht="10" customHeight="1">
      <c r="A32" s="30" t="inlineStr">
        <is>
          <t>General Dynamics (rolled up)</t>
        </is>
      </c>
      <c r="B32" s="50" t="n">
        <v>432000</v>
      </c>
      <c r="C32" s="50" t="n">
        <v>23</v>
      </c>
      <c r="D32" s="50" t="n">
        <v>14</v>
      </c>
      <c r="E32" s="26" t="inlineStr">
        <is>
          <t>GD Mission Systems $359M on SPY-6, GD-OTS, GDIT</t>
        </is>
      </c>
    </row>
    <row r="33" ht="10" customHeight="1">
      <c r="A33" s="30" t="inlineStr">
        <is>
          <t>L3Harris (Aerojet Rocketdyne)</t>
        </is>
      </c>
      <c r="B33" s="50" t="n">
        <v>378000</v>
      </c>
      <c r="C33" s="50" t="n">
        <v>4</v>
      </c>
      <c r="D33" s="50" t="n">
        <v>4</v>
      </c>
      <c r="E33" s="26" t="inlineStr">
        <is>
          <t>Solid rocket motors for Standard Missile family</t>
        </is>
      </c>
    </row>
    <row r="34" ht="10" customHeight="1">
      <c r="A34" s="30" t="inlineStr">
        <is>
          <t>Rolls-Royce</t>
        </is>
      </c>
      <c r="B34" s="50" t="n">
        <v>313000</v>
      </c>
      <c r="C34" s="50" t="n">
        <v>25</v>
      </c>
      <c r="D34" s="50" t="n">
        <v>25</v>
      </c>
      <c r="E34" s="26" t="inlineStr">
        <is>
          <t>Gas turbines, waterjets, gearing — DDG/LCS/LPD/LHA + depot</t>
        </is>
      </c>
    </row>
    <row r="35" ht="10" customHeight="1">
      <c r="A35" s="30" t="inlineStr">
        <is>
          <t>CAES (Cobham)</t>
        </is>
      </c>
      <c r="B35" s="50" t="n">
        <v>217000</v>
      </c>
      <c r="C35" s="50" t="n">
        <v>10</v>
      </c>
      <c r="D35" s="50" t="n">
        <v>8</v>
      </c>
      <c r="E35" s="26" t="inlineStr">
        <is>
          <t>RF assemblies on SPY-6 $170M, SEWIP $110M, SLQ-32 $95M</t>
        </is>
      </c>
    </row>
    <row r="36" ht="10" customHeight="1">
      <c r="A36" s="30" t="inlineStr">
        <is>
          <t>Northrop Grumman (as sub)</t>
        </is>
      </c>
      <c r="B36" s="50" t="n">
        <v>215000</v>
      </c>
      <c r="C36" s="50" t="n">
        <v>10</v>
      </c>
      <c r="D36" s="50" t="n">
        <v>9</v>
      </c>
      <c r="E36" s="26" t="inlineStr">
        <is>
          <t>SPY-6 RF $114M, CIWS, LPD/LHA construction</t>
        </is>
      </c>
    </row>
    <row r="37" ht="10" customHeight="1">
      <c r="A37" s="30" t="inlineStr">
        <is>
          <t>IMIA</t>
        </is>
      </c>
      <c r="B37" s="50" t="n">
        <v>204000</v>
      </c>
      <c r="C37" s="50" t="n">
        <v>28</v>
      </c>
      <c r="D37" s="50" t="n">
        <v>28</v>
      </c>
      <c r="E37" s="26" t="inlineStr">
        <is>
          <t>Hull coatings / paint across 28 depot availabilities</t>
        </is>
      </c>
    </row>
    <row r="38" ht="10" customHeight="1">
      <c r="A38" s="30" t="inlineStr">
        <is>
          <t>L3Harris (excl. Aerojet)</t>
        </is>
      </c>
      <c r="B38" s="50" t="n">
        <v>203000</v>
      </c>
      <c r="C38" s="50" t="n">
        <v>53</v>
      </c>
      <c r="D38" s="50" t="n">
        <v>45</v>
      </c>
      <c r="E38" s="26" t="inlineStr">
        <is>
          <t>Maritime Power, Cincinnati Electronics, Fuzing — broadest footprint</t>
        </is>
      </c>
    </row>
    <row r="39" ht="10" customHeight="1">
      <c r="A39" s="30" t="inlineStr">
        <is>
          <t>Johnson Controls (incl. York)</t>
        </is>
      </c>
      <c r="B39" s="50" t="n">
        <v>172000</v>
      </c>
      <c r="C39" s="50" t="n">
        <v>31</v>
      </c>
      <c r="D39" s="50" t="n">
        <v>24</v>
      </c>
      <c r="E39" s="26" t="inlineStr">
        <is>
          <t>HVAC / chilled water on DDG/LPD/LHA + depot</t>
        </is>
      </c>
    </row>
    <row r="40" ht="10" customHeight="1">
      <c r="A40" s="30" t="inlineStr">
        <is>
          <t>GE Aerospace</t>
        </is>
      </c>
      <c r="B40" s="50" t="n">
        <v>166000</v>
      </c>
      <c r="C40" s="50" t="n">
        <v>16</v>
      </c>
      <c r="D40" s="50" t="n">
        <v>14</v>
      </c>
      <c r="E40" s="26" t="inlineStr">
        <is>
          <t>LM2500 gas turbines on DDG-51 + GE Power Conversion LHA 9</t>
        </is>
      </c>
    </row>
    <row r="41" ht="10" customHeight="1">
      <c r="A41" s="30" t="inlineStr">
        <is>
          <t>Fairbanks Morse Defense</t>
        </is>
      </c>
      <c r="B41" s="50" t="n">
        <v>161000</v>
      </c>
      <c r="C41" s="50" t="n">
        <v>25</v>
      </c>
      <c r="D41" s="50" t="n">
        <v>18</v>
      </c>
      <c r="E41" s="26" t="inlineStr">
        <is>
          <t>Diesel generators / propulsion on LPD/LHA + depot rebuilds</t>
        </is>
      </c>
    </row>
    <row r="42" ht="10" customHeight="1">
      <c r="A42" s="30" t="inlineStr">
        <is>
          <t>Leonardo DRS</t>
        </is>
      </c>
      <c r="B42" s="50" t="n">
        <v>134000</v>
      </c>
      <c r="C42" s="50" t="n">
        <v>18</v>
      </c>
      <c r="D42" s="50" t="n">
        <v>15</v>
      </c>
      <c r="E42" s="26" t="inlineStr">
        <is>
          <t>Naval Power Systems, Network &amp; Imaging, Laurel Technologies</t>
        </is>
      </c>
    </row>
    <row r="43" ht="10" customHeight="1">
      <c r="A43" s="30" t="inlineStr">
        <is>
          <t>Sparton DeLeon Springs</t>
        </is>
      </c>
      <c r="B43" s="50" t="n">
        <v>108000</v>
      </c>
      <c r="C43" s="50" t="n">
        <v>2</v>
      </c>
      <c r="D43" s="50" t="n">
        <v>2</v>
      </c>
      <c r="E43" s="26" t="inlineStr">
        <is>
          <t>ASW sensors / payload on Raytheon Barracuda</t>
        </is>
      </c>
    </row>
    <row r="44" ht="10" customHeight="1">
      <c r="A44" s="30" t="inlineStr">
        <is>
          <t>RAM-System GmbH</t>
        </is>
      </c>
      <c r="B44" s="50" t="n">
        <v>98000</v>
      </c>
      <c r="C44" s="50" t="n">
        <v>1</v>
      </c>
      <c r="D44" s="50" t="n">
        <v>1</v>
      </c>
      <c r="E44" s="26" t="inlineStr">
        <is>
          <t>RAM missile co-development with Raytheon (Germany)</t>
        </is>
      </c>
    </row>
    <row r="45" ht="10" customHeight="1">
      <c r="A45" s="30" t="inlineStr">
        <is>
          <t>Bay Metals &amp; Fabrication</t>
        </is>
      </c>
      <c r="B45" s="50" t="n">
        <v>93000</v>
      </c>
      <c r="C45" s="50" t="n">
        <v>9</v>
      </c>
      <c r="D45" s="50" t="n">
        <v>9</v>
      </c>
      <c r="E45" s="26" t="inlineStr">
        <is>
          <t>Norfolk metal fab serving 9 depot availabilities</t>
        </is>
      </c>
    </row>
    <row r="46" ht="10" customHeight="1">
      <c r="A46" s="30" t="inlineStr">
        <is>
          <t>US Joiner LLC</t>
        </is>
      </c>
      <c r="B46" s="50" t="n">
        <v>88000</v>
      </c>
      <c r="C46" s="50" t="n">
        <v>12</v>
      </c>
      <c r="D46" s="50" t="n">
        <v>12</v>
      </c>
      <c r="E46" s="26" t="inlineStr">
        <is>
          <t>Interior outfitting — LPD construction + depot</t>
        </is>
      </c>
    </row>
    <row r="47" ht="10" customHeight="1">
      <c r="A47" s="30" t="inlineStr">
        <is>
          <t>United Rentals</t>
        </is>
      </c>
      <c r="B47" s="50" t="n">
        <v>77000</v>
      </c>
      <c r="C47" s="50" t="n">
        <v>29</v>
      </c>
      <c r="D47" s="50" t="n">
        <v>29</v>
      </c>
      <c r="E47" s="26" t="inlineStr">
        <is>
          <t>Equipment rental across 29 depot availabilities</t>
        </is>
      </c>
    </row>
    <row r="48" ht="10" customHeight="1">
      <c r="A48" s="30" t="inlineStr">
        <is>
          <t>Honeywell</t>
        </is>
      </c>
      <c r="B48" s="50" t="n">
        <v>71000</v>
      </c>
      <c r="C48" s="50" t="n">
        <v>12</v>
      </c>
      <c r="D48" s="50" t="n">
        <v>12</v>
      </c>
      <c r="E48" s="26" t="inlineStr">
        <is>
          <t>IMUs / IRUs on Standard Missile + CIWS</t>
        </is>
      </c>
    </row>
    <row r="49" ht="10" customHeight="1">
      <c r="A49" s="30" t="inlineStr">
        <is>
          <t>Anaren</t>
        </is>
      </c>
      <c r="B49" s="50" t="n">
        <v>64000</v>
      </c>
      <c r="C49" s="50" t="n">
        <v>7</v>
      </c>
      <c r="D49" s="50"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0" t="n">
        <v>530000</v>
      </c>
      <c r="C55" s="26" t="inlineStr">
        <is>
          <t>GE Aerospace $88M</t>
        </is>
      </c>
      <c r="D55" s="26" t="inlineStr">
        <is>
          <t>Johnson Controls $76M</t>
        </is>
      </c>
      <c r="E55" s="26" t="inlineStr">
        <is>
          <t>Timken Gears $41M</t>
        </is>
      </c>
    </row>
    <row r="56" ht="10" customHeight="1">
      <c r="A56" s="30" t="inlineStr">
        <is>
          <t>DDG Mod — SPY-6</t>
        </is>
      </c>
      <c r="B56" s="50" t="n">
        <v>1220000</v>
      </c>
      <c r="C56" s="26" t="inlineStr">
        <is>
          <t>GD Mission Systems $359M</t>
        </is>
      </c>
      <c r="D56" s="26" t="inlineStr">
        <is>
          <t>CAES $170M</t>
        </is>
      </c>
      <c r="E56" s="26" t="inlineStr">
        <is>
          <t>Northrop Grumman $114M</t>
        </is>
      </c>
    </row>
    <row r="57" ht="10" customHeight="1">
      <c r="A57" s="30" t="inlineStr">
        <is>
          <t>DDG Mod — CIWS/RAM/SeaRAM</t>
        </is>
      </c>
      <c r="B57" s="50" t="n">
        <v>560000</v>
      </c>
      <c r="C57" s="26" t="inlineStr">
        <is>
          <t>RAM-System GmbH $98M</t>
        </is>
      </c>
      <c r="D57" s="26" t="inlineStr">
        <is>
          <t>L3Harris $39M</t>
        </is>
      </c>
      <c r="E57" s="26" t="inlineStr">
        <is>
          <t>GD $35M</t>
        </is>
      </c>
    </row>
    <row r="58" ht="10" customHeight="1">
      <c r="A58" s="30" t="inlineStr">
        <is>
          <t>LCS Freedom Construction</t>
        </is>
      </c>
      <c r="B58" s="50" t="n">
        <v>2910000</v>
      </c>
      <c r="C58" s="26" t="inlineStr">
        <is>
          <t>Marinette Marine $2,487M</t>
        </is>
      </c>
      <c r="D58" s="26" t="inlineStr">
        <is>
          <t>Rolls-Royce $196M</t>
        </is>
      </c>
      <c r="E58" s="26" t="inlineStr">
        <is>
          <t>Airbus US $56M</t>
        </is>
      </c>
    </row>
    <row r="59" ht="10" customHeight="1">
      <c r="A59" s="30" t="inlineStr">
        <is>
          <t>LCS MCM Mission Modules</t>
        </is>
      </c>
      <c r="B59" s="50" t="n">
        <v>1230000</v>
      </c>
      <c r="C59" s="26" t="inlineStr">
        <is>
          <t>Trident Sensors $215M</t>
        </is>
      </c>
      <c r="D59" s="26" t="inlineStr">
        <is>
          <t>Teledyne $55M</t>
        </is>
      </c>
      <c r="E59" s="26" t="inlineStr">
        <is>
          <t>GD $13M</t>
        </is>
      </c>
    </row>
    <row r="60" ht="10" customHeight="1">
      <c r="A60" s="30" t="inlineStr">
        <is>
          <t>LHA New Construction</t>
        </is>
      </c>
      <c r="B60" s="50" t="n">
        <v>340000</v>
      </c>
      <c r="C60" s="26" t="inlineStr">
        <is>
          <t>Fairbanks Morse $40M</t>
        </is>
      </c>
      <c r="D60" s="26" t="inlineStr">
        <is>
          <t>L3Harris $39M</t>
        </is>
      </c>
      <c r="E60" s="26" t="inlineStr">
        <is>
          <t>Leonardo DRS $34M</t>
        </is>
      </c>
    </row>
    <row r="61" ht="10" customHeight="1">
      <c r="A61" s="30" t="inlineStr">
        <is>
          <t>LPD Flight II New Construction</t>
        </is>
      </c>
      <c r="B61" s="50" t="n">
        <v>340000</v>
      </c>
      <c r="C61" s="26" t="inlineStr">
        <is>
          <t>Fairbanks Morse $65M</t>
        </is>
      </c>
      <c r="D61" s="26" t="inlineStr">
        <is>
          <t>US Joiner $36M</t>
        </is>
      </c>
      <c r="E61" s="26" t="inlineStr">
        <is>
          <t>Caterpillar $20M</t>
        </is>
      </c>
    </row>
    <row r="62" ht="10" customHeight="1">
      <c r="A62" s="30" t="inlineStr">
        <is>
          <t>Standard Missile Family</t>
        </is>
      </c>
      <c r="B62" s="50" t="n">
        <v>930000</v>
      </c>
      <c r="C62" s="26" t="inlineStr">
        <is>
          <t>L3Harris (Aerojet) $390M</t>
        </is>
      </c>
      <c r="D62" s="26" t="inlineStr">
        <is>
          <t>Honeywell $43M</t>
        </is>
      </c>
      <c r="E62" s="26" t="inlineStr">
        <is>
          <t>Goodrich $32M</t>
        </is>
      </c>
    </row>
    <row r="63" ht="10" customHeight="1">
      <c r="A63" s="30" t="inlineStr">
        <is>
          <t>DDG-1000</t>
        </is>
      </c>
      <c r="B63" s="50" t="n">
        <v>130000</v>
      </c>
      <c r="C63" s="26" t="inlineStr">
        <is>
          <t>Red River Technology $61M</t>
        </is>
      </c>
      <c r="D63" s="26" t="inlineStr">
        <is>
          <t>Air Masters $6M</t>
        </is>
      </c>
      <c r="E63" s="26" t="inlineStr">
        <is>
          <t>--</t>
        </is>
      </c>
    </row>
    <row r="64" ht="10" customHeight="1">
      <c r="A64" s="30" t="inlineStr">
        <is>
          <t>DDG Mod — CEC</t>
        </is>
      </c>
      <c r="B64" s="50" t="n">
        <v>30000</v>
      </c>
      <c r="C64" s="26" t="inlineStr">
        <is>
          <t>Sechan Electronics $7M</t>
        </is>
      </c>
      <c r="D64" s="26" t="inlineStr">
        <is>
          <t>Action Electronics $5M</t>
        </is>
      </c>
      <c r="E64" s="26" t="inlineStr">
        <is>
          <t>--</t>
        </is>
      </c>
    </row>
    <row r="65" ht="10" customHeight="1">
      <c r="A65" s="30" t="inlineStr">
        <is>
          <t>DDG Mod — SSDS</t>
        </is>
      </c>
      <c r="B65" s="50" t="n">
        <v>40000</v>
      </c>
      <c r="C65" s="26" t="inlineStr">
        <is>
          <t>Mission Solutions $14M</t>
        </is>
      </c>
      <c r="D65" s="26" t="inlineStr">
        <is>
          <t>PMAT $6M</t>
        </is>
      </c>
      <c r="E65" s="26" t="inlineStr">
        <is>
          <t>--</t>
        </is>
      </c>
    </row>
    <row r="66" ht="10" customHeight="1">
      <c r="A66" s="30" t="inlineStr">
        <is>
          <t>DDG Mod — HELIOS</t>
        </is>
      </c>
      <c r="B66" s="50" t="n">
        <v>60000</v>
      </c>
      <c r="C66" s="26" t="inlineStr">
        <is>
          <t>MZA Associates $25M</t>
        </is>
      </c>
      <c r="D66" s="26" t="inlineStr">
        <is>
          <t>L3 Technologies $22M</t>
        </is>
      </c>
      <c r="E66" s="26" t="inlineStr">
        <is>
          <t>--</t>
        </is>
      </c>
    </row>
    <row r="67" ht="10" customHeight="1">
      <c r="A67" s="30" t="inlineStr">
        <is>
          <t>Airborne MCM</t>
        </is>
      </c>
      <c r="B67" s="50" t="n">
        <v>150000</v>
      </c>
      <c r="C67" s="26" t="inlineStr">
        <is>
          <t>Sparton $108M</t>
        </is>
      </c>
      <c r="D67" s="26" t="inlineStr">
        <is>
          <t>Teledyne $17M</t>
        </is>
      </c>
      <c r="E67" s="26" t="inlineStr">
        <is>
          <t>--</t>
        </is>
      </c>
    </row>
    <row r="68" ht="10" customHeight="1">
      <c r="A68" s="30" t="inlineStr">
        <is>
          <t>MK-54 Torpedo</t>
        </is>
      </c>
      <c r="B68" s="50" t="n">
        <v>30000</v>
      </c>
      <c r="C68" s="26" t="inlineStr">
        <is>
          <t>L3Harris (Aerojet) $25M</t>
        </is>
      </c>
      <c r="D68" s="26" t="inlineStr">
        <is>
          <t>J&amp;E Precision Tool $3M</t>
        </is>
      </c>
      <c r="E68" s="26" t="inlineStr">
        <is>
          <t>--</t>
        </is>
      </c>
    </row>
    <row r="69" ht="10" customHeight="1">
      <c r="A69" s="30" t="inlineStr">
        <is>
          <t>Depot Maintenance</t>
        </is>
      </c>
      <c r="B69" s="50"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0" t="n">
        <v>346443</v>
      </c>
      <c r="C77" s="26" t="inlineStr">
        <is>
          <t>BAE Norfolk/SD, Metro Machine, NASSCO</t>
        </is>
      </c>
    </row>
    <row r="78" ht="10" customHeight="1">
      <c r="A78" s="30" t="inlineStr">
        <is>
          <t>OMN_Vol2 LHD/AMPHIBS modernization</t>
        </is>
      </c>
      <c r="B78" s="50" t="n">
        <v>631859</v>
      </c>
      <c r="C78" s="26" t="inlineStr">
        <is>
          <t>BAE Norfolk/SD, Metro Machine</t>
        </is>
      </c>
    </row>
    <row r="79" ht="10" customHeight="1">
      <c r="A79" s="30" t="inlineStr">
        <is>
          <t>OPN BA1 Line 8 LHA/LHD Midlife</t>
        </is>
      </c>
      <c r="B79" s="50"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0" t="n">
        <v>835037</v>
      </c>
      <c r="C84" s="26" t="inlineStr">
        <is>
          <t>HII — N0002424C2473 ($5.80B ceiling)</t>
        </is>
      </c>
    </row>
    <row r="85" ht="10" customHeight="1">
      <c r="A85" s="30" t="inlineStr">
        <is>
          <t>SCN 3010 LPD Flight II AP</t>
        </is>
      </c>
      <c r="B85" s="50" t="n">
        <v>275000</v>
      </c>
      <c r="C85" s="26" t="inlineStr">
        <is>
          <t>HII — N0002424C2473 AP scope</t>
        </is>
      </c>
    </row>
    <row r="86" ht="10" customHeight="1">
      <c r="A86" s="30" t="inlineStr">
        <is>
          <t>OMN_Vol2 LPD depot</t>
        </is>
      </c>
      <c r="B86" s="50" t="n">
        <v>149595</v>
      </c>
      <c r="C86" s="26" t="inlineStr">
        <is>
          <t>BAE Norfolk/SD</t>
        </is>
      </c>
    </row>
    <row r="87" ht="10" customHeight="1">
      <c r="A87" s="30" t="inlineStr">
        <is>
          <t>OPN BA1 Line 15 LPD Class Support</t>
        </is>
      </c>
      <c r="B87" s="50"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0" t="n">
        <v>94421</v>
      </c>
      <c r="C92" s="26" t="inlineStr">
        <is>
          <t>NASSCO, BAE, Metro Machine</t>
        </is>
      </c>
    </row>
    <row r="93" ht="10" customHeight="1">
      <c r="A93" s="30" t="inlineStr">
        <is>
          <t>OMN_Vol2 LSD modernization</t>
        </is>
      </c>
      <c r="B93" s="50"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0" t="n">
        <v>634963</v>
      </c>
      <c r="C98" s="26" t="inlineStr">
        <is>
          <t>HII — N0002420C2437 LHA 9 ($3.14B ceiling)</t>
        </is>
      </c>
    </row>
    <row r="99" ht="10" customHeight="1">
      <c r="A99" s="30" t="inlineStr">
        <is>
          <t>OMN_Vol2 LHA depot</t>
        </is>
      </c>
      <c r="B99" s="50"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0" t="n">
        <v>5410773</v>
      </c>
      <c r="C104" s="26" t="inlineStr">
        <is>
          <t>HII FY23-27 MYP + BIW FY23-27 MYP</t>
        </is>
      </c>
    </row>
    <row r="105" ht="10" customHeight="1">
      <c r="A105" s="30" t="inlineStr">
        <is>
          <t>SCN 2122 DDG-51 AP</t>
        </is>
      </c>
      <c r="B105" s="50" t="n">
        <v>1750000</v>
      </c>
      <c r="C105" s="26" t="inlineStr">
        <is>
          <t>HII + BIW — AP against FY23-27 MYPs</t>
        </is>
      </c>
    </row>
    <row r="106" ht="10" customHeight="1">
      <c r="A106" s="30" t="inlineStr">
        <is>
          <t>SCN 2119 DDG-1000</t>
        </is>
      </c>
      <c r="B106" s="50" t="n">
        <v>52358</v>
      </c>
      <c r="C106" s="26" t="inlineStr">
        <is>
          <t>HII Mod Planning + BIW Planning Yard</t>
        </is>
      </c>
    </row>
    <row r="107" ht="10" customHeight="1">
      <c r="A107" s="30" t="inlineStr">
        <is>
          <t>OMN_Vol2 DDG depot</t>
        </is>
      </c>
      <c r="B107" s="50" t="n">
        <v>952000</v>
      </c>
      <c r="C107" s="26" t="inlineStr">
        <is>
          <t>BAE / NASSCO / Continental / Vigor / MHI / Metro</t>
        </is>
      </c>
    </row>
    <row r="108" ht="10" customHeight="1">
      <c r="A108" s="30" t="inlineStr">
        <is>
          <t>OMN_Vol2 DDG modernization</t>
        </is>
      </c>
      <c r="B108" s="50" t="n">
        <v>1282612</v>
      </c>
      <c r="C108" s="26" t="inlineStr">
        <is>
          <t>Cross-vehicle alteration installation</t>
        </is>
      </c>
    </row>
    <row r="109" ht="10" customHeight="1">
      <c r="A109" s="30" t="inlineStr">
        <is>
          <t>WPN 2234 Standard Missile</t>
        </is>
      </c>
      <c r="B109" s="50" t="n">
        <v>1008875</v>
      </c>
      <c r="C109" s="26" t="inlineStr">
        <is>
          <t>Raytheon SM production vehicles</t>
        </is>
      </c>
    </row>
    <row r="110" ht="10" customHeight="1">
      <c r="A110" s="30" t="inlineStr">
        <is>
          <t>OPN BA1 Line 5 DDG Mod</t>
        </is>
      </c>
      <c r="B110" s="50" t="n">
        <v>878787</v>
      </c>
      <c r="C110" s="26" t="inlineStr">
        <is>
          <t>SPY-6, SEWIP, SSDS, CEC, CIWS, HELIOS, Aegis kits</t>
        </is>
      </c>
    </row>
    <row r="111" ht="10" customHeight="1">
      <c r="A111" s="30" t="inlineStr">
        <is>
          <t>WPN 3215 MK-54 Torpedo Mods</t>
        </is>
      </c>
      <c r="B111" s="50" t="n">
        <v>128513</v>
      </c>
      <c r="C111" s="26" t="inlineStr">
        <is>
          <t>GDMS MK 54 MOD 1 + Ultra MK 54 MOD 0 + ATI OTAs</t>
        </is>
      </c>
    </row>
    <row r="112" ht="10" customHeight="1">
      <c r="A112" s="30" t="inlineStr">
        <is>
          <t>OPN BA1 Line 16 DDG-1000 Support</t>
        </is>
      </c>
      <c r="B112" s="50"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0" t="n">
        <v>576389</v>
      </c>
      <c r="C117" s="26" t="inlineStr">
        <is>
          <t>LM Freedom ISEA + GDMS Independence ISEA + avails</t>
        </is>
      </c>
    </row>
    <row r="118" ht="10" customHeight="1">
      <c r="A118" s="30" t="inlineStr">
        <is>
          <t>OMN_Vol2 LCS modernization</t>
        </is>
      </c>
      <c r="B118" s="50" t="n">
        <v>383361</v>
      </c>
      <c r="C118" s="26" t="inlineStr">
        <is>
          <t>LM + GDMS combat system ISEA + ITT-2A</t>
        </is>
      </c>
    </row>
    <row r="119" ht="10" customHeight="1">
      <c r="A119" s="30" t="inlineStr">
        <is>
          <t>OPN BA1 Line 37 LCS In-Service Mod</t>
        </is>
      </c>
      <c r="B119" s="50" t="n">
        <v>189458</v>
      </c>
      <c r="C119" s="26" t="inlineStr">
        <is>
          <t>LM, GDMS, Textron, BAH PEO LCS support</t>
        </is>
      </c>
    </row>
    <row r="120" ht="10" customHeight="1">
      <c r="A120" s="30" t="inlineStr">
        <is>
          <t>OPN BA1 Line 34 LCS MCM Modules</t>
        </is>
      </c>
      <c r="B120" s="50" t="n">
        <v>91372</v>
      </c>
      <c r="C120" s="26" t="inlineStr">
        <is>
          <t>UISS (Textron), Knifefish (GDMS/NG), MCM USV (Bollinger)</t>
        </is>
      </c>
    </row>
    <row r="121" ht="10" customHeight="1">
      <c r="A121" s="30" t="inlineStr">
        <is>
          <t>WPN 2292 Naval Strike Missile</t>
        </is>
      </c>
      <c r="B121" s="50"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0" t="n">
        <v>115501</v>
      </c>
      <c r="C126" s="26" t="inlineStr">
        <is>
          <t>Vigor, BAE Norfolk, NASSCO, HII CG planning</t>
        </is>
      </c>
    </row>
    <row r="127" ht="10" customHeight="1">
      <c r="A127" s="30" t="inlineStr">
        <is>
          <t>OMN_Vol2 CG modernization</t>
        </is>
      </c>
      <c r="B127" s="50"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to outsourceable work types (scheduled depot maintenance and modernization/alteration installation) and outsourceable vessel types (excludes Submarines, Aircraft Carriers &amp; UUVs). Sized at hull-program level. Cost-element coverage (P-5c/P-8a) is not available for MRO work — justification books do not break maintenance spending by Electronics / HM&amp;E / Ordnance the way they do for new construction.</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Three work types a non-incumbent shipyard could compete for — these define SAM MRO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Modernization &amp; Alteration</t>
        </is>
      </c>
      <c r="B44" s="30" t="inlineStr">
        <is>
          <t>Combat system upgrades, hull/mech/elec modernization</t>
        </is>
      </c>
      <c r="C44" s="26" t="inlineStr">
        <is>
          <t>Bucket 4</t>
        </is>
      </c>
    </row>
    <row r="45" ht="10" customHeight="1">
      <c r="A45" s="26" t="inlineStr">
        <is>
          <t>Excluded: Continuous/Emergent (3), Major Life-Cycle/RCOH (5), Sustainment Engineering (6), Availability Support (7)</t>
        </is>
      </c>
    </row>
    <row r="46" ht="10" customHeight="1"/>
    <row r="47" ht="10" customHeight="1">
      <c r="A47" s="46" t="inlineStr">
        <is>
          <t>TAM Vessel Category Scope</t>
        </is>
      </c>
      <c r="B47" s="39" t="n"/>
      <c r="C47" s="39" t="n"/>
    </row>
    <row r="48" ht="10" customHeight="1">
      <c r="A48" s="29" t="inlineStr">
        <is>
          <t>Category</t>
        </is>
      </c>
      <c r="B48" s="29" t="inlineStr">
        <is>
          <t>TAM Scope</t>
        </is>
      </c>
      <c r="C48" s="29" t="inlineStr">
        <is>
          <t>Notes</t>
        </is>
      </c>
    </row>
    <row r="49" ht="10" customHeight="1">
      <c r="A49" s="30" t="inlineStr">
        <is>
          <t>Combatant Ships</t>
        </is>
      </c>
      <c r="B49" s="30" t="inlineStr">
        <is>
          <t>YES → TAM</t>
        </is>
      </c>
    </row>
    <row r="50" ht="10" customHeight="1">
      <c r="A50" s="30" t="inlineStr">
        <is>
          <t>Auxiliary Ships</t>
        </is>
      </c>
      <c r="B50" s="30" t="inlineStr">
        <is>
          <t>YES → TAM</t>
        </is>
      </c>
    </row>
    <row r="51" ht="10" customHeight="1">
      <c r="A51" s="30" t="inlineStr">
        <is>
          <t>Cutters</t>
        </is>
      </c>
      <c r="B51" s="30" t="inlineStr">
        <is>
          <t>YES → TAM</t>
        </is>
      </c>
      <c r="C51" s="26" t="inlineStr">
        <is>
          <t>USCG</t>
        </is>
      </c>
    </row>
    <row r="52" ht="10" customHeight="1">
      <c r="A52" s="30" t="inlineStr">
        <is>
          <t>Unmanned Maritime Platforms</t>
        </is>
      </c>
      <c r="B52" s="30" t="inlineStr">
        <is>
          <t>YES → TAM</t>
        </is>
      </c>
    </row>
    <row r="53" ht="10" customHeight="1">
      <c r="A53" s="30" t="inlineStr">
        <is>
          <t>Combatant Crafts</t>
        </is>
      </c>
      <c r="B53" s="30" t="inlineStr">
        <is>
          <t>No — small craft</t>
        </is>
      </c>
      <c r="C53" s="26" t="inlineStr">
        <is>
          <t>Excluded</t>
        </is>
      </c>
    </row>
    <row r="54" ht="10" customHeight="1">
      <c r="A54" s="30" t="inlineStr">
        <is>
          <t>Support Crafts</t>
        </is>
      </c>
      <c r="B54" s="30" t="inlineStr">
        <is>
          <t>No — non-oceangoing</t>
        </is>
      </c>
      <c r="C54" s="26" t="inlineStr">
        <is>
          <t>Excluded</t>
        </is>
      </c>
    </row>
    <row r="55" ht="10" customHeight="1">
      <c r="A55" s="30" t="inlineStr">
        <is>
          <t>Boats</t>
        </is>
      </c>
      <c r="B55" s="30" t="inlineStr">
        <is>
          <t>No — under 65 ft</t>
        </is>
      </c>
      <c r="C55" s="26" t="inlineStr">
        <is>
          <t>USCG — excluded</t>
        </is>
      </c>
    </row>
    <row r="56" ht="10" customHeight="1"/>
    <row r="57" ht="10" customHeight="1">
      <c r="A57" s="46" t="inlineStr">
        <is>
          <t>SAM Vessel Type Exclusions</t>
        </is>
      </c>
      <c r="B57" s="39" t="n"/>
      <c r="C57" s="39" t="n"/>
    </row>
    <row r="58" ht="10" customHeight="1">
      <c r="A58" s="29" t="inlineStr">
        <is>
          <t>Vessel Type</t>
        </is>
      </c>
      <c r="B58" s="29" t="inlineStr">
        <is>
          <t>Reason</t>
        </is>
      </c>
      <c r="C58" s="29" t="inlineStr">
        <is>
          <t>Notes</t>
        </is>
      </c>
    </row>
    <row r="59" ht="10" customHeight="1">
      <c r="A59" s="30" t="inlineStr">
        <is>
          <t>Submarines</t>
        </is>
      </c>
      <c r="B59" s="30" t="inlineStr">
        <is>
          <t>Nuclear-only yards — only two US facilities can build nuclear submarines</t>
        </is>
      </c>
      <c r="C59" s="26" t="inlineStr">
        <is>
          <t>Electric Boat (CT) and Newport News (VA)</t>
        </is>
      </c>
    </row>
    <row r="60" ht="10" customHeight="1">
      <c r="A60" s="30" t="inlineStr">
        <is>
          <t>Aircraft Carriers</t>
        </is>
      </c>
      <c r="B60" s="30" t="inlineStr">
        <is>
          <t>Newport News monopoly — single-source production</t>
        </is>
      </c>
      <c r="C60" s="26" t="inlineStr">
        <is>
          <t>Huntington Ingalls Industries</t>
        </is>
      </c>
    </row>
    <row r="61" ht="10" customHeight="1">
      <c r="A61" s="30" t="inlineStr">
        <is>
          <t>Unmanned Undersea Vehicles</t>
        </is>
      </c>
      <c r="B61" s="30" t="inlineStr">
        <is>
          <t>Specialized programs with limited competition</t>
        </is>
      </c>
    </row>
    <row r="62" ht="10" customHeight="1"/>
    <row r="63" ht="10" customHeight="1">
      <c r="A63" s="27" t="inlineStr">
        <is>
          <t>Work Type Buckets (1–7)</t>
        </is>
      </c>
      <c r="B63" s="28" t="n"/>
      <c r="C63" s="28" t="n"/>
    </row>
    <row r="64" ht="10" customHeight="1">
      <c r="A64" s="26" t="inlineStr">
        <is>
          <t>Seven-bucket taxonomy classifying all types of work performed on vessels, from new construction through end-of-life support</t>
        </is>
      </c>
    </row>
    <row r="65" ht="10" customHeight="1">
      <c r="A65" s="29" t="inlineStr">
        <is>
          <t>Bucket</t>
        </is>
      </c>
      <c r="B65" s="29" t="inlineStr">
        <is>
          <t>Description</t>
        </is>
      </c>
      <c r="C65" s="29" t="inlineStr">
        <is>
          <t>Budget Anchors / Keywords</t>
        </is>
      </c>
    </row>
    <row r="66" ht="10" customHeight="1">
      <c r="A66" s="30" t="inlineStr">
        <is>
          <t>1 — New Construction</t>
        </is>
      </c>
      <c r="B66" s="30" t="inlineStr">
        <is>
          <t>Design, construction, and delivery of new vessels from detail design through sea trials.</t>
        </is>
      </c>
      <c r="C66" s="26" t="inlineStr">
        <is>
          <t>SCN (Navy), PC&amp;I (USCG). Keywords: DD&amp;C, LLTM, advance procurement.</t>
        </is>
      </c>
    </row>
    <row r="67" ht="10" customHeight="1">
      <c r="A67" s="30" t="inlineStr">
        <is>
          <t>2 — Scheduled Depot Maintenance &amp; Repair</t>
        </is>
      </c>
      <c r="B67" s="30" t="inlineStr">
        <is>
          <t>Planned depot-level work to restore/sustain material condition during CNO-scheduled availabilities.</t>
        </is>
      </c>
      <c r="C67" s="26" t="inlineStr">
        <is>
          <t>O&amp;M,N SAG 1B4B Ship Depot Maintenance. Keywords: DSRA, SRA, DPMA, PMA, PIA, ROH, drydock.</t>
        </is>
      </c>
    </row>
    <row r="68" ht="10" customHeight="1">
      <c r="A68" s="30" t="inlineStr">
        <is>
          <t>3 — Continuous / Intermediate / Emergent Maintenance</t>
        </is>
      </c>
      <c r="B68" s="30" t="inlineStr">
        <is>
          <t>Shorter-duration, intermediate-level, continuous, and emergent/casualty work outside the depot event.</t>
        </is>
      </c>
      <c r="C68" s="26" t="inlineStr">
        <is>
          <t>Keywords: CMAV, WOO, EM, emergent, casualty repair, voyage repair, dockside.</t>
        </is>
      </c>
    </row>
    <row r="69" ht="10" customHeight="1">
      <c r="A69" s="30" t="inlineStr">
        <is>
          <t>4 — Modernization &amp; Alteration Installation</t>
        </is>
      </c>
      <c r="B69" s="30" t="inlineStr">
        <is>
          <t>Work that changes configuration or adds capability beyond restore-only repair. Funded primarily through procurement.</t>
        </is>
      </c>
      <c r="C69" s="26" t="inlineStr">
        <is>
          <t>OPN P-40 line items (DDG Mod, CG Mod, LCS Mod). Keywords: SHIPALT, ORDALT, tech refresh, backfit.</t>
        </is>
      </c>
    </row>
    <row r="70" ht="10" customHeight="1">
      <c r="A70" s="30" t="inlineStr">
        <is>
          <t>5 — Major Life-Cycle Events / SLEP / MMA / RCOH</t>
        </is>
      </c>
      <c r="B70" s="30" t="inlineStr">
        <is>
          <t>Multi-year platform- or class-scale recapitalization that gets its own budget line.</t>
        </is>
      </c>
      <c r="C70" s="26" t="inlineStr">
        <is>
          <t>Keywords: RCOH, EOH, SLEP, MMA, midlife. Separate from routine depot maintenance (Bucket 2).</t>
        </is>
      </c>
    </row>
    <row r="71" ht="10" customHeight="1">
      <c r="A71" s="30" t="inlineStr">
        <is>
          <t>6 — Sustainment Engineering / Planning / Obsolescence</t>
        </is>
      </c>
      <c r="B71" s="30" t="inlineStr">
        <is>
          <t>Engineering, planning, DMSMS/obsolescence, and program support for in-service vessels.</t>
        </is>
      </c>
      <c r="C71" s="26" t="inlineStr">
        <is>
          <t>O&amp;M,N SAG 1B5B Ship Depot Ops Support; OPN spares (BA08). Keywords: SETA, DMSMS, survey &amp; design.</t>
        </is>
      </c>
    </row>
    <row r="72" ht="10" customHeight="1">
      <c r="A72" s="30" t="inlineStr">
        <is>
          <t>7 — Availability Support / Husbanding / Port Services</t>
        </is>
      </c>
      <c r="B72" s="30" t="inlineStr">
        <is>
          <t>Services that enable repair/modernization but are not themselves repair or upgrade work.</t>
        </is>
      </c>
      <c r="C72" s="26" t="inlineStr">
        <is>
          <t>Keywords: husbanding, pilot, tug, berthing, crane, shore power, scaffolding, environmental.</t>
        </is>
      </c>
    </row>
    <row r="73" ht="10" customHeight="1"/>
    <row r="74" ht="10" customHeight="1">
      <c r="A74" s="46" t="inlineStr">
        <is>
          <t>Bucket 1 Sub-Categories</t>
        </is>
      </c>
      <c r="B74" s="39" t="n"/>
      <c r="C74" s="39" t="n"/>
    </row>
    <row r="75" ht="10" customHeight="1">
      <c r="A75" s="29" t="inlineStr">
        <is>
          <t>Sub-Category</t>
        </is>
      </c>
      <c r="B75" s="29" t="inlineStr">
        <is>
          <t>Description</t>
        </is>
      </c>
      <c r="C75" s="29" t="inlineStr">
        <is>
          <t>Examples</t>
        </is>
      </c>
    </row>
    <row r="76" ht="10" customHeight="1">
      <c r="A76" s="30" t="inlineStr">
        <is>
          <t>Full ship DD&amp;C</t>
        </is>
      </c>
      <c r="B76" s="30" t="inlineStr">
        <is>
          <t>Detail design and construction of a complete vessel.</t>
        </is>
      </c>
      <c r="C76" s="26" t="inlineStr">
        <is>
          <t>DDG-51, FFG-62, CVN-79, LPD, LHA, T-AO, OPC, FRC, PSC</t>
        </is>
      </c>
    </row>
    <row r="77" ht="10" customHeight="1">
      <c r="A77" s="30" t="inlineStr">
        <is>
          <t>Advance procurement / LLTM</t>
        </is>
      </c>
      <c r="B77" s="30" t="inlineStr">
        <is>
          <t>Long-lead time material and advance procurement funded 1–2 years ahead of DD&amp;C.</t>
        </is>
      </c>
      <c r="C77" s="26" t="inlineStr">
        <is>
          <t>Reactor components, propulsion equipment, combat system long-lead items</t>
        </is>
      </c>
    </row>
    <row r="78" ht="10" customHeight="1">
      <c r="A78" s="30" t="inlineStr">
        <is>
          <t>Construction engineering / planning yard</t>
        </is>
      </c>
      <c r="B78" s="30" t="inlineStr">
        <is>
          <t>Lead yard support, planning yard services, and design completion work.</t>
        </is>
      </c>
      <c r="C78" s="26" t="inlineStr">
        <is>
          <t>EB submarine planning yard, Columbia design completion</t>
        </is>
      </c>
    </row>
    <row r="79" ht="10" customHeight="1">
      <c r="A79" s="30" t="inlineStr">
        <is>
          <t>GFE / combat systems for newbuild</t>
        </is>
      </c>
      <c r="B79" s="30" t="inlineStr">
        <is>
          <t>Government-furnished equipment / combat systems procured separately from hull construction (via OPN or RDT&amp;E).</t>
        </is>
      </c>
      <c r="C79" s="26" t="inlineStr">
        <is>
          <t>Funded through OPN, not SCN — but supports new construction</t>
        </is>
      </c>
    </row>
    <row r="80" ht="10" customHeight="1"/>
    <row r="81" ht="10" customHeight="1">
      <c r="A81" s="46" t="inlineStr">
        <is>
          <t>Bucket 2–7 Sub-Categories</t>
        </is>
      </c>
      <c r="B81" s="39" t="n"/>
      <c r="C81" s="39" t="n"/>
    </row>
    <row r="82" ht="10" customHeight="1">
      <c r="A82" s="29" t="inlineStr">
        <is>
          <t>Sub-Category</t>
        </is>
      </c>
      <c r="B82" s="29" t="inlineStr">
        <is>
          <t>Description</t>
        </is>
      </c>
      <c r="C82" s="29" t="inlineStr">
        <is>
          <t>Coverage</t>
        </is>
      </c>
    </row>
    <row r="83" ht="10" customHeight="1">
      <c r="A83" s="30" t="inlineStr">
        <is>
          <t>Bkt 2: Scheduled Depot Maintenance</t>
        </is>
      </c>
      <c r="B83" s="30" t="inlineStr">
        <is>
          <t>CNO-scheduled depot-level maintenance availabilities.</t>
        </is>
      </c>
      <c r="C83" s="26" t="inlineStr">
        <is>
          <t>113 rows</t>
        </is>
      </c>
    </row>
    <row r="84" ht="10" customHeight="1">
      <c r="A84" s="30" t="inlineStr">
        <is>
          <t>Bkt 2: Ship Availability</t>
        </is>
      </c>
      <c r="B84" s="30" t="inlineStr">
        <is>
          <t>Ship availability periods for maintenance and repair work.</t>
        </is>
      </c>
      <c r="C84" s="26" t="inlineStr">
        <is>
          <t>105 rows</t>
        </is>
      </c>
    </row>
    <row r="85" ht="10" customHeight="1">
      <c r="A85" s="30" t="inlineStr">
        <is>
          <t>Bkt 4: GFE / combat systems</t>
        </is>
      </c>
      <c r="B85" s="30" t="inlineStr">
        <is>
          <t>Government-furnished equipment and combat system modernization.</t>
        </is>
      </c>
      <c r="C85" s="26" t="inlineStr">
        <is>
          <t>Shared with Bucket 1</t>
        </is>
      </c>
    </row>
    <row r="86" ht="10" customHeight="1">
      <c r="A86" s="30" t="inlineStr">
        <is>
          <t>Bkt 5: RCOH</t>
        </is>
      </c>
      <c r="B86" s="30" t="inlineStr">
        <is>
          <t>Refueling Complex Overhaul — multi-year nuclear carrier recapitalization.</t>
        </is>
      </c>
      <c r="C86" s="26" t="inlineStr">
        <is>
          <t>187 rows</t>
        </is>
      </c>
    </row>
    <row r="87" ht="10" customHeight="1">
      <c r="A87" s="30" t="inlineStr">
        <is>
          <t>Bkt 5: SLEP</t>
        </is>
      </c>
      <c r="B87" s="30" t="inlineStr">
        <is>
          <t>Service Life Extension Program — extends platform beyond original design life.</t>
        </is>
      </c>
      <c r="C87" s="26" t="inlineStr">
        <is>
          <t>6 rows</t>
        </is>
      </c>
    </row>
    <row r="88" ht="10" customHeight="1">
      <c r="A88" s="30" t="inlineStr">
        <is>
          <t>Bkt 6: Sustainment Eng. — spares</t>
        </is>
      </c>
      <c r="B88" s="30" t="inlineStr">
        <is>
          <t>Spare parts procurement for sustainment engineering and obsolescence (OPN BA08).</t>
        </is>
      </c>
      <c r="C88" s="26" t="inlineStr">
        <is>
          <t>14 rows</t>
        </is>
      </c>
    </row>
    <row r="89" ht="10" customHeight="1">
      <c r="A89" s="30" t="inlineStr">
        <is>
          <t>Bkt 7: Availability Support</t>
        </is>
      </c>
      <c r="B89" s="30" t="inlineStr">
        <is>
          <t>Services enabling repair/mod — husbanding, port services, crane, scaffolding.</t>
        </is>
      </c>
      <c r="C89" s="26" t="inlineStr">
        <is>
          <t>76 rows</t>
        </is>
      </c>
    </row>
    <row r="90" ht="10" customHeight="1">
      <c r="A90" s="30" t="inlineStr">
        <is>
          <t>Other: Full vessel procurement</t>
        </is>
      </c>
      <c r="B90" s="30" t="inlineStr">
        <is>
          <t>USCG full vessel procurement — equivalent to Full ship DD&amp;C for Coast Guard.</t>
        </is>
      </c>
      <c r="C90" s="26" t="inlineStr">
        <is>
          <t>6 rows</t>
        </is>
      </c>
    </row>
    <row r="91" ht="10" customHeight="1">
      <c r="A91" s="30" t="inlineStr">
        <is>
          <t>Other: Full ship DD&amp;C / LLTM</t>
        </is>
      </c>
      <c r="B91" s="30" t="inlineStr">
        <is>
          <t>Combined full ship construction and long-lead time material in a single line item.</t>
        </is>
      </c>
      <c r="C91" s="26" t="inlineStr">
        <is>
          <t>3 rows</t>
        </is>
      </c>
    </row>
    <row r="92" ht="10" customHeight="1"/>
    <row r="93" ht="10" customHeight="1">
      <c r="A93" s="46" t="inlineStr">
        <is>
          <t>Composite Bucket Values</t>
        </is>
      </c>
      <c r="B93" s="39" t="n"/>
      <c r="C93" s="39" t="n"/>
    </row>
    <row r="94" ht="10" customHeight="1">
      <c r="A94" s="30" t="inlineStr">
        <is>
          <t>Multi-bucket line items</t>
        </is>
      </c>
      <c r="B94" s="30" t="inlineStr">
        <is>
          <t>Some line items span multiple work types. Bucket value uses a delimiter (pipe, comma, or slash): 2|3, 2,3, 2/4, 4/6, 1,4,5.</t>
        </is>
      </c>
      <c r="C94" s="26" t="inlineStr">
        <is>
          <t>Correctly excluded from per-bucket TAM sums (SUMPRODUCT checks fail on composite strings).</t>
        </is>
      </c>
    </row>
    <row r="95" ht="10" customHeight="1">
      <c r="A95" s="30" t="inlineStr">
        <is>
          <t>TAM impact</t>
        </is>
      </c>
      <c r="B95" s="30" t="inlineStr">
        <is>
          <t>Composite-bucket rows excluded from TAM-by-work-type pivot because SUMPRODUCT checks D=1, D=2, etc. — a string like "2|3" fails all single-integer tests.</t>
        </is>
      </c>
      <c r="C95" s="26" t="inlineStr">
        <is>
          <t>To capture, filter Bucket for non-integer values.</t>
        </is>
      </c>
    </row>
    <row r="96" ht="10" customHeight="1"/>
    <row r="97" ht="10" customHeight="1">
      <c r="A97" s="27" t="inlineStr">
        <is>
          <t>Vessel Taxonomy</t>
        </is>
      </c>
      <c r="B97" s="28" t="n"/>
      <c r="C97" s="28" t="n"/>
    </row>
    <row r="98" ht="10" customHeight="1">
      <c r="A98" s="26" t="inlineStr">
        <is>
          <t>Four-column hierarchy: Vessel Service → Category → Type → Hull. Each column progressively more specific. All 4 may be populated or only broader levels.</t>
        </is>
      </c>
    </row>
    <row r="99" ht="10" customHeight="1"/>
    <row r="100" ht="10" customHeight="1">
      <c r="A100" s="46" t="inlineStr">
        <is>
          <t>USN — United States Navy</t>
        </is>
      </c>
      <c r="B100" s="39" t="n"/>
      <c r="C100" s="39" t="n"/>
    </row>
    <row r="101" ht="10" customHeight="1">
      <c r="A101" s="26" t="inlineStr">
        <is>
          <t>Commissioned warships and support craft with Navy crews.</t>
        </is>
      </c>
    </row>
    <row r="102" ht="10" customHeight="1"/>
    <row r="103" ht="10" customHeight="1">
      <c r="A103" s="46" t="inlineStr">
        <is>
          <t>Combatant Ships (TAM scope)</t>
        </is>
      </c>
      <c r="B103" s="39" t="n"/>
      <c r="C103" s="39" t="n"/>
    </row>
    <row r="104" ht="10" customHeight="1">
      <c r="A104" s="26" t="inlineStr">
        <is>
          <t>Warships and other combatant vessels — the core fighting and logistics fleet.</t>
        </is>
      </c>
    </row>
    <row r="105" ht="10" customHeight="1">
      <c r="A105" s="29" t="inlineStr">
        <is>
          <t>Type</t>
        </is>
      </c>
      <c r="B105" s="29" t="inlineStr">
        <is>
          <t>Description</t>
        </is>
      </c>
      <c r="C105" s="29" t="inlineStr">
        <is>
          <t>Hull Designators</t>
        </is>
      </c>
    </row>
    <row r="106" ht="10" customHeight="1">
      <c r="A106" s="30" t="inlineStr">
        <is>
          <t>Aircraft Carriers</t>
        </is>
      </c>
      <c r="B106" s="30" t="inlineStr">
        <is>
          <t>Nuclear-powered aircraft carriers</t>
        </is>
      </c>
      <c r="C106" s="26" t="inlineStr">
        <is>
          <t>CVN</t>
        </is>
      </c>
    </row>
    <row r="107" ht="10" customHeight="1">
      <c r="A107" s="30" t="inlineStr">
        <is>
          <t>Surface Combatants</t>
        </is>
      </c>
      <c r="B107" s="30" t="inlineStr">
        <is>
          <t>Guided-missile cruisers, destroyers, frigates, littoral combat ships</t>
        </is>
      </c>
      <c r="C107" s="26" t="inlineStr">
        <is>
          <t>CG, DDG, FFG, LCS</t>
        </is>
      </c>
    </row>
    <row r="108" ht="10" customHeight="1">
      <c r="A108" s="30" t="inlineStr">
        <is>
          <t>Submarines</t>
        </is>
      </c>
      <c r="B108" s="30" t="inlineStr">
        <is>
          <t>Attack submarines, ballistic missile submarines, guided-missile submarines</t>
        </is>
      </c>
      <c r="C108" s="26" t="inlineStr">
        <is>
          <t>SSN, SSBN, SSGN</t>
        </is>
      </c>
    </row>
    <row r="109" ht="10" customHeight="1">
      <c r="A109" s="30" t="inlineStr">
        <is>
          <t>Amphibious Warfare Ships</t>
        </is>
      </c>
      <c r="B109" s="30" t="inlineStr">
        <is>
          <t>Amphibious assault ships and transport docks</t>
        </is>
      </c>
      <c r="C109" s="26" t="inlineStr">
        <is>
          <t>LHA, LHD, LPD, LSD</t>
        </is>
      </c>
    </row>
    <row r="110" ht="10" customHeight="1">
      <c r="A110" s="30" t="inlineStr">
        <is>
          <t>Mine Warfare</t>
        </is>
      </c>
      <c r="B110" s="30" t="inlineStr">
        <is>
          <t>Mine countermeasure ships</t>
        </is>
      </c>
      <c r="C110" s="26" t="inlineStr">
        <is>
          <t>MCM</t>
        </is>
      </c>
    </row>
    <row r="111" ht="10" customHeight="1">
      <c r="A111" s="30" t="inlineStr">
        <is>
          <t>Combat Logistics Ships</t>
        </is>
      </c>
      <c r="B111" s="30" t="inlineStr">
        <is>
          <t>Oilers, ammunition ships, dry cargo/ammunition ships</t>
        </is>
      </c>
      <c r="C111" s="26" t="inlineStr">
        <is>
          <t>AO, AOE, AOL, AKE</t>
        </is>
      </c>
    </row>
    <row r="112" ht="10" customHeight="1">
      <c r="A112" s="30" t="inlineStr">
        <is>
          <t>Command Ships</t>
        </is>
      </c>
      <c r="B112" s="30" t="inlineStr">
        <is>
          <t>Afloat command and control platforms</t>
        </is>
      </c>
      <c r="C112" s="26" t="inlineStr">
        <is>
          <t>LCC</t>
        </is>
      </c>
    </row>
    <row r="113" ht="10" customHeight="1">
      <c r="A113" s="30" t="inlineStr">
        <is>
          <t>Material Support Ships</t>
        </is>
      </c>
      <c r="B113" s="30" t="inlineStr">
        <is>
          <t>Submarine tenders</t>
        </is>
      </c>
      <c r="C113" s="26" t="inlineStr">
        <is>
          <t>AS</t>
        </is>
      </c>
    </row>
    <row r="114" ht="10" customHeight="1">
      <c r="A114" s="30" t="inlineStr">
        <is>
          <t>Surveillance Ships</t>
        </is>
      </c>
      <c r="B114" s="30" t="inlineStr">
        <is>
          <t>Ocean surveillance ships</t>
        </is>
      </c>
      <c r="C114" s="26" t="inlineStr">
        <is>
          <t>AGOS</t>
        </is>
      </c>
    </row>
    <row r="115" ht="10" customHeight="1">
      <c r="A115" s="30" t="inlineStr">
        <is>
          <t>Salvage Ships &amp; Fleet Ocean Tugs</t>
        </is>
      </c>
      <c r="B115" s="30" t="inlineStr">
        <is>
          <t>Rescue/salvage ships and fleet tugs</t>
        </is>
      </c>
      <c r="C115" s="26" t="inlineStr">
        <is>
          <t>ARS, ATF, ATS</t>
        </is>
      </c>
    </row>
    <row r="116" ht="10" customHeight="1">
      <c r="A116" s="30" t="inlineStr">
        <is>
          <t>Expeditionary &amp; Seabasing Ships</t>
        </is>
      </c>
      <c r="B116" s="30" t="inlineStr">
        <is>
          <t>Expeditionary fast transports, sea bases, medium landing ships</t>
        </is>
      </c>
      <c r="C116" s="26" t="inlineStr">
        <is>
          <t>EPF, ESB, ESD, LSM</t>
        </is>
      </c>
    </row>
    <row r="117" ht="10" customHeight="1"/>
    <row r="118" ht="10" customHeight="1">
      <c r="A118" s="46" t="inlineStr">
        <is>
          <t>Auxiliary Ships (TAM scope)</t>
        </is>
      </c>
      <c r="B118" s="39" t="n"/>
      <c r="C118" s="39" t="n"/>
    </row>
    <row r="119" ht="10" customHeight="1">
      <c r="A119" s="26" t="inlineStr">
        <is>
          <t>Non-combatant support vessels — research, cargo, hospital, special-purpose.</t>
        </is>
      </c>
    </row>
    <row r="120" ht="10" customHeight="1">
      <c r="A120" s="29" t="inlineStr">
        <is>
          <t>Type</t>
        </is>
      </c>
      <c r="B120" s="29" t="inlineStr">
        <is>
          <t>Description</t>
        </is>
      </c>
      <c r="C120" s="29" t="inlineStr">
        <is>
          <t>Hull Designators</t>
        </is>
      </c>
    </row>
    <row r="121" ht="10" customHeight="1">
      <c r="A121" s="30" t="inlineStr">
        <is>
          <t>Crane Ship</t>
        </is>
      </c>
      <c r="B121" s="30" t="inlineStr">
        <is>
          <t>Floating crane ship</t>
        </is>
      </c>
      <c r="C121" s="26" t="inlineStr">
        <is>
          <t>ACS</t>
        </is>
      </c>
    </row>
    <row r="122" ht="10" customHeight="1">
      <c r="A122" s="30" t="inlineStr">
        <is>
          <t>General Auxiliary</t>
        </is>
      </c>
      <c r="B122" s="30" t="inlineStr">
        <is>
          <t>Multi-purpose auxiliary vessels</t>
        </is>
      </c>
      <c r="C122" s="26" t="inlineStr">
        <is>
          <t>AG</t>
        </is>
      </c>
    </row>
    <row r="123" ht="10" customHeight="1">
      <c r="A123" s="30" t="inlineStr">
        <is>
          <t>Research, Survey &amp; Instrumentation Ships</t>
        </is>
      </c>
      <c r="B123" s="30" t="inlineStr">
        <is>
          <t>Oceanographic and survey ships</t>
        </is>
      </c>
      <c r="C123" s="26" t="inlineStr">
        <is>
          <t>AGM, AGOR, AGS</t>
        </is>
      </c>
    </row>
    <row r="124" ht="10" customHeight="1">
      <c r="A124" s="30" t="inlineStr">
        <is>
          <t>Hospital Ship</t>
        </is>
      </c>
      <c r="B124" s="30" t="inlineStr">
        <is>
          <t>Hospital ships</t>
        </is>
      </c>
      <c r="C124" s="26" t="inlineStr">
        <is>
          <t>AH</t>
        </is>
      </c>
    </row>
    <row r="125" ht="10" customHeight="1">
      <c r="A125" s="30" t="inlineStr">
        <is>
          <t>Cargo &amp; Vehicle Cargo Ships</t>
        </is>
      </c>
      <c r="B125" s="30" t="inlineStr">
        <is>
          <t>Cargo and vehicle transport ships</t>
        </is>
      </c>
      <c r="C125" s="26" t="inlineStr">
        <is>
          <t>AK, AKR</t>
        </is>
      </c>
    </row>
    <row r="126" ht="10" customHeight="1">
      <c r="A126" s="30" t="inlineStr">
        <is>
          <t>Transport Oiler</t>
        </is>
      </c>
      <c r="B126" s="30" t="inlineStr">
        <is>
          <t>Transport oilers</t>
        </is>
      </c>
      <c r="C126" s="26" t="inlineStr">
        <is>
          <t>AOT</t>
        </is>
      </c>
    </row>
    <row r="127" ht="10" customHeight="1">
      <c r="A127" s="30" t="inlineStr">
        <is>
          <t>Cable Repairing Ship</t>
        </is>
      </c>
      <c r="B127" s="30" t="inlineStr">
        <is>
          <t>Submarine cable repair ships</t>
        </is>
      </c>
      <c r="C127" s="26" t="inlineStr">
        <is>
          <t>ARC</t>
        </is>
      </c>
    </row>
    <row r="128" ht="10" customHeight="1">
      <c r="A128" s="30" t="inlineStr">
        <is>
          <t>Aviation Logistics Support Ship</t>
        </is>
      </c>
      <c r="B128" s="30" t="inlineStr">
        <is>
          <t>Aviation support ships</t>
        </is>
      </c>
      <c r="C128" s="26" t="inlineStr">
        <is>
          <t>AVB</t>
        </is>
      </c>
    </row>
    <row r="129" ht="10" customHeight="1">
      <c r="A129" s="30" t="inlineStr">
        <is>
          <t>High Speed Transport</t>
        </is>
      </c>
      <c r="B129" s="30" t="inlineStr">
        <is>
          <t>High speed transports</t>
        </is>
      </c>
      <c r="C129" s="26" t="inlineStr">
        <is>
          <t>HST</t>
        </is>
      </c>
    </row>
    <row r="130" ht="10" customHeight="1">
      <c r="A130" s="30" t="inlineStr">
        <is>
          <t>Submarine Escort Ship</t>
        </is>
      </c>
      <c r="B130" s="30" t="inlineStr">
        <is>
          <t>Submarine escort/support vessels</t>
        </is>
      </c>
      <c r="C130" s="26" t="inlineStr">
        <is>
          <t>AGSE</t>
        </is>
      </c>
    </row>
    <row r="131" ht="10" customHeight="1">
      <c r="A131" s="30" t="inlineStr">
        <is>
          <t>USS Constitution</t>
        </is>
      </c>
      <c r="B131" s="30" t="inlineStr">
        <is>
          <t>Historic warship — not operationally classified</t>
        </is>
      </c>
      <c r="C131" s="26" t="inlineStr">
        <is>
          <t>—</t>
        </is>
      </c>
    </row>
    <row r="132" ht="10" customHeight="1"/>
    <row r="133" ht="10" customHeight="1">
      <c r="A133" s="46" t="inlineStr">
        <is>
          <t>Combatant Crafts (excluded from TAM)</t>
        </is>
      </c>
      <c r="B133" s="39" t="n"/>
      <c r="C133" s="39" t="n"/>
    </row>
    <row r="134" ht="10" customHeight="1">
      <c r="A134" s="26" t="inlineStr">
        <is>
          <t>Smaller combatant craft — patrol, landing, and special warfare.</t>
        </is>
      </c>
    </row>
    <row r="135" ht="10" customHeight="1">
      <c r="A135" s="29" t="inlineStr">
        <is>
          <t>Type</t>
        </is>
      </c>
      <c r="B135" s="29" t="inlineStr">
        <is>
          <t>Description</t>
        </is>
      </c>
      <c r="C135" s="29" t="inlineStr">
        <is>
          <t>Hull Designators</t>
        </is>
      </c>
    </row>
    <row r="136" ht="10" customHeight="1">
      <c r="A136" s="30" t="inlineStr">
        <is>
          <t>Patrol Combatant</t>
        </is>
      </c>
      <c r="B136" s="30" t="inlineStr">
        <is>
          <t>Coastal patrol craft</t>
        </is>
      </c>
      <c r="C136" s="26" t="inlineStr">
        <is>
          <t>PC</t>
        </is>
      </c>
    </row>
    <row r="137" ht="10" customHeight="1">
      <c r="A137" s="30" t="inlineStr">
        <is>
          <t>Amphibious Warfare Craft</t>
        </is>
      </c>
      <c r="B137" s="30" t="inlineStr">
        <is>
          <t>Landing craft — air cushion and utility</t>
        </is>
      </c>
      <c r="C137" s="26" t="inlineStr">
        <is>
          <t>LCAC, LCU</t>
        </is>
      </c>
    </row>
    <row r="138" ht="10" customHeight="1">
      <c r="A138" s="30" t="inlineStr">
        <is>
          <t>Patrol Boats</t>
        </is>
      </c>
      <c r="B138" s="30" t="inlineStr">
        <is>
          <t>Various patrol boats by length</t>
        </is>
      </c>
      <c r="C138" s="26" t="inlineStr">
        <is>
          <t>36PB, 64PB, 87PB</t>
        </is>
      </c>
    </row>
    <row r="139" ht="10" customHeight="1">
      <c r="A139" s="30" t="inlineStr">
        <is>
          <t>Special Warfare Craft</t>
        </is>
      </c>
      <c r="B139" s="30" t="inlineStr">
        <is>
          <t>Naval Special Warfare craft and swimmer delivery vehicles</t>
        </is>
      </c>
      <c r="C139" s="26" t="inlineStr">
        <is>
          <t>DSB, CCA, CCM, CCH, NSW RHIB, SDV, SWCS, SSC</t>
        </is>
      </c>
    </row>
    <row r="140" ht="10" customHeight="1"/>
    <row r="141" ht="10" customHeight="1">
      <c r="A141" s="46" t="inlineStr">
        <is>
          <t>Unmanned Maritime Platforms (TAM scope)</t>
        </is>
      </c>
      <c r="B141" s="39" t="n"/>
      <c r="C141" s="39" t="n"/>
    </row>
    <row r="142" ht="10" customHeight="1">
      <c r="A142" s="26" t="inlineStr">
        <is>
          <t>Unmanned surface and undersea vehicles.</t>
        </is>
      </c>
    </row>
    <row r="143" ht="10" customHeight="1">
      <c r="A143" s="29" t="inlineStr">
        <is>
          <t>Type</t>
        </is>
      </c>
      <c r="B143" s="29" t="inlineStr">
        <is>
          <t>Description</t>
        </is>
      </c>
      <c r="C143" s="29" t="inlineStr">
        <is>
          <t>Hull Designators</t>
        </is>
      </c>
    </row>
    <row r="144" ht="10" customHeight="1">
      <c r="A144" s="30" t="inlineStr">
        <is>
          <t>Unmanned Surface Vehicles</t>
        </is>
      </c>
      <c r="B144" s="30" t="inlineStr">
        <is>
          <t>Large, medium, small, and very small USVs</t>
        </is>
      </c>
      <c r="C144" s="26" t="inlineStr">
        <is>
          <t>LUSV, MUSV, SUSV, VSUSV</t>
        </is>
      </c>
    </row>
    <row r="145" ht="10" customHeight="1">
      <c r="A145" s="30" t="inlineStr">
        <is>
          <t>Unmanned Undersea Vehicles</t>
        </is>
      </c>
      <c r="B145" s="30" t="inlineStr">
        <is>
          <t>Extra-large, large, medium, and small UUVs</t>
        </is>
      </c>
      <c r="C145" s="26" t="inlineStr">
        <is>
          <t>XLUUV, LUUV, MUUV, SUUV</t>
        </is>
      </c>
    </row>
    <row r="146" ht="10" customHeight="1"/>
    <row r="147" ht="10" customHeight="1">
      <c r="A147" s="46" t="inlineStr">
        <is>
          <t>Support Crafts (excluded from TAM)</t>
        </is>
      </c>
      <c r="B147" s="39" t="n"/>
      <c r="C147" s="39" t="n"/>
    </row>
    <row r="148" ht="10" customHeight="1">
      <c r="A148" s="26" t="inlineStr">
        <is>
          <t>Yard craft, barges, tugs, and harbor support vessels.</t>
        </is>
      </c>
    </row>
    <row r="149" ht="10" customHeight="1">
      <c r="A149" s="29" t="inlineStr">
        <is>
          <t>Type</t>
        </is>
      </c>
      <c r="B149" s="29" t="inlineStr">
        <is>
          <t>Description</t>
        </is>
      </c>
      <c r="C149" s="29" t="inlineStr">
        <is>
          <t>Hull Designators</t>
        </is>
      </c>
    </row>
    <row r="150" ht="10" customHeight="1">
      <c r="A150" s="30" t="inlineStr">
        <is>
          <t>Dry Docks</t>
        </is>
      </c>
      <c r="B150" s="30" t="inlineStr">
        <is>
          <t>Floating dry docks</t>
        </is>
      </c>
      <c r="C150" s="26" t="inlineStr">
        <is>
          <t>AFDL, ARDM, AFDM</t>
        </is>
      </c>
    </row>
    <row r="151" ht="10" customHeight="1">
      <c r="A151" s="30" t="inlineStr">
        <is>
          <t>Harbor Tugs</t>
        </is>
      </c>
      <c r="B151" s="30" t="inlineStr">
        <is>
          <t>Yard and harbor tugboats</t>
        </is>
      </c>
      <c r="C151" s="26" t="inlineStr">
        <is>
          <t>YT, YTB, YTL</t>
        </is>
      </c>
    </row>
    <row r="152" ht="10" customHeight="1">
      <c r="A152" s="30" t="inlineStr">
        <is>
          <t>Lighters &amp; Barges</t>
        </is>
      </c>
      <c r="B152" s="30" t="inlineStr">
        <is>
          <t>Non-self-propelled barges and lighters</t>
        </is>
      </c>
      <c r="C152" s="26" t="inlineStr">
        <is>
          <t>YC, YCV, YFN, YFNX, YFNB, YON, YOS, YWN, YWO</t>
        </is>
      </c>
    </row>
    <row r="153" ht="10" customHeight="1">
      <c r="A153" s="30" t="inlineStr">
        <is>
          <t>Other Craft, Self-Propelled</t>
        </is>
      </c>
      <c r="B153" s="30" t="inlineStr">
        <is>
          <t>Misc. self-propelled yard and special craft</t>
        </is>
      </c>
      <c r="C153" s="26" t="inlineStr">
        <is>
          <t>FSF, SBX, YFB, YP, YSD, YDT, YTT</t>
        </is>
      </c>
    </row>
    <row r="154" ht="10" customHeight="1">
      <c r="A154" s="30" t="inlineStr">
        <is>
          <t>Other Craft, Non-Self-Propelled</t>
        </is>
      </c>
      <c r="B154" s="30" t="inlineStr">
        <is>
          <t>Berthing barges, floating workshops, misc. non-propelled</t>
        </is>
      </c>
      <c r="C154" s="26" t="inlineStr">
        <is>
          <t>APL, YD, YFND, YFP, YR, YRB, YRBM, YRDH, YRDM, IX</t>
        </is>
      </c>
    </row>
    <row r="155" ht="10" customHeight="1">
      <c r="A155" s="30" t="inlineStr">
        <is>
          <t>Sealift Support Craft</t>
        </is>
      </c>
      <c r="B155" s="30" t="inlineStr">
        <is>
          <t>Sealift and marine pre-positioning support craft</t>
        </is>
      </c>
      <c r="C155" s="26" t="inlineStr">
        <is>
          <t>INLS, LCM 8, LARC V, MPF UB, OPDS UB</t>
        </is>
      </c>
    </row>
    <row r="156" ht="10" customHeight="1">
      <c r="A156" s="30" t="inlineStr">
        <is>
          <t>Ships Boats</t>
        </is>
      </c>
      <c r="B156" s="30" t="inlineStr">
        <is>
          <t>Motor rescue boats carried aboard ships</t>
        </is>
      </c>
      <c r="C156" s="26" t="inlineStr">
        <is>
          <t>5MRB, 7MRB, 11MRB</t>
        </is>
      </c>
    </row>
    <row r="157" ht="10" customHeight="1">
      <c r="A157" s="30" t="inlineStr">
        <is>
          <t>Shore-Based Harbor Security Boats</t>
        </is>
      </c>
      <c r="B157" s="30" t="inlineStr">
        <is>
          <t>Harbor security patrol boats</t>
        </is>
      </c>
      <c r="C157" s="26" t="inlineStr">
        <is>
          <t>27HS, 28HS, 32HS, 33HS, 11MHS, 35HS, 36HS</t>
        </is>
      </c>
    </row>
    <row r="158" ht="10" customHeight="1"/>
    <row r="159" ht="10" customHeight="1">
      <c r="A159" s="46" t="inlineStr">
        <is>
          <t>MSC — Military Sealift Command</t>
        </is>
      </c>
      <c r="B159" s="39" t="n"/>
      <c r="C159" s="39" t="n"/>
    </row>
    <row r="160" ht="10" customHeight="1">
      <c r="A160" s="26" t="inlineStr">
        <is>
          <t>Civilian-crewed ships using T- prefix (e.g., T-AO, T-AKE, T-EPF). Shares USN categories and types. Service column = MSC when hull starts with T-.</t>
        </is>
      </c>
    </row>
    <row r="161" ht="10" customHeight="1">
      <c r="A161" s="26" t="inlineStr">
        <is>
          <t>Examples: T-AO (Combat Logistics), T-AGOS (Surveillance), T-EPF (Expeditionary &amp; Seabasing)</t>
        </is>
      </c>
    </row>
    <row r="162" ht="10" customHeight="1"/>
    <row r="163" ht="10" customHeight="1">
      <c r="A163" s="46" t="inlineStr">
        <is>
          <t>USCG — United States Coast Guard</t>
        </is>
      </c>
      <c r="B163" s="39" t="n"/>
      <c r="C163" s="39" t="n"/>
    </row>
    <row r="164" ht="10" customHeight="1">
      <c r="A164" s="26" t="inlineStr">
        <is>
          <t>Cutters and boats. Part of DHS, not DoD.</t>
        </is>
      </c>
    </row>
    <row r="165" ht="10" customHeight="1"/>
    <row r="166" ht="10" customHeight="1">
      <c r="A166" s="46" t="inlineStr">
        <is>
          <t>Cutters (TAM scope)</t>
        </is>
      </c>
      <c r="B166" s="39" t="n"/>
      <c r="C166" s="39" t="n"/>
    </row>
    <row r="167" ht="10" customHeight="1">
      <c r="A167" s="26" t="inlineStr">
        <is>
          <t>Coast Guard cutters — 65 feet and larger.</t>
        </is>
      </c>
    </row>
    <row r="168" ht="10" customHeight="1">
      <c r="A168" s="29" t="inlineStr">
        <is>
          <t>Type</t>
        </is>
      </c>
      <c r="B168" s="29" t="inlineStr">
        <is>
          <t>Description</t>
        </is>
      </c>
      <c r="C168" s="29" t="inlineStr">
        <is>
          <t>Hull Designators</t>
        </is>
      </c>
    </row>
    <row r="169" ht="10" customHeight="1">
      <c r="A169" s="30" t="inlineStr">
        <is>
          <t>Icebreakers, Oceangoing</t>
        </is>
      </c>
      <c r="B169" s="30" t="inlineStr">
        <is>
          <t>Heavy polar icebreakers</t>
        </is>
      </c>
      <c r="C169" s="26" t="inlineStr">
        <is>
          <t>WAGB</t>
        </is>
      </c>
    </row>
    <row r="170" ht="10" customHeight="1">
      <c r="A170" s="30" t="inlineStr">
        <is>
          <t>Icebreakers, Great Lakes</t>
        </is>
      </c>
      <c r="B170" s="30" t="inlineStr">
        <is>
          <t>Great Lakes icebreaking cutters</t>
        </is>
      </c>
      <c r="C170" s="26" t="inlineStr">
        <is>
          <t>WLBB</t>
        </is>
      </c>
    </row>
    <row r="171" ht="10" customHeight="1">
      <c r="A171" s="30" t="inlineStr">
        <is>
          <t>National Security Cutters</t>
        </is>
      </c>
      <c r="B171" s="30" t="inlineStr">
        <is>
          <t>Legend-class national security cutters</t>
        </is>
      </c>
      <c r="C171" s="26" t="inlineStr">
        <is>
          <t>WMSL</t>
        </is>
      </c>
    </row>
    <row r="172" ht="10" customHeight="1">
      <c r="A172" s="30" t="inlineStr">
        <is>
          <t>High Endurance Cutters</t>
        </is>
      </c>
      <c r="B172" s="30" t="inlineStr">
        <is>
          <t>Hamilton-class high endurance cutters (retiring)</t>
        </is>
      </c>
      <c r="C172" s="26" t="inlineStr">
        <is>
          <t>WHEC</t>
        </is>
      </c>
    </row>
    <row r="173" ht="10" customHeight="1">
      <c r="A173" s="30" t="inlineStr">
        <is>
          <t>Medium Endurance Cutters</t>
        </is>
      </c>
      <c r="B173" s="30" t="inlineStr">
        <is>
          <t>270-foot and 210-foot medium endurance cutters</t>
        </is>
      </c>
      <c r="C173" s="26" t="inlineStr">
        <is>
          <t>WMEC</t>
        </is>
      </c>
    </row>
    <row r="174" ht="10" customHeight="1">
      <c r="A174" s="30" t="inlineStr">
        <is>
          <t>Offshore Patrol Cutter</t>
        </is>
      </c>
      <c r="B174" s="30" t="inlineStr">
        <is>
          <t>Heritage-class offshore patrol cutters</t>
        </is>
      </c>
      <c r="C174" s="26" t="inlineStr">
        <is>
          <t>WMSM</t>
        </is>
      </c>
    </row>
    <row r="175" ht="10" customHeight="1">
      <c r="A175" s="30" t="inlineStr">
        <is>
          <t>Fast Response Cutters</t>
        </is>
      </c>
      <c r="B175" s="30" t="inlineStr">
        <is>
          <t>Sentinel-class fast response cutters</t>
        </is>
      </c>
      <c r="C175" s="26" t="inlineStr">
        <is>
          <t>WPC</t>
        </is>
      </c>
    </row>
    <row r="176" ht="10" customHeight="1">
      <c r="A176" s="30" t="inlineStr">
        <is>
          <t>Patrol Boats</t>
        </is>
      </c>
      <c r="B176" s="30" t="inlineStr">
        <is>
          <t>Marine Protector-class patrol boats</t>
        </is>
      </c>
      <c r="C176" s="26" t="inlineStr">
        <is>
          <t>WPB</t>
        </is>
      </c>
    </row>
    <row r="177" ht="10" customHeight="1">
      <c r="A177" s="30" t="inlineStr">
        <is>
          <t>Seagoing Buoy Tenders</t>
        </is>
      </c>
      <c r="B177" s="30" t="inlineStr">
        <is>
          <t>Juniper-class seagoing buoy tenders</t>
        </is>
      </c>
      <c r="C177" s="26" t="inlineStr">
        <is>
          <t>WLB</t>
        </is>
      </c>
    </row>
    <row r="178" ht="10" customHeight="1">
      <c r="A178" s="30" t="inlineStr">
        <is>
          <t>Coastal Buoy Tenders</t>
        </is>
      </c>
      <c r="B178" s="30" t="inlineStr">
        <is>
          <t>Keeper-class coastal buoy tenders</t>
        </is>
      </c>
      <c r="C178" s="26" t="inlineStr">
        <is>
          <t>WLM</t>
        </is>
      </c>
    </row>
    <row r="179" ht="10" customHeight="1">
      <c r="A179" s="30" t="inlineStr">
        <is>
          <t>Inland Construction Tenders</t>
        </is>
      </c>
      <c r="B179" s="30" t="inlineStr">
        <is>
          <t>Inland construction tenders</t>
        </is>
      </c>
      <c r="C179" s="26" t="inlineStr">
        <is>
          <t>WLIC</t>
        </is>
      </c>
    </row>
    <row r="180" ht="10" customHeight="1">
      <c r="A180" s="30" t="inlineStr">
        <is>
          <t>Ice Breaking Tugs</t>
        </is>
      </c>
      <c r="B180" s="30" t="inlineStr">
        <is>
          <t>Ice-breaking harbor tugs</t>
        </is>
      </c>
      <c r="C180" s="26" t="inlineStr">
        <is>
          <t>WTGB</t>
        </is>
      </c>
    </row>
    <row r="181" ht="10" customHeight="1">
      <c r="A181" s="30" t="inlineStr">
        <is>
          <t>River Buoy Tenders</t>
        </is>
      </c>
      <c r="B181" s="30" t="inlineStr">
        <is>
          <t>River buoy tenders</t>
        </is>
      </c>
      <c r="C181" s="26" t="inlineStr">
        <is>
          <t>WLR</t>
        </is>
      </c>
    </row>
    <row r="182" ht="10" customHeight="1">
      <c r="A182" s="30" t="inlineStr">
        <is>
          <t>Inland Buoy Tenders</t>
        </is>
      </c>
      <c r="B182" s="30" t="inlineStr">
        <is>
          <t>Inland buoy tenders</t>
        </is>
      </c>
      <c r="C182" s="26" t="inlineStr">
        <is>
          <t>WLI</t>
        </is>
      </c>
    </row>
    <row r="183" ht="10" customHeight="1">
      <c r="A183" s="30" t="inlineStr">
        <is>
          <t>Small Harbor Tugs</t>
        </is>
      </c>
      <c r="B183" s="30" t="inlineStr">
        <is>
          <t>65-foot small harbor tugs</t>
        </is>
      </c>
      <c r="C183" s="26" t="inlineStr">
        <is>
          <t>WYTL</t>
        </is>
      </c>
    </row>
    <row r="184" ht="10" customHeight="1">
      <c r="A184" s="30" t="inlineStr">
        <is>
          <t>Barque Eagle</t>
        </is>
      </c>
      <c r="B184" s="30" t="inlineStr">
        <is>
          <t>USCG training sailing vessel</t>
        </is>
      </c>
      <c r="C184" s="26" t="inlineStr">
        <is>
          <t>WIX</t>
        </is>
      </c>
    </row>
    <row r="185" ht="10" customHeight="1"/>
    <row r="186" ht="10" customHeight="1">
      <c r="A186" s="46" t="inlineStr">
        <is>
          <t>Boats (excluded from TAM)</t>
        </is>
      </c>
      <c r="B186" s="39" t="n"/>
      <c r="C186" s="39" t="n"/>
    </row>
    <row r="187" ht="10" customHeight="1">
      <c r="A187" s="26" t="inlineStr">
        <is>
          <t>Coast Guard boats — under 65 feet.</t>
        </is>
      </c>
    </row>
    <row r="188" ht="10" customHeight="1">
      <c r="A188" s="29" t="inlineStr">
        <is>
          <t>Type</t>
        </is>
      </c>
      <c r="B188" s="29" t="inlineStr">
        <is>
          <t>Description</t>
        </is>
      </c>
      <c r="C188" s="29" t="inlineStr">
        <is>
          <t>Hull Designators</t>
        </is>
      </c>
    </row>
    <row r="189" ht="10" customHeight="1">
      <c r="A189" s="30" t="inlineStr">
        <is>
          <t>Response Boats</t>
        </is>
      </c>
      <c r="B189" s="30" t="inlineStr">
        <is>
          <t>Motor lifeboats, response boats, transportable port security boats</t>
        </is>
      </c>
      <c r="C189" s="26" t="inlineStr">
        <is>
          <t>MLB, RB-M, TPSB, RB-S II, UTM, UTL</t>
        </is>
      </c>
    </row>
    <row r="190" ht="10" customHeight="1">
      <c r="A190" s="30" t="inlineStr">
        <is>
          <t>Aids to Navigation Boats</t>
        </is>
      </c>
      <c r="B190" s="30" t="inlineStr">
        <is>
          <t>Boats supporting aids to navigation mission</t>
        </is>
      </c>
      <c r="C190" s="26" t="inlineStr">
        <is>
          <t>ANB, BUSL, TANB, AB-S, AB-SKF</t>
        </is>
      </c>
    </row>
    <row r="191" ht="10" customHeight="1">
      <c r="A191" s="30" t="inlineStr">
        <is>
          <t>Cutter Boats</t>
        </is>
      </c>
      <c r="B191" s="30" t="inlineStr">
        <is>
          <t>Small boats deployed from cutters</t>
        </is>
      </c>
      <c r="C191" s="26" t="inlineStr">
        <is>
          <t>CB-LRI, CB-OTH, ASB/LC, MSB, CB-L, CB-ATON, CB-M, CB-S, UTL</t>
        </is>
      </c>
    </row>
    <row r="192" ht="10" customHeight="1">
      <c r="A192" s="30" t="inlineStr">
        <is>
          <t>Special Purpose Craft</t>
        </is>
      </c>
      <c r="B192" s="30" t="inlineStr">
        <is>
          <t>Specialized mission craft</t>
        </is>
      </c>
      <c r="C192" s="26" t="inlineStr">
        <is>
          <t>SPC-SV, SPC-TTB, SPC-TB, SPC-LE, SPC-BTD, SPC-LEO, SPC-SW, SPC-IRT, SKF-ICE, SKF</t>
        </is>
      </c>
    </row>
    <row r="193" ht="10" customHeight="1">
      <c r="A193" s="30" t="inlineStr">
        <is>
          <t>Training Craft</t>
        </is>
      </c>
      <c r="B193" s="30" t="inlineStr">
        <is>
          <t>Academy and training center craft</t>
        </is>
      </c>
      <c r="C193" s="26" t="inlineStr">
        <is>
          <t>CT-64, SB</t>
        </is>
      </c>
    </row>
    <row r="194" ht="10" customHeight="1"/>
    <row r="195" ht="10" customHeight="1">
      <c r="A195" s="27" t="inlineStr">
        <is>
          <t>Vessel Class Reference</t>
        </is>
      </c>
      <c r="B195" s="28" t="n"/>
      <c r="C195" s="28" t="n"/>
    </row>
    <row r="196" ht="10" customHeight="1">
      <c r="A196" s="26" t="inlineStr">
        <is>
          <t>Reference only — not a column in the data sheet. Provides class-level context for hull designators.</t>
        </is>
      </c>
    </row>
    <row r="197" ht="10" customHeight="1"/>
    <row r="198" ht="10" customHeight="1">
      <c r="A198" s="46" t="inlineStr">
        <is>
          <t>CVN</t>
        </is>
      </c>
      <c r="B198" s="39" t="n"/>
      <c r="C198" s="39" t="n"/>
    </row>
    <row r="199" ht="10" customHeight="1">
      <c r="A199" s="29" t="inlineStr">
        <is>
          <t>Class</t>
        </is>
      </c>
      <c r="B199" s="29" t="inlineStr">
        <is>
          <t>Description</t>
        </is>
      </c>
      <c r="C199" s="29" t="inlineStr">
        <is>
          <t>Status</t>
        </is>
      </c>
    </row>
    <row r="200" ht="10" customHeight="1">
      <c r="A200" s="30" t="inlineStr">
        <is>
          <t>Nimitz (CVN-68)</t>
        </is>
      </c>
      <c r="B200" s="30" t="inlineStr">
        <is>
          <t>Nuclear-powered carrier, 10 ships (CVN-68 through CVN-77)</t>
        </is>
      </c>
      <c r="C200" s="26" t="inlineStr">
        <is>
          <t>Active</t>
        </is>
      </c>
    </row>
    <row r="201" ht="10" customHeight="1">
      <c r="A201" s="30" t="inlineStr">
        <is>
          <t>Gerald R. Ford (CVN-78)</t>
        </is>
      </c>
      <c r="B201" s="30" t="inlineStr">
        <is>
          <t>Next-gen nuclear carrier: CVN-78, -79, -80, -81</t>
        </is>
      </c>
      <c r="C201" s="26" t="inlineStr">
        <is>
          <t>Active / under construction</t>
        </is>
      </c>
    </row>
    <row r="202" ht="10" customHeight="1"/>
    <row r="203" ht="10" customHeight="1">
      <c r="A203" s="46" t="inlineStr">
        <is>
          <t>DDG</t>
        </is>
      </c>
      <c r="B203" s="39" t="n"/>
      <c r="C203" s="39" t="n"/>
    </row>
    <row r="204" ht="10" customHeight="1">
      <c r="A204" s="29" t="inlineStr">
        <is>
          <t>Class</t>
        </is>
      </c>
      <c r="B204" s="29" t="inlineStr">
        <is>
          <t>Description</t>
        </is>
      </c>
      <c r="C204" s="29" t="inlineStr">
        <is>
          <t>Status</t>
        </is>
      </c>
    </row>
    <row r="205" ht="10" customHeight="1">
      <c r="A205" s="30" t="inlineStr">
        <is>
          <t>Arleigh Burke (DDG-51)</t>
        </is>
      </c>
      <c r="B205" s="30" t="inlineStr">
        <is>
          <t>Guided-missile destroyer — Flight I/II/IIA/III</t>
        </is>
      </c>
      <c r="C205" s="26" t="inlineStr">
        <is>
          <t>Active / under construction</t>
        </is>
      </c>
    </row>
    <row r="206" ht="10" customHeight="1">
      <c r="A206" s="30" t="inlineStr">
        <is>
          <t>Zumwalt (DDG-1000)</t>
        </is>
      </c>
      <c r="B206" s="30" t="inlineStr">
        <is>
          <t>Multi-mission stealth destroyer, 3 ships</t>
        </is>
      </c>
      <c r="C206" s="26" t="inlineStr">
        <is>
          <t>Active</t>
        </is>
      </c>
    </row>
    <row r="207" ht="10" customHeight="1"/>
    <row r="208" ht="10" customHeight="1">
      <c r="A208" s="46" t="inlineStr">
        <is>
          <t>CG</t>
        </is>
      </c>
      <c r="B208" s="39" t="n"/>
      <c r="C208" s="39" t="n"/>
    </row>
    <row r="209" ht="10" customHeight="1">
      <c r="A209" s="29" t="inlineStr">
        <is>
          <t>Class</t>
        </is>
      </c>
      <c r="B209" s="29" t="inlineStr">
        <is>
          <t>Description</t>
        </is>
      </c>
      <c r="C209" s="29" t="inlineStr">
        <is>
          <t>Status</t>
        </is>
      </c>
    </row>
    <row r="210" ht="10" customHeight="1">
      <c r="A210" s="30" t="inlineStr">
        <is>
          <t>Ticonderoga (CG-47)</t>
        </is>
      </c>
      <c r="B210" s="30" t="inlineStr">
        <is>
          <t>Guided-missile cruiser (being decommissioned)</t>
        </is>
      </c>
      <c r="C210" s="26" t="inlineStr">
        <is>
          <t>Active (retiring)</t>
        </is>
      </c>
    </row>
    <row r="211" ht="10" customHeight="1"/>
    <row r="212" ht="10" customHeight="1">
      <c r="A212" s="46" t="inlineStr">
        <is>
          <t>FFG</t>
        </is>
      </c>
      <c r="B212" s="39" t="n"/>
      <c r="C212" s="39" t="n"/>
    </row>
    <row r="213" ht="10" customHeight="1">
      <c r="A213" s="29" t="inlineStr">
        <is>
          <t>Class</t>
        </is>
      </c>
      <c r="B213" s="29" t="inlineStr">
        <is>
          <t>Description</t>
        </is>
      </c>
      <c r="C213" s="29" t="inlineStr">
        <is>
          <t>Status</t>
        </is>
      </c>
    </row>
    <row r="214" ht="10" customHeight="1">
      <c r="A214" s="30" t="inlineStr">
        <is>
          <t>Constellation (FFG-62)</t>
        </is>
      </c>
      <c r="B214" s="30" t="inlineStr">
        <is>
          <t>Next-generation guided-missile frigate</t>
        </is>
      </c>
      <c r="C214" s="26" t="inlineStr">
        <is>
          <t>Under construction</t>
        </is>
      </c>
    </row>
    <row r="215" ht="10" customHeight="1"/>
    <row r="216" ht="10" customHeight="1">
      <c r="A216" s="46" t="inlineStr">
        <is>
          <t>LCS</t>
        </is>
      </c>
      <c r="B216" s="39" t="n"/>
      <c r="C216" s="39" t="n"/>
    </row>
    <row r="217" ht="10" customHeight="1">
      <c r="A217" s="29" t="inlineStr">
        <is>
          <t>Class</t>
        </is>
      </c>
      <c r="B217" s="29" t="inlineStr">
        <is>
          <t>Description</t>
        </is>
      </c>
      <c r="C217" s="29" t="inlineStr">
        <is>
          <t>Status</t>
        </is>
      </c>
    </row>
    <row r="218" ht="10" customHeight="1">
      <c r="A218" s="30" t="inlineStr">
        <is>
          <t>Freedom (LCS-1)</t>
        </is>
      </c>
      <c r="B218" s="30" t="inlineStr">
        <is>
          <t>Littoral combat ship — Freedom variant</t>
        </is>
      </c>
      <c r="C218" s="26" t="inlineStr">
        <is>
          <t>Active</t>
        </is>
      </c>
    </row>
    <row r="219" ht="10" customHeight="1">
      <c r="A219" s="30" t="inlineStr">
        <is>
          <t>Independence (LCS-2)</t>
        </is>
      </c>
      <c r="B219" s="30" t="inlineStr">
        <is>
          <t>Littoral combat ship — Independence variant</t>
        </is>
      </c>
      <c r="C219" s="26" t="inlineStr">
        <is>
          <t>Active</t>
        </is>
      </c>
    </row>
    <row r="220" ht="10" customHeight="1"/>
    <row r="221" ht="10" customHeight="1">
      <c r="A221" s="46" t="inlineStr">
        <is>
          <t>SSN / SSBN</t>
        </is>
      </c>
      <c r="B221" s="39" t="n"/>
      <c r="C221" s="39" t="n"/>
    </row>
    <row r="222" ht="10" customHeight="1">
      <c r="A222" s="29" t="inlineStr">
        <is>
          <t>Class</t>
        </is>
      </c>
      <c r="B222" s="29" t="inlineStr">
        <is>
          <t>Description</t>
        </is>
      </c>
      <c r="C222" s="29" t="inlineStr">
        <is>
          <t>Status</t>
        </is>
      </c>
    </row>
    <row r="223" ht="10" customHeight="1">
      <c r="A223" s="30" t="inlineStr">
        <is>
          <t>Los Angeles (SSN-688)</t>
        </is>
      </c>
      <c r="B223" s="30" t="inlineStr">
        <is>
          <t>Nuclear attack submarine — largest SSN class</t>
        </is>
      </c>
      <c r="C223" s="26" t="inlineStr">
        <is>
          <t>Active (retiring)</t>
        </is>
      </c>
    </row>
    <row r="224" ht="10" customHeight="1">
      <c r="A224" s="30" t="inlineStr">
        <is>
          <t>Seawolf (SSN-21)</t>
        </is>
      </c>
      <c r="B224" s="30" t="inlineStr">
        <is>
          <t>Nuclear attack submarine, 3 ships</t>
        </is>
      </c>
      <c r="C224" s="26" t="inlineStr">
        <is>
          <t>Active</t>
        </is>
      </c>
    </row>
    <row r="225" ht="10" customHeight="1">
      <c r="A225" s="30" t="inlineStr">
        <is>
          <t>Virginia (SSN-774)</t>
        </is>
      </c>
      <c r="B225" s="30" t="inlineStr">
        <is>
          <t>Nuclear attack submarine — Block I through V</t>
        </is>
      </c>
      <c r="C225" s="26" t="inlineStr">
        <is>
          <t>Active / under construction</t>
        </is>
      </c>
    </row>
    <row r="226" ht="10" customHeight="1">
      <c r="A226" s="30" t="inlineStr">
        <is>
          <t>Ohio (SSBN-726 / SSGN-726)</t>
        </is>
      </c>
      <c r="B226" s="30" t="inlineStr">
        <is>
          <t>Fleet ballistic missile sub (SSBN) and guided-missile sub (SSGN)</t>
        </is>
      </c>
      <c r="C226" s="26" t="inlineStr">
        <is>
          <t>Active (retiring)</t>
        </is>
      </c>
    </row>
    <row r="227" ht="10" customHeight="1">
      <c r="A227" s="30" t="inlineStr">
        <is>
          <t>Columbia (SSBN-826)</t>
        </is>
      </c>
      <c r="B227" s="30" t="inlineStr">
        <is>
          <t>Next-gen ballistic missile submarine</t>
        </is>
      </c>
      <c r="C227" s="26" t="inlineStr">
        <is>
          <t>Under construction</t>
        </is>
      </c>
    </row>
    <row r="228" ht="10" customHeight="1"/>
    <row r="229" ht="10" customHeight="1">
      <c r="A229" s="46" t="inlineStr">
        <is>
          <t>LHA / LHD / LPD / LSD</t>
        </is>
      </c>
      <c r="B229" s="39" t="n"/>
      <c r="C229" s="39" t="n"/>
    </row>
    <row r="230" ht="10" customHeight="1">
      <c r="A230" s="29" t="inlineStr">
        <is>
          <t>Class</t>
        </is>
      </c>
      <c r="B230" s="29" t="inlineStr">
        <is>
          <t>Description</t>
        </is>
      </c>
      <c r="C230" s="29" t="inlineStr">
        <is>
          <t>Status</t>
        </is>
      </c>
    </row>
    <row r="231" ht="10" customHeight="1">
      <c r="A231" s="30" t="inlineStr">
        <is>
          <t>America (LHA-6)</t>
        </is>
      </c>
      <c r="B231" s="30" t="inlineStr">
        <is>
          <t>Amphibious assault ship</t>
        </is>
      </c>
      <c r="C231" s="26" t="inlineStr">
        <is>
          <t>Active / under construction</t>
        </is>
      </c>
    </row>
    <row r="232" ht="10" customHeight="1">
      <c r="A232" s="30" t="inlineStr">
        <is>
          <t>Wasp (LHD-1)</t>
        </is>
      </c>
      <c r="B232" s="30" t="inlineStr">
        <is>
          <t>Multipurpose amphibious assault ship, 8 ships</t>
        </is>
      </c>
      <c r="C232" s="26" t="inlineStr">
        <is>
          <t>Active</t>
        </is>
      </c>
    </row>
    <row r="233" ht="10" customHeight="1">
      <c r="A233" s="30" t="inlineStr">
        <is>
          <t>San Antonio (LPD-17)</t>
        </is>
      </c>
      <c r="B233" s="30" t="inlineStr">
        <is>
          <t>Amphibious transport dock — Flight I and II</t>
        </is>
      </c>
      <c r="C233" s="26" t="inlineStr">
        <is>
          <t>Active / under construction</t>
        </is>
      </c>
    </row>
    <row r="234" ht="10" customHeight="1">
      <c r="A234" s="30" t="inlineStr">
        <is>
          <t>Whidbey Island / Harpers Ferry (LSD-41/49)</t>
        </is>
      </c>
      <c r="B234" s="30" t="inlineStr">
        <is>
          <t>Dock landing ships (replaced by LPD Flight II)</t>
        </is>
      </c>
      <c r="C234" s="26" t="inlineStr">
        <is>
          <t>Active (retiring)</t>
        </is>
      </c>
    </row>
    <row r="235" ht="10" customHeight="1"/>
    <row r="236" ht="10" customHeight="1">
      <c r="A236" s="46" t="inlineStr">
        <is>
          <t>MCM</t>
        </is>
      </c>
      <c r="B236" s="39" t="n"/>
      <c r="C236" s="39" t="n"/>
    </row>
    <row r="237" ht="10" customHeight="1">
      <c r="A237" s="29" t="inlineStr">
        <is>
          <t>Class</t>
        </is>
      </c>
      <c r="B237" s="29" t="inlineStr">
        <is>
          <t>Description</t>
        </is>
      </c>
      <c r="C237" s="29" t="inlineStr">
        <is>
          <t>Status</t>
        </is>
      </c>
    </row>
    <row r="238" ht="10" customHeight="1">
      <c r="A238" s="30" t="inlineStr">
        <is>
          <t>Avenger (MCM-1)</t>
        </is>
      </c>
      <c r="B238" s="30" t="inlineStr">
        <is>
          <t>Mine countermeasures ship</t>
        </is>
      </c>
      <c r="C238" s="26" t="inlineStr">
        <is>
          <t>Active (retiring)</t>
        </is>
      </c>
    </row>
    <row r="239" ht="10" customHeight="1"/>
    <row r="240" ht="10" customHeight="1">
      <c r="A240" s="46" t="inlineStr">
        <is>
          <t>Oilers / Logistics</t>
        </is>
      </c>
      <c r="B240" s="39" t="n"/>
      <c r="C240" s="39" t="n"/>
    </row>
    <row r="241" ht="10" customHeight="1">
      <c r="A241" s="29" t="inlineStr">
        <is>
          <t>Class</t>
        </is>
      </c>
      <c r="B241" s="29" t="inlineStr">
        <is>
          <t>Description</t>
        </is>
      </c>
      <c r="C241" s="29" t="inlineStr">
        <is>
          <t>Status</t>
        </is>
      </c>
    </row>
    <row r="242" ht="10" customHeight="1">
      <c r="A242" s="30" t="inlineStr">
        <is>
          <t>Henry J. Kaiser (T-AO 187)</t>
        </is>
      </c>
      <c r="B242" s="30" t="inlineStr">
        <is>
          <t>Fleet replenishment oiler (MSC)</t>
        </is>
      </c>
      <c r="C242" s="26" t="inlineStr">
        <is>
          <t>Active</t>
        </is>
      </c>
    </row>
    <row r="243" ht="10" customHeight="1">
      <c r="A243" s="30" t="inlineStr">
        <is>
          <t>John Lewis (T-AO 205)</t>
        </is>
      </c>
      <c r="B243" s="30" t="inlineStr">
        <is>
          <t>Next-gen fleet replenishment oiler (MSC)</t>
        </is>
      </c>
      <c r="C243" s="26" t="inlineStr">
        <is>
          <t>Under construction</t>
        </is>
      </c>
    </row>
    <row r="244" ht="10" customHeight="1">
      <c r="A244" s="30" t="inlineStr">
        <is>
          <t>Lewis and Clark (T-AKE)</t>
        </is>
      </c>
      <c r="B244" s="30" t="inlineStr">
        <is>
          <t>Dry cargo/ammunition ship (MSC)</t>
        </is>
      </c>
      <c r="C244" s="26" t="inlineStr">
        <is>
          <t>Active</t>
        </is>
      </c>
    </row>
    <row r="245" ht="10" customHeight="1">
      <c r="A245" s="30" t="inlineStr">
        <is>
          <t>Supply (T-AOE 6)</t>
        </is>
      </c>
      <c r="B245" s="30" t="inlineStr">
        <is>
          <t>Fast combat support ship</t>
        </is>
      </c>
      <c r="C245" s="26" t="inlineStr">
        <is>
          <t>Inactive</t>
        </is>
      </c>
    </row>
    <row r="246" ht="10" customHeight="1"/>
    <row r="247" ht="10" customHeight="1">
      <c r="A247" s="46" t="inlineStr">
        <is>
          <t>Expeditionary / Special</t>
        </is>
      </c>
      <c r="B247" s="39" t="n"/>
      <c r="C247" s="39" t="n"/>
    </row>
    <row r="248" ht="10" customHeight="1">
      <c r="A248" s="29" t="inlineStr">
        <is>
          <t>Class</t>
        </is>
      </c>
      <c r="B248" s="29" t="inlineStr">
        <is>
          <t>Description</t>
        </is>
      </c>
      <c r="C248" s="29" t="inlineStr">
        <is>
          <t>Status</t>
        </is>
      </c>
    </row>
    <row r="249" ht="10" customHeight="1">
      <c r="A249" s="30" t="inlineStr">
        <is>
          <t>Spearhead (T-EPF)</t>
        </is>
      </c>
      <c r="B249" s="30" t="inlineStr">
        <is>
          <t>Expeditionary fast transport (MSC)</t>
        </is>
      </c>
      <c r="C249" s="26" t="inlineStr">
        <is>
          <t>Active</t>
        </is>
      </c>
    </row>
    <row r="250" ht="10" customHeight="1">
      <c r="A250" s="30" t="inlineStr">
        <is>
          <t>Lewis B. Puller (T-ESB)</t>
        </is>
      </c>
      <c r="B250" s="30" t="inlineStr">
        <is>
          <t>Expeditionary sea base (MSC)</t>
        </is>
      </c>
      <c r="C250" s="26" t="inlineStr">
        <is>
          <t>Active</t>
        </is>
      </c>
    </row>
    <row r="251" ht="10" customHeight="1">
      <c r="A251" s="30" t="inlineStr">
        <is>
          <t>Medium Landing Ship (LSM)</t>
        </is>
      </c>
      <c r="B251" s="30" t="inlineStr">
        <is>
          <t>New program — medium amphibious landing ship</t>
        </is>
      </c>
      <c r="C251" s="26" t="inlineStr">
        <is>
          <t>Under development</t>
        </is>
      </c>
    </row>
    <row r="252" ht="10" customHeight="1">
      <c r="A252" s="30" t="inlineStr">
        <is>
          <t>Ship to Shore Connector (SSC / LCAC 100)</t>
        </is>
      </c>
      <c r="B252" s="30" t="inlineStr">
        <is>
          <t>Next-gen landing craft air cushion</t>
        </is>
      </c>
      <c r="C252" s="26" t="inlineStr">
        <is>
          <t>Under construction</t>
        </is>
      </c>
    </row>
    <row r="253" ht="10" customHeight="1">
      <c r="A253" s="30" t="inlineStr">
        <is>
          <t>LCU 1700</t>
        </is>
      </c>
      <c r="B253" s="30" t="inlineStr">
        <is>
          <t>Landing craft utility — next generation</t>
        </is>
      </c>
      <c r="C253" s="26" t="inlineStr">
        <is>
          <t>Under construction</t>
        </is>
      </c>
    </row>
    <row r="254" ht="10" customHeight="1"/>
    <row r="255" ht="10" customHeight="1">
      <c r="A255" s="46" t="inlineStr">
        <is>
          <t>Command / Support</t>
        </is>
      </c>
      <c r="B255" s="39" t="n"/>
      <c r="C255" s="39" t="n"/>
    </row>
    <row r="256" ht="10" customHeight="1">
      <c r="A256" s="29" t="inlineStr">
        <is>
          <t>Class</t>
        </is>
      </c>
      <c r="B256" s="29" t="inlineStr">
        <is>
          <t>Description</t>
        </is>
      </c>
      <c r="C256" s="29" t="inlineStr">
        <is>
          <t>Status</t>
        </is>
      </c>
    </row>
    <row r="257" ht="10" customHeight="1">
      <c r="A257" s="30" t="inlineStr">
        <is>
          <t>Blue Ridge (LCC-19/20)</t>
        </is>
      </c>
      <c r="B257" s="30" t="inlineStr">
        <is>
          <t>Amphibious command ship</t>
        </is>
      </c>
      <c r="C257" s="26" t="inlineStr">
        <is>
          <t>Active</t>
        </is>
      </c>
    </row>
    <row r="258" ht="10" customHeight="1">
      <c r="A258" s="30" t="inlineStr">
        <is>
          <t>Emory S. Land (AS-39)</t>
        </is>
      </c>
      <c r="B258" s="30" t="inlineStr">
        <is>
          <t>Submarine tender</t>
        </is>
      </c>
      <c r="C258" s="26" t="inlineStr">
        <is>
          <t>Active</t>
        </is>
      </c>
    </row>
    <row r="259" ht="10" customHeight="1">
      <c r="A259" s="30" t="inlineStr">
        <is>
          <t>Victorious (T-AGOS 19)</t>
        </is>
      </c>
      <c r="B259" s="30" t="inlineStr">
        <is>
          <t>Ocean surveillance ship (MSC)</t>
        </is>
      </c>
      <c r="C259" s="26" t="inlineStr">
        <is>
          <t>Active</t>
        </is>
      </c>
    </row>
    <row r="260" ht="10" customHeight="1">
      <c r="A260" s="30" t="inlineStr">
        <is>
          <t>Pathfinder (T-AGS 60)</t>
        </is>
      </c>
      <c r="B260" s="30" t="inlineStr">
        <is>
          <t>Oceanographic survey ship (MSC)</t>
        </is>
      </c>
      <c r="C260" s="26" t="inlineStr">
        <is>
          <t>Active</t>
        </is>
      </c>
    </row>
    <row r="261" ht="10" customHeight="1">
      <c r="A261" s="30" t="inlineStr">
        <is>
          <t>Mercy (T-AH 19)</t>
        </is>
      </c>
      <c r="B261" s="30" t="inlineStr">
        <is>
          <t>Hospital ship (MSC)</t>
        </is>
      </c>
      <c r="C261" s="26" t="inlineStr">
        <is>
          <t>Active</t>
        </is>
      </c>
    </row>
    <row r="262" ht="10" customHeight="1">
      <c r="A262" s="30" t="inlineStr">
        <is>
          <t>Navajo (T-ATS)</t>
        </is>
      </c>
      <c r="B262" s="30" t="inlineStr">
        <is>
          <t>Towing/salvage/rescue ship (MSC)</t>
        </is>
      </c>
      <c r="C262" s="26" t="inlineStr">
        <is>
          <t>Under construction</t>
        </is>
      </c>
    </row>
    <row r="263" ht="10" customHeight="1">
      <c r="A263" s="30" t="inlineStr">
        <is>
          <t>Safeguard (ARS-50)</t>
        </is>
      </c>
      <c r="B263" s="30" t="inlineStr">
        <is>
          <t>Rescue and salvage ship</t>
        </is>
      </c>
      <c r="C263" s="26" t="inlineStr">
        <is>
          <t>Active</t>
        </is>
      </c>
    </row>
    <row r="264" ht="10" customHeight="1"/>
    <row r="265" ht="10" customHeight="1">
      <c r="A265" s="46" t="inlineStr">
        <is>
          <t>USCG</t>
        </is>
      </c>
      <c r="B265" s="39" t="n"/>
      <c r="C265" s="39" t="n"/>
    </row>
    <row r="266" ht="10" customHeight="1">
      <c r="A266" s="29" t="inlineStr">
        <is>
          <t>Class</t>
        </is>
      </c>
      <c r="B266" s="29" t="inlineStr">
        <is>
          <t>Description</t>
        </is>
      </c>
      <c r="C266" s="29" t="inlineStr">
        <is>
          <t>Status</t>
        </is>
      </c>
    </row>
    <row r="267" ht="10" customHeight="1">
      <c r="A267" s="30" t="inlineStr">
        <is>
          <t>Legend (WMSL-750)</t>
        </is>
      </c>
      <c r="B267" s="30" t="inlineStr">
        <is>
          <t>National Security Cutter</t>
        </is>
      </c>
      <c r="C267" s="26" t="inlineStr">
        <is>
          <t>Active</t>
        </is>
      </c>
    </row>
    <row r="268" ht="10" customHeight="1">
      <c r="A268" s="30" t="inlineStr">
        <is>
          <t>Heritage (WMSM-920)</t>
        </is>
      </c>
      <c r="B268" s="30" t="inlineStr">
        <is>
          <t>Offshore Patrol Cutter</t>
        </is>
      </c>
      <c r="C268" s="26" t="inlineStr">
        <is>
          <t>Under construction</t>
        </is>
      </c>
    </row>
    <row r="269" ht="10" customHeight="1">
      <c r="A269" s="30" t="inlineStr">
        <is>
          <t>Sentinel (WPC-1101)</t>
        </is>
      </c>
      <c r="B269" s="30" t="inlineStr">
        <is>
          <t>Fast Response Cutter</t>
        </is>
      </c>
      <c r="C269" s="26" t="inlineStr">
        <is>
          <t>Active / under construction</t>
        </is>
      </c>
    </row>
    <row r="270" ht="10" customHeight="1">
      <c r="A270" s="30" t="inlineStr">
        <is>
          <t>Famous (WMEC-270)</t>
        </is>
      </c>
      <c r="B270" s="30" t="inlineStr">
        <is>
          <t>270-foot medium endurance cutter</t>
        </is>
      </c>
      <c r="C270" s="26" t="inlineStr">
        <is>
          <t>Active</t>
        </is>
      </c>
    </row>
    <row r="271" ht="10" customHeight="1">
      <c r="A271" s="30" t="inlineStr">
        <is>
          <t>Reliance (WMEC-210)</t>
        </is>
      </c>
      <c r="B271" s="30" t="inlineStr">
        <is>
          <t>210-foot medium endurance cutter</t>
        </is>
      </c>
      <c r="C271" s="26" t="inlineStr">
        <is>
          <t>Retiring</t>
        </is>
      </c>
    </row>
    <row r="272" ht="10" customHeight="1">
      <c r="A272" s="30" t="inlineStr">
        <is>
          <t>Polar (WAGB-10)</t>
        </is>
      </c>
      <c r="B272" s="30" t="inlineStr">
        <is>
          <t>Polar-class heavy icebreaker</t>
        </is>
      </c>
      <c r="C272" s="26" t="inlineStr">
        <is>
          <t>Active (beyond service life)</t>
        </is>
      </c>
    </row>
    <row r="273" ht="10" customHeight="1">
      <c r="A273" s="30" t="inlineStr">
        <is>
          <t>Polar Security Cutter (WAGB)</t>
        </is>
      </c>
      <c r="B273" s="30" t="inlineStr">
        <is>
          <t>New heavy polar icebreaker program</t>
        </is>
      </c>
      <c r="C273" s="26" t="inlineStr">
        <is>
          <t>Under construction</t>
        </is>
      </c>
    </row>
    <row r="274" ht="10" customHeight="1">
      <c r="A274" s="30" t="inlineStr">
        <is>
          <t>Mackinaw (WLBB-30)</t>
        </is>
      </c>
      <c r="B274" s="30" t="inlineStr">
        <is>
          <t>Great Lakes icebreaker</t>
        </is>
      </c>
      <c r="C274" s="26" t="inlineStr">
        <is>
          <t>Active</t>
        </is>
      </c>
    </row>
    <row r="275" ht="10" customHeight="1">
      <c r="A275" s="30" t="inlineStr">
        <is>
          <t>Juniper (WLB-201)</t>
        </is>
      </c>
      <c r="B275" s="30" t="inlineStr">
        <is>
          <t>Seagoing buoy tender</t>
        </is>
      </c>
      <c r="C275" s="26" t="inlineStr">
        <is>
          <t>Active</t>
        </is>
      </c>
    </row>
    <row r="276" ht="10" customHeight="1">
      <c r="A276" s="30" t="inlineStr">
        <is>
          <t>Keeper (WLM-551)</t>
        </is>
      </c>
      <c r="B276" s="30" t="inlineStr">
        <is>
          <t>Coastal buoy tender</t>
        </is>
      </c>
      <c r="C276" s="26" t="inlineStr">
        <is>
          <t>Active</t>
        </is>
      </c>
    </row>
    <row r="277" ht="10" customHeight="1"/>
    <row r="278" ht="10" customHeight="1">
      <c r="A278" s="27" t="inlineStr">
        <is>
          <t>Vessel Column Standardization Rules</t>
        </is>
      </c>
      <c r="B278" s="28" t="n"/>
      <c r="C278" s="28" t="n"/>
    </row>
    <row r="279" ht="10" customHeight="1">
      <c r="A279" s="26" t="inlineStr">
        <is>
          <t>Rules governing how Vessel Service, Category, Type, and Hull columns are populated</t>
        </is>
      </c>
    </row>
    <row r="280" ht="10" customHeight="1">
      <c r="A280" s="29" t="inlineStr">
        <is>
          <t>Rule</t>
        </is>
      </c>
      <c r="B280" s="29" t="inlineStr">
        <is>
          <t>Description</t>
        </is>
      </c>
      <c r="C280" s="29" t="inlineStr">
        <is>
          <t>Notes</t>
        </is>
      </c>
    </row>
    <row r="281" ht="10" customHeight="1">
      <c r="A281" s="30" t="inlineStr">
        <is>
          <t>4-column vessel hierarchy</t>
        </is>
      </c>
      <c r="B281" s="30" t="inlineStr">
        <is>
          <t>Vessel data split into: Vessel_Service (USN/USCG/MSC), Vessel_Category, Vessel_Type, Vessel_Hull.</t>
        </is>
      </c>
      <c r="C281" s="26" t="inlineStr">
        <is>
          <t>Each column progressively more specific.</t>
        </is>
      </c>
    </row>
    <row r="282" ht="10" customHeight="1">
      <c r="A282" s="30" t="inlineStr">
        <is>
          <t>Service determined by hull and source</t>
        </is>
      </c>
      <c r="B282" s="30" t="inlineStr">
        <is>
          <t>MSC when hull starts with T-. USCG for Cutters/Boats categories or USCG source book. All others USN.</t>
        </is>
      </c>
    </row>
    <row r="283" ht="10" customHeight="1">
      <c r="A283" s="30" t="inlineStr">
        <is>
          <t>Multi-type / multi-hull rows blanked</t>
        </is>
      </c>
      <c r="B283" s="30" t="inlineStr">
        <is>
          <t>If a line item applies to multiple vessel types or hulls, all 4 vessel columns are blank.</t>
        </is>
      </c>
      <c r="C283" s="26" t="inlineStr">
        <is>
          <t>Description or Citation preserves original scope.</t>
        </is>
      </c>
    </row>
    <row r="284" ht="10" customHeight="1">
      <c r="A284" s="30" t="inlineStr">
        <is>
          <t>Vague values blanked</t>
        </is>
      </c>
      <c r="B284" s="30" t="inlineStr">
        <is>
          <t>Values like 'Multiple', 'Afloat (various)', 'N/A' that cannot map to a single canonical type are blanked.</t>
        </is>
      </c>
    </row>
    <row r="285" ht="10" customHeight="1">
      <c r="A285" s="30" t="inlineStr">
        <is>
          <t>Hull extracted from class or type</t>
        </is>
      </c>
      <c r="B285" s="30" t="inlineStr">
        <is>
          <t>Hull derived first from vessel class (Arleigh Burke → DDG). If no class but type was specific, hull extracted from type.</t>
        </is>
      </c>
    </row>
    <row r="286" ht="10" customHeight="1">
      <c r="A286" s="30" t="inlineStr">
        <is>
          <t>Type has no parentheticals</t>
        </is>
      </c>
      <c r="B286" s="30" t="inlineStr">
        <is>
          <t>Vessel_Type uses base name only (e.g., 'Surface Combatants'). Hull abbreviations belong in Vessel_Hull.</t>
        </is>
      </c>
    </row>
    <row r="287" ht="10" customHeight="1">
      <c r="A287" s="30" t="inlineStr">
        <is>
          <t>Blank stays blank</t>
        </is>
      </c>
      <c r="B287" s="30" t="inlineStr">
        <is>
          <t>If vessel info was originally blank, all 4 vessel columns remain blank.</t>
        </is>
      </c>
    </row>
    <row r="288" ht="10" customHeight="1"/>
    <row r="289" ht="10" customHeight="1">
      <c r="A289" s="27" t="inlineStr">
        <is>
          <t>Derived &amp; Helper Columns</t>
        </is>
      </c>
      <c r="B289" s="28" t="n"/>
      <c r="C289" s="28" t="n"/>
    </row>
    <row r="290" ht="10" customHeight="1">
      <c r="A290" s="26" t="inlineStr">
        <is>
          <t>Columns added by the build script for formula simplification and cost category analysis</t>
        </is>
      </c>
    </row>
    <row r="291" ht="10" customHeight="1"/>
    <row r="292" ht="10" customHeight="1">
      <c r="A292" s="46" t="inlineStr">
        <is>
          <t>Derived Columns (v4.0)</t>
        </is>
      </c>
      <c r="B292" s="39" t="n"/>
      <c r="C292" s="39" t="n"/>
    </row>
    <row r="293" ht="10" customHeight="1">
      <c r="A293" s="29" t="inlineStr">
        <is>
          <t>Column</t>
        </is>
      </c>
      <c r="B293" s="29" t="inlineStr">
        <is>
          <t>Description</t>
        </is>
      </c>
      <c r="C293" s="29" t="inlineStr">
        <is>
          <t>Details</t>
        </is>
      </c>
    </row>
    <row r="294" ht="10" customHeight="1">
      <c r="A294" s="30" t="inlineStr">
        <is>
          <t>Exhibit Level (col G)</t>
        </is>
      </c>
      <c r="B294" s="30" t="inlineStr">
        <is>
          <t>Populated for [ALT_VIEW] rows. Values: "P-5c", "P-8a", "P-35", or blank. Parsed from the Line Item Title.</t>
        </is>
      </c>
      <c r="C294" s="26" t="inlineStr">
        <is>
          <t>P-8a rows require a known cost category in the title. Blank for non-ALT_VIEW.</t>
        </is>
      </c>
    </row>
    <row r="295" ht="10" customHeight="1">
      <c r="A295" s="30" t="inlineStr">
        <is>
          <t>Cost Category (col H)</t>
        </is>
      </c>
      <c r="B295" s="30" t="inlineStr">
        <is>
          <t>Populated for [ALT_VIEW] rows. One of 9 P-5c cost categories, or blank. For P-5c: extracted from title. For P-8a: parent P-5c category.</t>
        </is>
      </c>
      <c r="C295" s="26" t="inlineStr">
        <is>
          <t>Valid: Plan Costs, Basic Construction, Change Orders, Electronics, Propulsion Equipment, Hull Mechanical and Electrical, Ordnance, Other Cost, Technology Insertion.</t>
        </is>
      </c>
    </row>
    <row r="296" ht="10" customHeight="1"/>
    <row r="297" ht="10" customHeight="1">
      <c r="A297" s="46" t="inlineStr">
        <is>
          <t>Helper Columns (v5.14)</t>
        </is>
      </c>
      <c r="B297" s="39" t="n"/>
      <c r="C297" s="39" t="n"/>
    </row>
    <row r="298" ht="10" customHeight="1">
      <c r="A298" s="29" t="inlineStr">
        <is>
          <t>Column</t>
        </is>
      </c>
      <c r="B298" s="29" t="inlineStr">
        <is>
          <t>Description</t>
        </is>
      </c>
      <c r="C298" s="29" t="inlineStr">
        <is>
          <t>Formula</t>
        </is>
      </c>
    </row>
    <row r="299" ht="10" customHeight="1">
      <c r="A299" s="30" t="inlineStr">
        <is>
          <t>Row Class (col AC)</t>
        </is>
      </c>
      <c r="B299" s="30" t="inlineStr">
        <is>
          <t>Classifies each row: "ADD" for additive (blank or [PARENT]), "ALT" for [ALT_VIEW], blank for others.</t>
        </is>
      </c>
      <c r="C299" s="26">
        <f>IF(OR(E="",E="[PARENT]"),"ADD",IF(E="[ALT_VIEW]","ALT",""))</f>
        <v/>
      </c>
    </row>
    <row r="300" ht="10" customHeight="1">
      <c r="A300" s="30" t="inlineStr">
        <is>
          <t>FY26 Best ($K) (col AD)</t>
        </is>
      </c>
      <c r="B300" s="30" t="inlineStr">
        <is>
          <t>Pre-computed FY2026 cascade. Picks first non-blank: DAA Enacted (Y), Total (U), Request (S).</t>
        </is>
      </c>
      <c r="C300" s="26">
        <f>IF(Y&lt;&gt;"",Y,IF(U&lt;&gt;"",U,S))</f>
        <v/>
      </c>
    </row>
    <row r="301" ht="10" customHeight="1">
      <c r="A301" s="30" t="inlineStr">
        <is>
          <t>FY27 Best ($K) (col AE)</t>
        </is>
      </c>
      <c r="B301" s="30" t="inlineStr">
        <is>
          <t>Pre-computed FY2027 cascade. Picks first non-blank: Total (AB), Request (Z).</t>
        </is>
      </c>
      <c r="C301" s="26">
        <f>IF(AB&lt;&gt;"",AB,Z)</f>
        <v/>
      </c>
    </row>
    <row r="302" ht="10" customHeight="1"/>
    <row r="303" ht="10" customHeight="1">
      <c r="A303" s="46" t="inlineStr">
        <is>
          <t>Formula Simplification Impact</t>
        </is>
      </c>
      <c r="B303" s="39" t="n"/>
      <c r="C303" s="39" t="n"/>
    </row>
    <row r="304" ht="10" customHeight="1">
      <c r="A304" s="30" t="inlineStr">
        <is>
          <t>Before v5.14</t>
        </is>
      </c>
      <c r="B304" s="30" t="inlineStr">
        <is>
          <t>Every SUMIFS encoded cascade inline — 2 row types × 3 value columns = 6 SUMIFS per FY26 condition.</t>
        </is>
      </c>
      <c r="C304" s="26" t="inlineStr">
        <is>
          <t>Max formula: 6,013 chars / 84 SUMIFS</t>
        </is>
      </c>
    </row>
    <row r="305" ht="10" customHeight="1">
      <c r="A305" s="30" t="inlineStr">
        <is>
          <t>After v5.14</t>
        </is>
      </c>
      <c r="B305" s="30" t="inlineStr">
        <is>
          <t>Each formula reduces to 1 SUMIFS: =SUMIFS(JB_26BV, ..., JB_RC, "ADD"). Helper columns are live formulas.</t>
        </is>
      </c>
      <c r="C305" s="26" t="inlineStr">
        <is>
          <t>Max formula: 853 chars / 14 SUMIFS (86% reduction)</t>
        </is>
      </c>
    </row>
    <row r="306" ht="10" customHeight="1"/>
    <row r="307" ht="10" customHeight="1">
      <c r="A307" s="27" t="inlineStr">
        <is>
          <t>Named Ranges</t>
        </is>
      </c>
      <c r="B307" s="28" t="n"/>
      <c r="C307" s="28" t="n"/>
    </row>
    <row r="308" ht="10" customHeight="1">
      <c r="A308" s="26" t="inlineStr">
        <is>
          <t>Named ranges defined on J Book Items Cons. for use in SUMIFS formulas across all analysis sheets</t>
        </is>
      </c>
    </row>
    <row r="309" ht="10" customHeight="1">
      <c r="A309" s="29" t="inlineStr">
        <is>
          <t>Name</t>
        </is>
      </c>
      <c r="B309" s="29" t="inlineStr">
        <is>
          <t>Column &amp; Description</t>
        </is>
      </c>
      <c r="C309" s="29" t="inlineStr">
        <is>
          <t>Range</t>
        </is>
      </c>
    </row>
    <row r="310" ht="10" customHeight="1">
      <c r="A310" s="30" t="inlineStr">
        <is>
          <t>JB_A</t>
        </is>
      </c>
      <c r="B310" s="30" t="inlineStr">
        <is>
          <t>col A — Source Book</t>
        </is>
      </c>
      <c r="C310" s="26" t="inlineStr">
        <is>
          <t>$A$6:$A$4000</t>
        </is>
      </c>
    </row>
    <row r="311" ht="10" customHeight="1">
      <c r="A311" s="30" t="inlineStr">
        <is>
          <t>JB_B</t>
        </is>
      </c>
      <c r="B311" s="30" t="inlineStr">
        <is>
          <t>col I — Bucket</t>
        </is>
      </c>
      <c r="C311" s="26" t="inlineStr">
        <is>
          <t>$I$6:$I$4000</t>
        </is>
      </c>
    </row>
    <row r="312" ht="10" customHeight="1">
      <c r="A312" s="30" t="inlineStr">
        <is>
          <t>JB_V</t>
        </is>
      </c>
      <c r="B312" s="30" t="inlineStr">
        <is>
          <t>col L — Vessel Category</t>
        </is>
      </c>
      <c r="C312" s="26" t="inlineStr">
        <is>
          <t>$L$6:$L$4000</t>
        </is>
      </c>
    </row>
    <row r="313" ht="10" customHeight="1">
      <c r="A313" s="30" t="inlineStr">
        <is>
          <t>JB_W</t>
        </is>
      </c>
      <c r="B313" s="30" t="inlineStr">
        <is>
          <t>col M — Vessel Type</t>
        </is>
      </c>
      <c r="C313" s="26" t="inlineStr">
        <is>
          <t>$M$6:$M$4000</t>
        </is>
      </c>
    </row>
    <row r="314" ht="10" customHeight="1">
      <c r="A314" s="30" t="inlineStr">
        <is>
          <t>JB_H</t>
        </is>
      </c>
      <c r="B314" s="30" t="inlineStr">
        <is>
          <t>col N — Vessel Hull</t>
        </is>
      </c>
      <c r="C314" s="26" t="inlineStr">
        <is>
          <t>$N$6:$N$4000</t>
        </is>
      </c>
    </row>
    <row r="315" ht="10" customHeight="1">
      <c r="A315" s="30" t="inlineStr">
        <is>
          <t>JB_S</t>
        </is>
      </c>
      <c r="B315" s="30" t="inlineStr">
        <is>
          <t>col E — Row Type</t>
        </is>
      </c>
      <c r="C315" s="26" t="inlineStr">
        <is>
          <t>$E$6:$E$4000</t>
        </is>
      </c>
    </row>
    <row r="316" ht="10" customHeight="1">
      <c r="A316" s="30" t="inlineStr">
        <is>
          <t>JB_F</t>
        </is>
      </c>
      <c r="B316" s="30" t="inlineStr">
        <is>
          <t>col J — Bucket Sub Category</t>
        </is>
      </c>
      <c r="C316" s="26" t="inlineStr">
        <is>
          <t>$J$6:$J$4000</t>
        </is>
      </c>
    </row>
    <row r="317" ht="10" customHeight="1">
      <c r="A317" s="30" t="inlineStr">
        <is>
          <t>JB_EX</t>
        </is>
      </c>
      <c r="B317" s="30" t="inlineStr">
        <is>
          <t>col G — Exhibit Level (derived)</t>
        </is>
      </c>
      <c r="C317" s="26" t="inlineStr">
        <is>
          <t>$G$6:$G$4000</t>
        </is>
      </c>
    </row>
    <row r="318" ht="10" customHeight="1">
      <c r="A318" s="30" t="inlineStr">
        <is>
          <t>JB_CC</t>
        </is>
      </c>
      <c r="B318" s="30" t="inlineStr">
        <is>
          <t>col H — Cost Category (derived)</t>
        </is>
      </c>
      <c r="C318" s="26" t="inlineStr">
        <is>
          <t>$H$6:$H$4000</t>
        </is>
      </c>
    </row>
    <row r="319" ht="10" customHeight="1">
      <c r="A319" s="30" t="inlineStr">
        <is>
          <t>JB_CE</t>
        </is>
      </c>
      <c r="B319" s="30" t="inlineStr">
        <is>
          <t>col AJ — Cost Element (system names for P-8a)</t>
        </is>
      </c>
      <c r="C319" s="26" t="inlineStr">
        <is>
          <t>$AJ$6:$AJ$4000</t>
        </is>
      </c>
    </row>
    <row r="320" ht="10" customHeight="1">
      <c r="A320" s="30" t="inlineStr">
        <is>
          <t>JB_RC</t>
        </is>
      </c>
      <c r="B320" s="30" t="inlineStr">
        <is>
          <t>col AC — Row Class (helper)</t>
        </is>
      </c>
      <c r="C320" s="26" t="inlineStr">
        <is>
          <t>$AC$6:$AC$4000</t>
        </is>
      </c>
    </row>
    <row r="321" ht="10" customHeight="1">
      <c r="A321" s="30" t="inlineStr">
        <is>
          <t>JB_26BV</t>
        </is>
      </c>
      <c r="B321" s="30" t="inlineStr">
        <is>
          <t>col AD — FY2026 Best Value (helper)</t>
        </is>
      </c>
      <c r="C321" s="26" t="inlineStr">
        <is>
          <t>$AD$6:$AD$4000</t>
        </is>
      </c>
    </row>
    <row r="322" ht="10" customHeight="1">
      <c r="A322" s="30" t="inlineStr">
        <is>
          <t>JB_27BV</t>
        </is>
      </c>
      <c r="B322" s="30" t="inlineStr">
        <is>
          <t>col AE — FY2027 Best Value (helper)</t>
        </is>
      </c>
      <c r="C322" s="26" t="inlineStr">
        <is>
          <t>$AE$6:$AE$4000</t>
        </is>
      </c>
    </row>
    <row r="323" ht="10" customHeight="1"/>
    <row r="324" ht="10" customHeight="1">
      <c r="A324" s="27" t="inlineStr">
        <is>
          <t>Newbuild SAM Cost Category Detail</t>
        </is>
      </c>
      <c r="B324" s="28" t="n"/>
      <c r="C324" s="28" t="n"/>
    </row>
    <row r="325" ht="10" customHeight="1">
      <c r="A325" s="26" t="inlineStr">
        <is>
          <t>Supplemental cost category analysis on the Newbuild SAM and Cost Detail sheets (FY26 only)</t>
        </is>
      </c>
    </row>
    <row r="326" ht="10" customHeight="1">
      <c r="A326" s="29" t="inlineStr">
        <is>
          <t>Section</t>
        </is>
      </c>
      <c r="B326" s="29" t="inlineStr">
        <is>
          <t>Description</t>
        </is>
      </c>
      <c r="C326" s="29" t="inlineStr">
        <is>
          <t>Notes</t>
        </is>
      </c>
    </row>
    <row r="327" ht="10" customHeight="1">
      <c r="A327" s="30" t="inlineStr">
        <is>
          <t>SAM (D): P-5c Gross Cost Category</t>
        </is>
      </c>
      <c r="B327" s="30" t="inlineStr">
        <is>
          <t>Decomposes new-construction budget authority into P-5c cost categories by SAM vessel type. Gross total-ship-estimate costs — pre-AP/SFF, will NOT match SAM net totals.</t>
        </is>
      </c>
      <c r="C327" s="26" t="inlineStr">
        <is>
          <t>Uses SUMIFS on [ALT_VIEW] rows with JB_EX="P-5c". 6 SAM vessel types.</t>
        </is>
      </c>
    </row>
    <row r="328" ht="10" customHeight="1">
      <c r="A328" s="30" t="inlineStr">
        <is>
          <t>SAM (E): Proportional Allocation</t>
        </is>
      </c>
      <c r="B328" s="30" t="inlineStr">
        <is>
          <t>P-5c percentage mix from (D) applied to SAM net budget-authority totals. Cost category decomposition reconciles to the SAM total.</t>
        </is>
      </c>
      <c r="C328" s="26" t="inlineStr">
        <is>
          <t>Allocated Total should equal SAM Net Total per vessel type.</t>
        </is>
      </c>
    </row>
    <row r="329" ht="10" customHeight="1">
      <c r="A329" s="30" t="inlineStr">
        <is>
          <t>Cost Detail (A): P-5c Total Ship Cost</t>
        </is>
      </c>
      <c r="B329" s="30" t="inlineStr">
        <is>
          <t>Gross P-5c values by vessel type and cost category — actual cost of ships before AP/SFF netting.</t>
        </is>
      </c>
      <c r="C329" s="26" t="inlineStr">
        <is>
          <t>"What does a DDG-51 actually cost to build, by component?"</t>
        </is>
      </c>
    </row>
    <row r="330" ht="10" customHeight="1">
      <c r="A330" s="30" t="inlineStr">
        <is>
          <t>Cost Detail (B): P-8a System-Level</t>
        </is>
      </c>
      <c r="B330" s="30" t="inlineStr">
        <is>
          <t>Individual GFE systems from Exhibit P-8a, grouped by cost category within each vessel type.</t>
        </is>
      </c>
      <c r="C330" s="26" t="inlineStr">
        <is>
          <t>P-8a values are static (F_BLUE font). 30 of 415 rows lack a Cost Element.</t>
        </is>
      </c>
    </row>
    <row r="331" ht="10" customHeight="1">
      <c r="A331" s="30" t="inlineStr">
        <is>
          <t>Cost Detail (C): Top P-8a Cross-Program</t>
        </is>
      </c>
      <c r="B331" s="30" t="inlineStr">
        <is>
          <t>Largest GFE systems aggregated across all SAM vessel types, sorted by total FY2026 $K.</t>
        </is>
      </c>
      <c r="C331" s="26" t="inlineStr">
        <is>
          <t>"Total radar market?" or "which GFE systems span the most programs?"</t>
        </is>
      </c>
    </row>
    <row r="332" ht="10" customHeight="1"/>
    <row r="333" ht="10" customHeight="1">
      <c r="A333" s="26" t="inlineStr">
        <is>
          <t>FY2027 has no sections (D)/(E) or Cost Detail sheet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2026-04-14T02:29:17Z</dcterms:modified>
  <cp:lastModifiedBy>Brendan Toole</cp:lastModifiedBy>
</cp:coreProperties>
</file>