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1">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xf numFmtId="0" fontId="35" fillId="16"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row r="16" ht="10" customHeight="1">
      <c r="A16" s="81" t="inlineStr">
        <is>
          <t>(B) FY2026 Total Funding by Vessel Category</t>
        </is>
      </c>
      <c r="B16" s="82" t="n"/>
      <c r="C16" s="82" t="n"/>
    </row>
    <row r="17" ht="10" customHeight="1">
      <c r="A17" s="83" t="inlineStr">
        <is>
          <t>Category</t>
        </is>
      </c>
      <c r="B17" s="83" t="inlineStr">
        <is>
          <t>FY2026 ($K)</t>
        </is>
      </c>
      <c r="C17" s="83" t="inlineStr">
        <is>
          <t>TAM Scope</t>
        </is>
      </c>
    </row>
    <row r="18" ht="10" customHeight="1">
      <c r="A18" s="84" t="inlineStr">
        <is>
          <t>Combatant Ships</t>
        </is>
      </c>
      <c r="B18"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0" t="inlineStr">
        <is>
          <t>YES → TAM</t>
        </is>
      </c>
    </row>
    <row r="19" ht="10" customHeight="1">
      <c r="A19" s="84" t="inlineStr">
        <is>
          <t>Auxiliary Ships</t>
        </is>
      </c>
      <c r="B19"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0" t="inlineStr">
        <is>
          <t>YES → TAM</t>
        </is>
      </c>
    </row>
    <row r="20" ht="10" customHeight="1">
      <c r="A20" s="84" t="inlineStr">
        <is>
          <t>Cutters</t>
        </is>
      </c>
      <c r="B20" s="85">
        <f>SUMIFS(JB_R,JB_V,"Cutters",JB_S,"",JB_R,"&lt;&gt;")+SUMIFS(JB_N,JB_V,"Cutters",JB_S,"",JB_R,"",JB_N,"&lt;&gt;")+SUMIFS(JB_L,JB_V,"Cutters",JB_S,"",JB_R,"",JB_N,"")+SUMIFS(JB_R,JB_V,"Cutters",JB_S,"[PARENT]",JB_R,"&lt;&gt;")+SUMIFS(JB_N,JB_V,"Cutters",JB_S,"[PARENT]",JB_R,"",JB_N,"&lt;&gt;")+SUMIFS(JB_L,JB_V,"Cutters",JB_S,"[PARENT]",JB_R,"",JB_N,"")</f>
        <v/>
      </c>
      <c r="C20" s="80" t="inlineStr">
        <is>
          <t>YES → TAM</t>
        </is>
      </c>
    </row>
    <row r="21" ht="10" customHeight="1">
      <c r="A21" s="84" t="inlineStr">
        <is>
          <t>Unmanned Maritime Platforms</t>
        </is>
      </c>
      <c r="B21"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0" t="inlineStr">
        <is>
          <t>YES → TAM</t>
        </is>
      </c>
    </row>
    <row r="22" ht="10" customHeight="1">
      <c r="A22" s="84" t="inlineStr">
        <is>
          <t>Combatant Crafts</t>
        </is>
      </c>
      <c r="B22"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0" t="inlineStr">
        <is>
          <t>No — small craft</t>
        </is>
      </c>
    </row>
    <row r="23" ht="10" customHeight="1">
      <c r="A23" s="84" t="inlineStr">
        <is>
          <t>Support Crafts</t>
        </is>
      </c>
      <c r="B23"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0" t="inlineStr">
        <is>
          <t>No — non-oceangoing</t>
        </is>
      </c>
    </row>
    <row r="24" ht="10" customHeight="1">
      <c r="A24" s="84" t="inlineStr">
        <is>
          <t>Boats</t>
        </is>
      </c>
      <c r="B24" s="85">
        <f>SUMIFS(JB_R,JB_V,"Boats",JB_S,"",JB_R,"&lt;&gt;")+SUMIFS(JB_N,JB_V,"Boats",JB_S,"",JB_R,"",JB_N,"&lt;&gt;")+SUMIFS(JB_L,JB_V,"Boats",JB_S,"",JB_R,"",JB_N,"")+SUMIFS(JB_R,JB_V,"Boats",JB_S,"[PARENT]",JB_R,"&lt;&gt;")+SUMIFS(JB_N,JB_V,"Boats",JB_S,"[PARENT]",JB_R,"",JB_N,"&lt;&gt;")+SUMIFS(JB_L,JB_V,"Boats",JB_S,"[PARENT]",JB_R,"",JB_N,"")</f>
        <v/>
      </c>
      <c r="C24" s="80" t="inlineStr">
        <is>
          <t>No — under 65 ft</t>
        </is>
      </c>
    </row>
    <row r="25" ht="10" customHeight="1">
      <c r="A25" s="84" t="inlineStr">
        <is>
          <t>Unattributed (fleet-wide)</t>
        </is>
      </c>
      <c r="B25" s="85">
        <f>SUMIFS(JB_R,JB_V,"",JB_S,"",JB_R,"&lt;&gt;")+SUMIFS(JB_N,JB_V,"",JB_S,"",JB_R,"",JB_N,"&lt;&gt;")+SUMIFS(JB_L,JB_V,"",JB_S,"",JB_R,"",JB_N,"")+SUMIFS(JB_R,JB_V,"",JB_S,"[PARENT]",JB_R,"&lt;&gt;")+SUMIFS(JB_N,JB_V,"",JB_S,"[PARENT]",JB_R,"",JB_N,"&lt;&gt;")+SUMIFS(JB_L,JB_V,"",JB_S,"[PARENT]",JB_R,"",JB_N,"")</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FY2026 Total Funding by Source Book</t>
        </is>
      </c>
      <c r="B30" s="82" t="n"/>
    </row>
    <row r="31" ht="10" customHeight="1">
      <c r="A31" s="83" t="inlineStr">
        <is>
          <t>Source Book</t>
        </is>
      </c>
      <c r="B31" s="83" t="inlineStr">
        <is>
          <t>FY2026 ($K)</t>
        </is>
      </c>
    </row>
    <row r="32" ht="10" customHeight="1">
      <c r="A32" s="84" t="inlineStr">
        <is>
          <t>NWCF</t>
        </is>
      </c>
      <c r="B32" s="85">
        <f>SUMIFS(JB_R,JB_A,"NWCF",JB_S,"",JB_R,"&lt;&gt;")+SUMIFS(JB_N,JB_A,"NWCF",JB_S,"",JB_R,"",JB_N,"&lt;&gt;")+SUMIFS(JB_L,JB_A,"NWCF",JB_S,"",JB_R,"",JB_N,"")+SUMIFS(JB_R,JB_A,"NWCF",JB_S,"[PARENT]",JB_R,"&lt;&gt;")+SUMIFS(JB_N,JB_A,"NWCF",JB_S,"[PARENT]",JB_R,"",JB_N,"&lt;&gt;")+SUMIFS(JB_L,JB_A,"NWCF",JB_S,"[PARENT]",JB_R,"",JB_N,"")</f>
        <v/>
      </c>
    </row>
    <row r="33" ht="10" customHeight="1">
      <c r="A33" s="84" t="inlineStr">
        <is>
          <t>OMN_Vol2</t>
        </is>
      </c>
      <c r="B33" s="85">
        <f>SUMIFS(JB_R,JB_A,"OMN_Vol2",JB_S,"",JB_R,"&lt;&gt;")+SUMIFS(JB_N,JB_A,"OMN_Vol2",JB_S,"",JB_R,"",JB_N,"&lt;&gt;")+SUMIFS(JB_L,JB_A,"OMN_Vol2",JB_S,"",JB_R,"",JB_N,"")+SUMIFS(JB_R,JB_A,"OMN_Vol2",JB_S,"[PARENT]",JB_R,"&lt;&gt;")+SUMIFS(JB_N,JB_A,"OMN_Vol2",JB_S,"[PARENT]",JB_R,"",JB_N,"&lt;&gt;")+SUMIFS(JB_L,JB_A,"OMN_Vol2",JB_S,"[PARENT]",JB_R,"",JB_N,"")</f>
        <v/>
      </c>
    </row>
    <row r="34" ht="10" customHeight="1">
      <c r="A34" s="84" t="inlineStr">
        <is>
          <t>SCN</t>
        </is>
      </c>
      <c r="B34" s="85">
        <f>SUMIFS(JB_R,JB_A,"SCN",JB_S,"",JB_R,"&lt;&gt;")+SUMIFS(JB_N,JB_A,"SCN",JB_S,"",JB_R,"",JB_N,"&lt;&gt;")+SUMIFS(JB_L,JB_A,"SCN",JB_S,"",JB_R,"",JB_N,"")+SUMIFS(JB_R,JB_A,"SCN",JB_S,"[PARENT]",JB_R,"&lt;&gt;")+SUMIFS(JB_N,JB_A,"SCN",JB_S,"[PARENT]",JB_R,"",JB_N,"&lt;&gt;")+SUMIFS(JB_L,JB_A,"SCN",JB_S,"[PARENT]",JB_R,"",JB_N,"")</f>
        <v/>
      </c>
    </row>
    <row r="35" ht="10" customHeight="1">
      <c r="A35" s="84" t="inlineStr">
        <is>
          <t>OMN</t>
        </is>
      </c>
      <c r="B35" s="85">
        <f>SUMIFS(JB_R,JB_A,"OMN",JB_S,"",JB_R,"&lt;&gt;")+SUMIFS(JB_N,JB_A,"OMN",JB_S,"",JB_R,"",JB_N,"&lt;&gt;")+SUMIFS(JB_L,JB_A,"OMN",JB_S,"",JB_R,"",JB_N,"")+SUMIFS(JB_R,JB_A,"OMN",JB_S,"[PARENT]",JB_R,"&lt;&gt;")+SUMIFS(JB_N,JB_A,"OMN",JB_S,"[PARENT]",JB_R,"",JB_N,"&lt;&gt;")+SUMIFS(JB_L,JB_A,"OMN",JB_S,"[PARENT]",JB_R,"",JB_N,"")</f>
        <v/>
      </c>
    </row>
    <row r="36" ht="10" customHeight="1">
      <c r="A36" s="84" t="inlineStr">
        <is>
          <t>WPN</t>
        </is>
      </c>
      <c r="B36" s="85">
        <f>SUMIFS(JB_R,JB_A,"WPN",JB_S,"",JB_R,"&lt;&gt;")+SUMIFS(JB_N,JB_A,"WPN",JB_S,"",JB_R,"",JB_N,"&lt;&gt;")+SUMIFS(JB_L,JB_A,"WPN",JB_S,"",JB_R,"",JB_N,"")+SUMIFS(JB_R,JB_A,"WPN",JB_S,"[PARENT]",JB_R,"&lt;&gt;")+SUMIFS(JB_N,JB_A,"WPN",JB_S,"[PARENT]",JB_R,"",JB_N,"&lt;&gt;")+SUMIFS(JB_L,JB_A,"WPN",JB_S,"[PARENT]",JB_R,"",JB_N,"")</f>
        <v/>
      </c>
    </row>
    <row r="37" ht="10" customHeight="1">
      <c r="A37" s="84" t="inlineStr">
        <is>
          <t>OPN_BA1</t>
        </is>
      </c>
      <c r="B37" s="85">
        <f>SUMIFS(JB_R,JB_A,"OPN_BA1",JB_S,"",JB_R,"&lt;&gt;")+SUMIFS(JB_N,JB_A,"OPN_BA1",JB_S,"",JB_R,"",JB_N,"&lt;&gt;")+SUMIFS(JB_L,JB_A,"OPN_BA1",JB_S,"",JB_R,"",JB_N,"")+SUMIFS(JB_R,JB_A,"OPN_BA1",JB_S,"[PARENT]",JB_R,"&lt;&gt;")+SUMIFS(JB_N,JB_A,"OPN_BA1",JB_S,"[PARENT]",JB_R,"",JB_N,"&lt;&gt;")+SUMIFS(JB_L,JB_A,"OPN_BA1",JB_S,"[PARENT]",JB_R,"",JB_N,"")</f>
        <v/>
      </c>
    </row>
    <row r="38" ht="10" customHeight="1">
      <c r="A38" s="84" t="inlineStr">
        <is>
          <t>OPN_BA2</t>
        </is>
      </c>
      <c r="B38" s="85">
        <f>SUMIFS(JB_R,JB_A,"OPN_BA2",JB_S,"",JB_R,"&lt;&gt;")+SUMIFS(JB_N,JB_A,"OPN_BA2",JB_S,"",JB_R,"",JB_N,"&lt;&gt;")+SUMIFS(JB_L,JB_A,"OPN_BA2",JB_S,"",JB_R,"",JB_N,"")+SUMIFS(JB_R,JB_A,"OPN_BA2",JB_S,"[PARENT]",JB_R,"&lt;&gt;")+SUMIFS(JB_N,JB_A,"OPN_BA2",JB_S,"[PARENT]",JB_R,"",JB_N,"&lt;&gt;")+SUMIFS(JB_L,JB_A,"OPN_BA2",JB_S,"[PARENT]",JB_R,"",JB_N,"")</f>
        <v/>
      </c>
    </row>
    <row r="39" ht="10" customHeight="1">
      <c r="A39" s="84" t="inlineStr">
        <is>
          <t>OPN_BA5-8</t>
        </is>
      </c>
      <c r="B39" s="85">
        <f>SUMIFS(JB_R,JB_A,"OPN_BA5-8",JB_S,"",JB_R,"&lt;&gt;")+SUMIFS(JB_N,JB_A,"OPN_BA5-8",JB_S,"",JB_R,"",JB_N,"&lt;&gt;")+SUMIFS(JB_L,JB_A,"OPN_BA5-8",JB_S,"",JB_R,"",JB_N,"")+SUMIFS(JB_R,JB_A,"OPN_BA5-8",JB_S,"[PARENT]",JB_R,"&lt;&gt;")+SUMIFS(JB_N,JB_A,"OPN_BA5-8",JB_S,"[PARENT]",JB_R,"",JB_N,"&lt;&gt;")+SUMIFS(JB_L,JB_A,"OPN_BA5-8",JB_S,"[PARENT]",JB_R,"",JB_N,"")</f>
        <v/>
      </c>
    </row>
    <row r="40" ht="10" customHeight="1">
      <c r="A40" s="84" t="inlineStr">
        <is>
          <t>OPN_BA4</t>
        </is>
      </c>
      <c r="B40" s="85">
        <f>SUMIFS(JB_R,JB_A,"OPN_BA4",JB_S,"",JB_R,"&lt;&gt;")+SUMIFS(JB_N,JB_A,"OPN_BA4",JB_S,"",JB_R,"",JB_N,"&lt;&gt;")+SUMIFS(JB_L,JB_A,"OPN_BA4",JB_S,"",JB_R,"",JB_N,"")+SUMIFS(JB_R,JB_A,"OPN_BA4",JB_S,"[PARENT]",JB_R,"&lt;&gt;")+SUMIFS(JB_N,JB_A,"OPN_BA4",JB_S,"[PARENT]",JB_R,"",JB_N,"&lt;&gt;")+SUMIFS(JB_L,JB_A,"OPN_BA4",JB_S,"[PARENT]",JB_R,"",JB_N,"")</f>
        <v/>
      </c>
    </row>
    <row r="41" ht="10" customHeight="1">
      <c r="A41" s="84" t="inlineStr">
        <is>
          <t>USCG</t>
        </is>
      </c>
      <c r="B41" s="85">
        <f>SUMIFS(JB_R,JB_A,"USCG",JB_S,"",JB_R,"&lt;&gt;")+SUMIFS(JB_N,JB_A,"USCG",JB_S,"",JB_R,"",JB_N,"&lt;&gt;")+SUMIFS(JB_L,JB_A,"USCG",JB_S,"",JB_R,"",JB_N,"")+SUMIFS(JB_R,JB_A,"USCG",JB_S,"[PARENT]",JB_R,"&lt;&gt;")+SUMIFS(JB_N,JB_A,"USCG",JB_S,"[PARENT]",JB_R,"",JB_N,"&lt;&gt;")+SUMIFS(JB_L,JB_A,"USCG",JB_S,"[PARENT]",JB_R,"",JB_N,"")</f>
        <v/>
      </c>
    </row>
    <row r="42" ht="10" customHeight="1">
      <c r="A42" s="84" t="inlineStr">
        <is>
          <t>OPN_BA3</t>
        </is>
      </c>
      <c r="B42" s="85">
        <f>SUMIFS(JB_R,JB_A,"OPN_BA3",JB_S,"",JB_R,"&lt;&gt;")+SUMIFS(JB_N,JB_A,"OPN_BA3",JB_S,"",JB_R,"",JB_N,"&lt;&gt;")+SUMIFS(JB_L,JB_A,"OPN_BA3",JB_S,"",JB_R,"",JB_N,"")+SUMIFS(JB_R,JB_A,"OPN_BA3",JB_S,"[PARENT]",JB_R,"&lt;&gt;")+SUMIFS(JB_N,JB_A,"OPN_BA3",JB_S,"[PARENT]",JB_R,"",JB_N,"&lt;&gt;")+SUMIFS(JB_L,JB_A,"OPN_BA3",JB_S,"[PARENT]",JB_R,"",JB_N,"")</f>
        <v/>
      </c>
    </row>
    <row r="43" ht="10" customHeight="1">
      <c r="A43" s="86" t="inlineStr">
        <is>
          <t>Total</t>
        </is>
      </c>
      <c r="B43" s="8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1">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1">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1">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1">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1">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1">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1">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1">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1">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1">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1">
        <f>IFERROR(C24/C$42,0)</f>
        <v/>
      </c>
    </row>
    <row r="25" ht="10" customHeight="1">
      <c r="A25" s="84" t="inlineStr">
        <is>
          <t>Mine Warfare</t>
        </is>
      </c>
      <c r="B25" s="84" t="inlineStr">
        <is>
          <t>USN</t>
        </is>
      </c>
      <c r="C25"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5" s="91">
        <f>IFERROR(C25/C$42,0)</f>
        <v/>
      </c>
    </row>
    <row r="26" ht="10" customHeight="1">
      <c r="A26" s="84" t="inlineStr">
        <is>
          <t>Aviation Logistics Support Ship</t>
        </is>
      </c>
      <c r="B26" s="84" t="inlineStr">
        <is>
          <t>USN</t>
        </is>
      </c>
      <c r="C26"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6" s="91">
        <f>IFERROR(C26/C$42,0)</f>
        <v/>
      </c>
    </row>
    <row r="27" ht="10" customHeight="1">
      <c r="A27" s="84" t="inlineStr">
        <is>
          <t>Hospital Ship</t>
        </is>
      </c>
      <c r="B27" s="84" t="inlineStr">
        <is>
          <t>MSC</t>
        </is>
      </c>
      <c r="C27"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91">
        <f>IFERROR(C27/C$42,0)</f>
        <v/>
      </c>
    </row>
    <row r="28" ht="10" customHeight="1">
      <c r="A28" s="84" t="inlineStr">
        <is>
          <t>Research, Survey &amp; Instrumentation Ships</t>
        </is>
      </c>
      <c r="B28" s="84" t="inlineStr">
        <is>
          <t>MSC</t>
        </is>
      </c>
      <c r="C28"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8" s="91">
        <f>IFERROR(C28/C$42,0)</f>
        <v/>
      </c>
    </row>
    <row r="29" ht="10" customHeight="1">
      <c r="A29" s="84" t="inlineStr">
        <is>
          <t>Command Ships</t>
        </is>
      </c>
      <c r="B29" s="84" t="inlineStr">
        <is>
          <t>USN</t>
        </is>
      </c>
      <c r="C29"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9" s="91">
        <f>IFERROR(C29/C$42,0)</f>
        <v/>
      </c>
    </row>
    <row r="30" ht="10" customHeight="1">
      <c r="A30" s="84" t="inlineStr">
        <is>
          <t>Material Support Ships</t>
        </is>
      </c>
      <c r="B30" s="84" t="inlineStr">
        <is>
          <t>USN</t>
        </is>
      </c>
      <c r="C30"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91">
        <f>IFERROR(C30/C$42,0)</f>
        <v/>
      </c>
    </row>
    <row r="31" ht="10" customHeight="1">
      <c r="A31" s="84" t="inlineStr">
        <is>
          <t>General Auxiliary</t>
        </is>
      </c>
      <c r="B31" s="84" t="inlineStr">
        <is>
          <t>USN</t>
        </is>
      </c>
      <c r="C31"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91">
        <f>IFERROR(C31/C$42,0)</f>
        <v/>
      </c>
    </row>
    <row r="32" ht="10" customHeight="1">
      <c r="A32" s="84" t="inlineStr">
        <is>
          <t>High Speed Transport</t>
        </is>
      </c>
      <c r="B32" s="84" t="inlineStr">
        <is>
          <t>USN</t>
        </is>
      </c>
      <c r="C32"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2" s="91">
        <f>IFERROR(C32/C$42,0)</f>
        <v/>
      </c>
    </row>
    <row r="33" ht="10" customHeight="1">
      <c r="A33" s="84" t="inlineStr">
        <is>
          <t>Crane Ship</t>
        </is>
      </c>
      <c r="B33" s="84" t="inlineStr">
        <is>
          <t>USN</t>
        </is>
      </c>
      <c r="C33"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3" s="91">
        <f>IFERROR(C33/C$42,0)</f>
        <v/>
      </c>
    </row>
    <row r="34" ht="10" customHeight="1">
      <c r="A34" s="84" t="inlineStr">
        <is>
          <t>Submarine Escort Ship</t>
        </is>
      </c>
      <c r="B34" s="84" t="inlineStr">
        <is>
          <t>USN</t>
        </is>
      </c>
      <c r="C34"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4" s="91">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1">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1">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1">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1">
        <f>IFERROR(C38/C$42,0)</f>
        <v/>
      </c>
    </row>
    <row r="39" ht="10" customHeight="1">
      <c r="A39" s="84" t="inlineStr">
        <is>
          <t>Icebreakers, Great Lakes</t>
        </is>
      </c>
      <c r="B39" s="84" t="inlineStr">
        <is>
          <t>USCG</t>
        </is>
      </c>
      <c r="C39"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91">
        <f>IFERROR(C39/C$42,0)</f>
        <v/>
      </c>
    </row>
    <row r="40" ht="10" customHeight="1">
      <c r="A40" s="84" t="inlineStr">
        <is>
          <t>Coastal Buoy Tenders</t>
        </is>
      </c>
      <c r="B40" s="84" t="inlineStr">
        <is>
          <t>USCG</t>
        </is>
      </c>
      <c r="C40"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91">
        <f>IFERROR(C40/C$42,0)</f>
        <v/>
      </c>
    </row>
    <row r="41" ht="10" customHeight="1">
      <c r="A41" s="84" t="inlineStr">
        <is>
          <t>National Security Cutters</t>
        </is>
      </c>
      <c r="B41" s="84" t="inlineStr">
        <is>
          <t>USCG</t>
        </is>
      </c>
      <c r="C41"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c r="O45" s="82" t="n"/>
      <c r="P45" s="82" t="n"/>
      <c r="Q45" s="82" t="n"/>
    </row>
    <row r="46" ht="10" customHeight="1">
      <c r="A46" s="93" t="n"/>
      <c r="B46" s="94" t="inlineStr">
        <is>
          <t>USN</t>
        </is>
      </c>
      <c r="C46" s="93" t="n"/>
      <c r="D46" s="93" t="n"/>
      <c r="E46" s="93" t="n"/>
      <c r="F46" s="93" t="n"/>
      <c r="G46" s="93" t="n"/>
      <c r="H46" s="93" t="n"/>
      <c r="I46" s="93" t="n"/>
      <c r="J46" s="93" t="n"/>
      <c r="K46" s="93" t="n"/>
      <c r="L46" s="93" t="n"/>
      <c r="M46" s="94" t="inlineStr">
        <is>
          <t>USCG</t>
        </is>
      </c>
      <c r="N46" s="93" t="n"/>
      <c r="O46" s="93" t="n"/>
      <c r="P46" s="93" t="n"/>
      <c r="Q46" s="95" t="n"/>
    </row>
    <row r="47" ht="10" customHeight="1">
      <c r="A47" s="83" t="inlineStr">
        <is>
          <t>Sub-Category</t>
        </is>
      </c>
      <c r="B47" s="96" t="inlineStr">
        <is>
          <t>Submarines</t>
        </is>
      </c>
      <c r="C47" s="83" t="inlineStr">
        <is>
          <t>Surface Combatants</t>
        </is>
      </c>
      <c r="D47" s="83" t="inlineStr">
        <is>
          <t>Aircraft Carriers</t>
        </is>
      </c>
      <c r="E47" s="83" t="inlineStr">
        <is>
          <t>Expeditionary &amp; Seabasing Ships</t>
        </is>
      </c>
      <c r="F47" s="83" t="inlineStr">
        <is>
          <t>Combat Logistics Ships</t>
        </is>
      </c>
      <c r="G47" s="83" t="inlineStr">
        <is>
          <t>Amphibious Warfare Ships</t>
        </is>
      </c>
      <c r="H47" s="83" t="inlineStr">
        <is>
          <t>Unmanned Surface Vehicles</t>
        </is>
      </c>
      <c r="I47" s="83" t="inlineStr">
        <is>
          <t>Cargo &amp; Vehicle Cargo Ships</t>
        </is>
      </c>
      <c r="J47" s="83" t="inlineStr">
        <is>
          <t>Surveillance Ships</t>
        </is>
      </c>
      <c r="K47" s="83" t="inlineStr">
        <is>
          <t>Unmanned Undersea Vehicles</t>
        </is>
      </c>
      <c r="L47" s="83" t="inlineStr">
        <is>
          <t>Salvage Ships &amp; Fleet Ocean Tugs</t>
        </is>
      </c>
      <c r="M47" s="96" t="inlineStr">
        <is>
          <t>Offshore Patrol Cutter</t>
        </is>
      </c>
      <c r="N47" s="83" t="inlineStr">
        <is>
          <t>Fast Response Cutters</t>
        </is>
      </c>
      <c r="O47" s="83" t="inlineStr">
        <is>
          <t>Icebreakers, Oceangoing</t>
        </is>
      </c>
      <c r="P47" s="83" t="inlineStr">
        <is>
          <t>Waterways Commerce Cutters</t>
        </is>
      </c>
      <c r="Q47" s="96" t="inlineStr">
        <is>
          <t>Total</t>
        </is>
      </c>
    </row>
    <row r="48" ht="10" customHeight="1">
      <c r="A48" s="84" t="inlineStr">
        <is>
          <t>Full Ship DD&amp;C</t>
        </is>
      </c>
      <c r="B48" s="9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7">
        <f>IFERROR(1-Q49,0)</f>
        <v/>
      </c>
    </row>
    <row r="49" ht="10" customHeight="1">
      <c r="A49" s="84" t="inlineStr">
        <is>
          <t>Advance Procurement / LLTM</t>
        </is>
      </c>
      <c r="B49" s="9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7">
        <f>IFERROR(1-M48-M49,0)</f>
        <v/>
      </c>
      <c r="N50" s="91">
        <f>IFERROR(1-N48-N49,0)</f>
        <v/>
      </c>
      <c r="O50" s="91">
        <f>IFERROR(1-O48-O49,0)</f>
        <v/>
      </c>
      <c r="P50" s="91">
        <f>IFERROR(1-P48-P49,0)</f>
        <v/>
      </c>
      <c r="Q50" s="97">
        <f>IFERROR(1-Q48-Q49,0)</f>
        <v/>
      </c>
    </row>
    <row r="51" ht="10" customHeight="1">
      <c r="A51" s="86" t="inlineStr">
        <is>
          <t>Total ($K)</t>
        </is>
      </c>
      <c r="B51"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1">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1">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1">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1">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1">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1">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1">
        <f>IFERROR(C21/C$39,0)</f>
        <v/>
      </c>
    </row>
    <row r="22" ht="10" customHeight="1">
      <c r="A22" s="84" t="inlineStr">
        <is>
          <t>General Auxiliary</t>
        </is>
      </c>
      <c r="B22" s="84" t="inlineStr">
        <is>
          <t>USN</t>
        </is>
      </c>
      <c r="C22"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2" s="91">
        <f>IFERROR(C22/C$39,0)</f>
        <v/>
      </c>
    </row>
    <row r="23" ht="10" customHeight="1">
      <c r="A23" s="84" t="inlineStr">
        <is>
          <t>Mine Warfare</t>
        </is>
      </c>
      <c r="B23" s="84" t="inlineStr">
        <is>
          <t>USN</t>
        </is>
      </c>
      <c r="C23"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3" s="91">
        <f>IFERROR(C23/C$39,0)</f>
        <v/>
      </c>
    </row>
    <row r="24" ht="10" customHeight="1">
      <c r="A24" s="84" t="inlineStr">
        <is>
          <t>Aviation Logistics Support Ship</t>
        </is>
      </c>
      <c r="B24" s="84" t="inlineStr">
        <is>
          <t>USN</t>
        </is>
      </c>
      <c r="C24"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4" s="91">
        <f>IFERROR(C24/C$39,0)</f>
        <v/>
      </c>
    </row>
    <row r="25" ht="10" customHeight="1">
      <c r="A25" s="84" t="inlineStr">
        <is>
          <t>High Speed Transport</t>
        </is>
      </c>
      <c r="B25" s="84" t="inlineStr">
        <is>
          <t>USN</t>
        </is>
      </c>
      <c r="C25"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91">
        <f>IFERROR(C25/C$39,0)</f>
        <v/>
      </c>
    </row>
    <row r="26" ht="10" customHeight="1">
      <c r="A26" s="84" t="inlineStr">
        <is>
          <t>Crane Ship</t>
        </is>
      </c>
      <c r="B26" s="84" t="inlineStr">
        <is>
          <t>USN</t>
        </is>
      </c>
      <c r="C26"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6" s="91">
        <f>IFERROR(C26/C$39,0)</f>
        <v/>
      </c>
    </row>
    <row r="27" ht="10" customHeight="1">
      <c r="A27" s="84" t="inlineStr">
        <is>
          <t>Hospital Ship</t>
        </is>
      </c>
      <c r="B27" s="84" t="inlineStr">
        <is>
          <t>MSC</t>
        </is>
      </c>
      <c r="C27"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91">
        <f>IFERROR(C27/C$39,0)</f>
        <v/>
      </c>
    </row>
    <row r="28" ht="10" customHeight="1">
      <c r="A28" s="84" t="inlineStr">
        <is>
          <t>Research, Survey &amp; Instrumentation Ships</t>
        </is>
      </c>
      <c r="B28" s="84" t="inlineStr">
        <is>
          <t>MSC</t>
        </is>
      </c>
      <c r="C28"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8" s="91">
        <f>IFERROR(C28/C$39,0)</f>
        <v/>
      </c>
    </row>
    <row r="29" ht="10" customHeight="1">
      <c r="A29" s="84" t="inlineStr">
        <is>
          <t>Command Ships</t>
        </is>
      </c>
      <c r="B29" s="84" t="inlineStr">
        <is>
          <t>USN</t>
        </is>
      </c>
      <c r="C29"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9" s="91">
        <f>IFERROR(C29/C$39,0)</f>
        <v/>
      </c>
    </row>
    <row r="30" ht="10" customHeight="1">
      <c r="A30" s="84" t="inlineStr">
        <is>
          <t>Submarine Escort Ship</t>
        </is>
      </c>
      <c r="B30" s="84" t="inlineStr">
        <is>
          <t>USN</t>
        </is>
      </c>
      <c r="C30"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0" s="91">
        <f>IFERROR(C30/C$39,0)</f>
        <v/>
      </c>
    </row>
    <row r="31" ht="10" customHeight="1">
      <c r="A31" s="84" t="inlineStr">
        <is>
          <t>Material Support Ships</t>
        </is>
      </c>
      <c r="B31" s="84" t="inlineStr">
        <is>
          <t>USN</t>
        </is>
      </c>
      <c r="C31"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1" s="91">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1">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1">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1">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1">
        <f>IFERROR(C35/C$39,0)</f>
        <v/>
      </c>
    </row>
    <row r="36" ht="10" customHeight="1">
      <c r="A36" s="84" t="inlineStr">
        <is>
          <t>Coastal Buoy Tenders</t>
        </is>
      </c>
      <c r="B36" s="84" t="inlineStr">
        <is>
          <t>USCG</t>
        </is>
      </c>
      <c r="C36"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91">
        <f>IFERROR(C36/C$39,0)</f>
        <v/>
      </c>
    </row>
    <row r="37" ht="10" customHeight="1">
      <c r="A37" s="84" t="inlineStr">
        <is>
          <t>National Security Cutters</t>
        </is>
      </c>
      <c r="B37" s="84" t="inlineStr">
        <is>
          <t>USCG</t>
        </is>
      </c>
      <c r="C37"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7" s="91">
        <f>IFERROR(C37/C$39,0)</f>
        <v/>
      </c>
    </row>
    <row r="38" ht="10" customHeight="1">
      <c r="A38" s="84" t="inlineStr">
        <is>
          <t>Icebreakers, Great Lakes</t>
        </is>
      </c>
      <c r="B38" s="84" t="inlineStr">
        <is>
          <t>USCG</t>
        </is>
      </c>
      <c r="C38"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c r="L42" s="82" t="n"/>
      <c r="M42" s="82" t="n"/>
      <c r="N42" s="82" t="n"/>
    </row>
    <row r="43" ht="10" customHeight="1">
      <c r="A43" s="93" t="n"/>
      <c r="B43" s="94" t="inlineStr">
        <is>
          <t>USN</t>
        </is>
      </c>
      <c r="C43" s="93" t="n"/>
      <c r="D43" s="93" t="n"/>
      <c r="E43" s="93" t="n"/>
      <c r="F43" s="93" t="n"/>
      <c r="G43" s="93" t="n"/>
      <c r="H43" s="93" t="n"/>
      <c r="I43" s="93" t="n"/>
      <c r="J43" s="94" t="inlineStr">
        <is>
          <t>USCG</t>
        </is>
      </c>
      <c r="K43" s="93" t="n"/>
      <c r="L43" s="93" t="n"/>
      <c r="M43" s="93" t="n"/>
      <c r="N43" s="95" t="n"/>
    </row>
    <row r="44" ht="10" customHeight="1">
      <c r="A44" s="83" t="inlineStr">
        <is>
          <t>Sub-Category</t>
        </is>
      </c>
      <c r="B44" s="96" t="inlineStr">
        <is>
          <t>Surface Combatants</t>
        </is>
      </c>
      <c r="C44" s="83" t="inlineStr">
        <is>
          <t>Expeditionary &amp; Seabasing Ships</t>
        </is>
      </c>
      <c r="D44" s="83" t="inlineStr">
        <is>
          <t>Combat Logistics Ships</t>
        </is>
      </c>
      <c r="E44" s="83" t="inlineStr">
        <is>
          <t>Amphibious Warfare Ships</t>
        </is>
      </c>
      <c r="F44" s="83" t="inlineStr">
        <is>
          <t>Unmanned Surface Vehicles</t>
        </is>
      </c>
      <c r="G44" s="83" t="inlineStr">
        <is>
          <t>Cargo &amp; Vehicle Cargo Ships</t>
        </is>
      </c>
      <c r="H44" s="83" t="inlineStr">
        <is>
          <t>Surveillance Ships</t>
        </is>
      </c>
      <c r="I44" s="83" t="inlineStr">
        <is>
          <t>Salvage Ships &amp; Fleet Ocean Tugs</t>
        </is>
      </c>
      <c r="J44" s="96" t="inlineStr">
        <is>
          <t>Offshore Patrol Cutter</t>
        </is>
      </c>
      <c r="K44" s="83" t="inlineStr">
        <is>
          <t>Fast Response Cutters</t>
        </is>
      </c>
      <c r="L44" s="83" t="inlineStr">
        <is>
          <t>Icebreakers, Oceangoing</t>
        </is>
      </c>
      <c r="M44" s="83" t="inlineStr">
        <is>
          <t>Waterways Commerce Cutters</t>
        </is>
      </c>
      <c r="N44" s="96" t="inlineStr">
        <is>
          <t>Total</t>
        </is>
      </c>
    </row>
    <row r="45" ht="10" customHeight="1">
      <c r="A45" s="84" t="inlineStr">
        <is>
          <t>Full Ship DD&amp;C</t>
        </is>
      </c>
      <c r="B45" s="9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7">
        <f>IFERROR(1-N46,0)</f>
        <v/>
      </c>
    </row>
    <row r="46" ht="10" customHeight="1">
      <c r="A46" s="84" t="inlineStr">
        <is>
          <t>Advance Procurement / LLTM</t>
        </is>
      </c>
      <c r="B46" s="9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6" t="inlineStr">
        <is>
          <t>Total ($K)</t>
        </is>
      </c>
      <c r="B47" s="9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8">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B20</f>
        <v/>
      </c>
    </row>
    <row r="10" ht="10" customHeight="1"/>
    <row r="11" ht="10" customHeight="1"/>
    <row r="12" ht="10" customHeight="1">
      <c r="A12" s="81" t="inlineStr">
        <is>
          <t>(B) MRO TAM by Work Type</t>
        </is>
      </c>
      <c r="B12" s="82" t="n"/>
      <c r="C12" s="82" t="n"/>
    </row>
    <row r="13" ht="10" customHeight="1">
      <c r="A13" s="83" t="inlineStr">
        <is>
          <t>Work Type</t>
        </is>
      </c>
      <c r="B13" s="83" t="inlineStr">
        <is>
          <t>FY2026 ($K)</t>
        </is>
      </c>
      <c r="C13" s="83" t="inlineStr">
        <is>
          <t>% of TAM</t>
        </is>
      </c>
    </row>
    <row r="14" ht="10" customHeight="1">
      <c r="A14" s="84" t="inlineStr">
        <is>
          <t>Scheduled Depot Maintenance</t>
        </is>
      </c>
      <c r="B14"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1">
        <f>IFERROR(B14/B$20,0)</f>
        <v/>
      </c>
    </row>
    <row r="15" ht="10" customHeight="1">
      <c r="A15" s="84" t="inlineStr">
        <is>
          <t>Continuous / Emergent Maintenance</t>
        </is>
      </c>
      <c r="B15"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1">
        <f>IFERROR(B15/B$20,0)</f>
        <v/>
      </c>
    </row>
    <row r="16" ht="10" customHeight="1">
      <c r="A16" s="84" t="inlineStr">
        <is>
          <t>Modernization</t>
        </is>
      </c>
      <c r="B16"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1">
        <f>IFERROR(B16/B$20,0)</f>
        <v/>
      </c>
    </row>
    <row r="17" ht="10" customHeight="1">
      <c r="A17" s="84" t="inlineStr">
        <is>
          <t>Major Life-Cycle Events / RCOH</t>
        </is>
      </c>
      <c r="B17"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1">
        <f>IFERROR(B17/B$20,0)</f>
        <v/>
      </c>
    </row>
    <row r="18" ht="10" customHeight="1">
      <c r="A18" s="84" t="inlineStr">
        <is>
          <t>Sustainment Engineering</t>
        </is>
      </c>
      <c r="B18"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1">
        <f>IFERROR(B18/B$20,0)</f>
        <v/>
      </c>
    </row>
    <row r="19" ht="10" customHeight="1">
      <c r="A19" s="84" t="inlineStr">
        <is>
          <t>Availability Support</t>
        </is>
      </c>
      <c r="B19"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1">
        <f>IFERROR(B19/B$20,0)</f>
        <v/>
      </c>
    </row>
    <row r="20" ht="10" customHeight="1">
      <c r="A20" s="86" t="inlineStr">
        <is>
          <t>MRO TAM</t>
        </is>
      </c>
      <c r="B20" s="87">
        <f>SUM(B14:B19)</f>
        <v/>
      </c>
      <c r="C20" s="92" t="n">
        <v>1</v>
      </c>
    </row>
    <row r="21" ht="10" customHeight="1"/>
    <row r="22" ht="10" customHeight="1"/>
    <row r="23" ht="10" customHeight="1">
      <c r="A23" s="81" t="inlineStr">
        <is>
          <t>(C) MRO TAM by Vessel Type</t>
        </is>
      </c>
      <c r="B23" s="82" t="n"/>
      <c r="C23" s="82" t="n"/>
      <c r="D23" s="82" t="n"/>
    </row>
    <row r="24" ht="10" customHeight="1">
      <c r="A24" s="83" t="inlineStr">
        <is>
          <t>Vessel Type</t>
        </is>
      </c>
      <c r="B24" s="83" t="inlineStr">
        <is>
          <t>Service</t>
        </is>
      </c>
      <c r="C24" s="83" t="inlineStr">
        <is>
          <t>FY2026 ($K)</t>
        </is>
      </c>
      <c r="D24" s="83" t="inlineStr">
        <is>
          <t>% of TAM</t>
        </is>
      </c>
    </row>
    <row r="25" ht="10" customHeight="1">
      <c r="A25" s="84" t="inlineStr">
        <is>
          <t>Submarines</t>
        </is>
      </c>
      <c r="B25" s="84" t="inlineStr">
        <is>
          <t>USN</t>
        </is>
      </c>
      <c r="C25"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1">
        <f>IFERROR(C25/C$53,0)</f>
        <v/>
      </c>
    </row>
    <row r="26" ht="10" customHeight="1">
      <c r="A26" s="84" t="inlineStr">
        <is>
          <t>Surface Combatants</t>
        </is>
      </c>
      <c r="B26" s="84" t="inlineStr">
        <is>
          <t>USN</t>
        </is>
      </c>
      <c r="C26"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1">
        <f>IFERROR(C26/C$53,0)</f>
        <v/>
      </c>
    </row>
    <row r="27" ht="10" customHeight="1">
      <c r="A27" s="84" t="inlineStr">
        <is>
          <t>Aircraft Carriers</t>
        </is>
      </c>
      <c r="B27" s="84" t="inlineStr">
        <is>
          <t>USN</t>
        </is>
      </c>
      <c r="C2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1">
        <f>IFERROR(C27/C$53,0)</f>
        <v/>
      </c>
    </row>
    <row r="28" ht="10" customHeight="1">
      <c r="A28" s="84" t="inlineStr">
        <is>
          <t>Amphibious Warfare Ships</t>
        </is>
      </c>
      <c r="B28" s="84" t="inlineStr">
        <is>
          <t>USN</t>
        </is>
      </c>
      <c r="C28"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1">
        <f>IFERROR(C28/C$53,0)</f>
        <v/>
      </c>
    </row>
    <row r="29" ht="10" customHeight="1">
      <c r="A29" s="84" t="inlineStr">
        <is>
          <t>Expeditionary &amp; Seabasing Ships</t>
        </is>
      </c>
      <c r="B29" s="84" t="inlineStr">
        <is>
          <t>USN</t>
        </is>
      </c>
      <c r="C29"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1">
        <f>IFERROR(C29/C$53,0)</f>
        <v/>
      </c>
    </row>
    <row r="30" ht="10" customHeight="1">
      <c r="A30" s="84" t="inlineStr">
        <is>
          <t>Command Ships</t>
        </is>
      </c>
      <c r="B30" s="84" t="inlineStr">
        <is>
          <t>USN</t>
        </is>
      </c>
      <c r="C3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1">
        <f>IFERROR(C30/C$53,0)</f>
        <v/>
      </c>
    </row>
    <row r="31" ht="10" customHeight="1">
      <c r="A31" s="84" t="inlineStr">
        <is>
          <t>Surveillance Ships</t>
        </is>
      </c>
      <c r="B31" s="84" t="inlineStr">
        <is>
          <t>USN</t>
        </is>
      </c>
      <c r="C31"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1">
        <f>IFERROR(C31/C$53,0)</f>
        <v/>
      </c>
    </row>
    <row r="32" ht="10" customHeight="1">
      <c r="A32" s="84" t="inlineStr">
        <is>
          <t>Mine Warfare</t>
        </is>
      </c>
      <c r="B32" s="84" t="inlineStr">
        <is>
          <t>USN</t>
        </is>
      </c>
      <c r="C32"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1">
        <f>IFERROR(C32/C$53,0)</f>
        <v/>
      </c>
    </row>
    <row r="33" ht="10" customHeight="1">
      <c r="A33" s="84" t="inlineStr">
        <is>
          <t>Salvage Ships &amp; Fleet Ocean Tugs</t>
        </is>
      </c>
      <c r="B33" s="84" t="inlineStr">
        <is>
          <t>MSC</t>
        </is>
      </c>
      <c r="C33"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3" s="91">
        <f>IFERROR(C33/C$53,0)</f>
        <v/>
      </c>
    </row>
    <row r="34" ht="10" customHeight="1">
      <c r="A34" s="84" t="inlineStr">
        <is>
          <t>Aviation Logistics Support Ship</t>
        </is>
      </c>
      <c r="B34" s="84" t="inlineStr">
        <is>
          <t>USN</t>
        </is>
      </c>
      <c r="C34"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4" s="91">
        <f>IFERROR(C34/C$53,0)</f>
        <v/>
      </c>
    </row>
    <row r="35" ht="10" customHeight="1">
      <c r="A35" s="84" t="inlineStr">
        <is>
          <t>Hospital Ship</t>
        </is>
      </c>
      <c r="B35" s="84" t="inlineStr">
        <is>
          <t>MSC</t>
        </is>
      </c>
      <c r="C35"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5" s="91">
        <f>IFERROR(C35/C$53,0)</f>
        <v/>
      </c>
    </row>
    <row r="36" ht="10" customHeight="1">
      <c r="A36" s="84" t="inlineStr">
        <is>
          <t>Cargo &amp; Vehicle Cargo Ships</t>
        </is>
      </c>
      <c r="B36" s="84" t="inlineStr">
        <is>
          <t>USN</t>
        </is>
      </c>
      <c r="C36"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6" s="91">
        <f>IFERROR(C36/C$53,0)</f>
        <v/>
      </c>
    </row>
    <row r="37" ht="10" customHeight="1">
      <c r="A37" s="84" t="inlineStr">
        <is>
          <t>Research, Survey &amp; Instrumentation Ships</t>
        </is>
      </c>
      <c r="B37" s="84" t="inlineStr">
        <is>
          <t>MSC</t>
        </is>
      </c>
      <c r="C37"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7" s="91">
        <f>IFERROR(C37/C$53,0)</f>
        <v/>
      </c>
    </row>
    <row r="38" ht="10" customHeight="1">
      <c r="A38" s="84" t="inlineStr">
        <is>
          <t>Unmanned Undersea Vehicles</t>
        </is>
      </c>
      <c r="B38" s="84" t="inlineStr">
        <is>
          <t>USN</t>
        </is>
      </c>
      <c r="C3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8" s="91">
        <f>IFERROR(C38/C$53,0)</f>
        <v/>
      </c>
    </row>
    <row r="39" ht="10" customHeight="1">
      <c r="A39" s="84" t="inlineStr">
        <is>
          <t>Combat Logistics Ships</t>
        </is>
      </c>
      <c r="B39" s="84" t="inlineStr">
        <is>
          <t>MSC</t>
        </is>
      </c>
      <c r="C39"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9" s="91">
        <f>IFERROR(C39/C$53,0)</f>
        <v/>
      </c>
    </row>
    <row r="40" ht="10" customHeight="1">
      <c r="A40" s="84" t="inlineStr">
        <is>
          <t>Material Support Ships</t>
        </is>
      </c>
      <c r="B40" s="84" t="inlineStr">
        <is>
          <t>USN</t>
        </is>
      </c>
      <c r="C40"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0" s="91">
        <f>IFERROR(C40/C$53,0)</f>
        <v/>
      </c>
    </row>
    <row r="41" ht="10" customHeight="1">
      <c r="A41" s="84" t="inlineStr">
        <is>
          <t>General Auxiliary</t>
        </is>
      </c>
      <c r="B41" s="84" t="inlineStr">
        <is>
          <t>USN</t>
        </is>
      </c>
      <c r="C41"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1" s="91">
        <f>IFERROR(C41/C$53,0)</f>
        <v/>
      </c>
    </row>
    <row r="42" ht="10" customHeight="1">
      <c r="A42" s="84" t="inlineStr">
        <is>
          <t>High Speed Transport</t>
        </is>
      </c>
      <c r="B42" s="84" t="inlineStr">
        <is>
          <t>USN</t>
        </is>
      </c>
      <c r="C42"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42" s="91">
        <f>IFERROR(C42/C$53,0)</f>
        <v/>
      </c>
    </row>
    <row r="43" ht="10" customHeight="1">
      <c r="A43" s="84" t="inlineStr">
        <is>
          <t>Crane Ship</t>
        </is>
      </c>
      <c r="B43" s="84" t="inlineStr">
        <is>
          <t>USN</t>
        </is>
      </c>
      <c r="C43"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3" s="91">
        <f>IFERROR(C43/C$53,0)</f>
        <v/>
      </c>
    </row>
    <row r="44" ht="10" customHeight="1">
      <c r="A44" s="84" t="inlineStr">
        <is>
          <t>Unmanned Surface Vehicles</t>
        </is>
      </c>
      <c r="B44" s="84" t="inlineStr">
        <is>
          <t>USN</t>
        </is>
      </c>
      <c r="C44"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4" s="91">
        <f>IFERROR(C44/C$53,0)</f>
        <v/>
      </c>
    </row>
    <row r="45" ht="10" customHeight="1">
      <c r="A45" s="84" t="inlineStr">
        <is>
          <t>Submarine Escort Ship</t>
        </is>
      </c>
      <c r="B45" s="84" t="inlineStr">
        <is>
          <t>USN</t>
        </is>
      </c>
      <c r="C45"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5" s="91">
        <f>IFERROR(C45/C$53,0)</f>
        <v/>
      </c>
    </row>
    <row r="46" ht="10" customHeight="1">
      <c r="A46" s="84" t="inlineStr">
        <is>
          <t>National Security Cutters</t>
        </is>
      </c>
      <c r="B46" s="84" t="inlineStr">
        <is>
          <t>USCG</t>
        </is>
      </c>
      <c r="C46"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1">
        <f>IFERROR(C46/C$53,0)</f>
        <v/>
      </c>
    </row>
    <row r="47" ht="10" customHeight="1">
      <c r="A47" s="84" t="inlineStr">
        <is>
          <t>Waterways Commerce Cutters</t>
        </is>
      </c>
      <c r="B47" s="84" t="inlineStr">
        <is>
          <t>USCG</t>
        </is>
      </c>
      <c r="C47"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7" s="91">
        <f>IFERROR(C47/C$53,0)</f>
        <v/>
      </c>
    </row>
    <row r="48" ht="10" customHeight="1">
      <c r="A48" s="84" t="inlineStr">
        <is>
          <t>Icebreakers, Great Lakes</t>
        </is>
      </c>
      <c r="B48" s="84" t="inlineStr">
        <is>
          <t>USCG</t>
        </is>
      </c>
      <c r="C48"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8" s="91">
        <f>IFERROR(C48/C$53,0)</f>
        <v/>
      </c>
    </row>
    <row r="49" ht="10" customHeight="1">
      <c r="A49" s="84" t="inlineStr">
        <is>
          <t>Coastal Buoy Tenders</t>
        </is>
      </c>
      <c r="B49" s="84" t="inlineStr">
        <is>
          <t>USCG</t>
        </is>
      </c>
      <c r="C49"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9" s="91">
        <f>IFERROR(C49/C$53,0)</f>
        <v/>
      </c>
    </row>
    <row r="50" ht="10" customHeight="1">
      <c r="A50" s="84" t="inlineStr">
        <is>
          <t>Offshore Patrol Cutter</t>
        </is>
      </c>
      <c r="B50" s="84" t="inlineStr">
        <is>
          <t>USCG</t>
        </is>
      </c>
      <c r="C50"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50" s="91">
        <f>IFERROR(C50/C$53,0)</f>
        <v/>
      </c>
    </row>
    <row r="51" ht="10" customHeight="1">
      <c r="A51" s="84" t="inlineStr">
        <is>
          <t>Icebreakers, Oceangoing</t>
        </is>
      </c>
      <c r="B51" s="84" t="inlineStr">
        <is>
          <t>USCG</t>
        </is>
      </c>
      <c r="C51"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1" s="91">
        <f>IFERROR(C51/C$53,0)</f>
        <v/>
      </c>
    </row>
    <row r="52" ht="10" customHeight="1">
      <c r="A52" s="84" t="inlineStr">
        <is>
          <t>Fast Response Cutters</t>
        </is>
      </c>
      <c r="B52" s="84" t="inlineStr">
        <is>
          <t>USCG</t>
        </is>
      </c>
      <c r="C52"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2" s="91">
        <f>IFERROR(C52/C$53,0)</f>
        <v/>
      </c>
    </row>
    <row r="53" ht="10" customHeight="1">
      <c r="A53" s="86" t="inlineStr">
        <is>
          <t>MRO TAM</t>
        </is>
      </c>
      <c r="B53" s="86" t="inlineStr"/>
      <c r="C53" s="87">
        <f>SUM(C25:C52)</f>
        <v/>
      </c>
      <c r="D53" s="92" t="n">
        <v>1</v>
      </c>
    </row>
    <row r="54" ht="10" customHeight="1"/>
    <row r="55" ht="10" customHeight="1"/>
    <row r="56" ht="10" customHeight="1">
      <c r="A56" s="81" t="inlineStr">
        <is>
          <t>(D) MRO TAM — Work Type by Vessel Type (Mekko)</t>
        </is>
      </c>
      <c r="B56" s="82" t="n"/>
      <c r="C56" s="82" t="n"/>
      <c r="D56" s="82" t="n"/>
      <c r="E56" s="82" t="n"/>
      <c r="F56" s="82" t="n"/>
      <c r="G56" s="82" t="n"/>
      <c r="H56" s="82" t="n"/>
      <c r="I56" s="82" t="n"/>
      <c r="J56" s="82" t="n"/>
      <c r="K56" s="82" t="n"/>
    </row>
    <row r="57" ht="10" customHeight="1">
      <c r="A57" s="93" t="n"/>
      <c r="B57" s="94" t="inlineStr">
        <is>
          <t>USN</t>
        </is>
      </c>
      <c r="C57" s="93" t="n"/>
      <c r="D57" s="93" t="n"/>
      <c r="E57" s="93" t="n"/>
      <c r="F57" s="93" t="n"/>
      <c r="G57" s="93" t="n"/>
      <c r="H57" s="93" t="n"/>
      <c r="I57" s="93" t="n"/>
      <c r="J57" s="94" t="inlineStr">
        <is>
          <t>USCG</t>
        </is>
      </c>
      <c r="K57" s="95" t="n"/>
    </row>
    <row r="58" ht="10" customHeight="1">
      <c r="A58" s="83" t="inlineStr">
        <is>
          <t>Work Type</t>
        </is>
      </c>
      <c r="B58" s="96" t="inlineStr">
        <is>
          <t>Submarines</t>
        </is>
      </c>
      <c r="C58" s="83" t="inlineStr">
        <is>
          <t>Surface Combatants</t>
        </is>
      </c>
      <c r="D58" s="83" t="inlineStr">
        <is>
          <t>Aircraft Carriers</t>
        </is>
      </c>
      <c r="E58" s="83" t="inlineStr">
        <is>
          <t>Amphibious Warfare Ships</t>
        </is>
      </c>
      <c r="F58" s="83" t="inlineStr">
        <is>
          <t>Expeditionary &amp; Seabasing Ships</t>
        </is>
      </c>
      <c r="G58" s="83" t="inlineStr">
        <is>
          <t>Command Ships</t>
        </is>
      </c>
      <c r="H58" s="83" t="inlineStr">
        <is>
          <t>Surveillance Ships</t>
        </is>
      </c>
      <c r="I58" s="83" t="inlineStr">
        <is>
          <t>Mine Warfare</t>
        </is>
      </c>
      <c r="J58" s="96" t="inlineStr">
        <is>
          <t>National Security Cutters</t>
        </is>
      </c>
      <c r="K58" s="96" t="inlineStr">
        <is>
          <t>Total</t>
        </is>
      </c>
    </row>
    <row r="59" ht="10" customHeight="1">
      <c r="A59" s="84" t="inlineStr">
        <is>
          <t>Scheduled Depot Maintenance</t>
        </is>
      </c>
      <c r="B59" s="9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4" t="inlineStr">
        <is>
          <t>Continuous / Emergent Maintenance</t>
        </is>
      </c>
      <c r="B60" s="9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4" t="inlineStr">
        <is>
          <t>Modernization</t>
        </is>
      </c>
      <c r="B61" s="9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4" t="inlineStr">
        <is>
          <t>Major Life-Cycle Events / RCOH</t>
        </is>
      </c>
      <c r="B62" s="9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4" t="inlineStr">
        <is>
          <t>Sustainment Engineering</t>
        </is>
      </c>
      <c r="B63" s="9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4" t="inlineStr">
        <is>
          <t>Availability Support</t>
        </is>
      </c>
      <c r="B64" s="9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6" t="inlineStr">
        <is>
          <t>Total ($K)</t>
        </is>
      </c>
      <c r="B65"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8">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'FY26 MRO TAM'!B20</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1">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1">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1">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1">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1">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1">
        <f>IFERROR(E20/E$40,0)</f>
        <v/>
      </c>
    </row>
    <row r="21" ht="10" customHeight="1">
      <c r="A21" s="84" t="inlineStr">
        <is>
          <t>Salvage Ships &amp; Fleet Ocean Tugs</t>
        </is>
      </c>
      <c r="B21" s="84" t="inlineStr">
        <is>
          <t>MSC</t>
        </is>
      </c>
      <c r="C21"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1"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1" s="85">
        <f>C21+D21</f>
        <v/>
      </c>
      <c r="F21" s="91">
        <f>IFERROR(E21/E$40,0)</f>
        <v/>
      </c>
    </row>
    <row r="22" ht="10" customHeight="1">
      <c r="A22" s="84" t="inlineStr">
        <is>
          <t>General Auxiliary</t>
        </is>
      </c>
      <c r="B22" s="84" t="inlineStr">
        <is>
          <t>USN</t>
        </is>
      </c>
      <c r="C2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2"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2" s="85">
        <f>C22+D22</f>
        <v/>
      </c>
      <c r="F22" s="91">
        <f>IFERROR(E22/E$40,0)</f>
        <v/>
      </c>
    </row>
    <row r="23" ht="10" customHeight="1">
      <c r="A23" s="84" t="inlineStr">
        <is>
          <t>Aviation Logistics Support Ship</t>
        </is>
      </c>
      <c r="B23" s="84" t="inlineStr">
        <is>
          <t>USN</t>
        </is>
      </c>
      <c r="C23"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3"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3" s="85">
        <f>C23+D23</f>
        <v/>
      </c>
      <c r="F23" s="91">
        <f>IFERROR(E23/E$40,0)</f>
        <v/>
      </c>
    </row>
    <row r="24" ht="10" customHeight="1">
      <c r="A24" s="84" t="inlineStr">
        <is>
          <t>High Speed Transport</t>
        </is>
      </c>
      <c r="B24" s="84" t="inlineStr">
        <is>
          <t>USN</t>
        </is>
      </c>
      <c r="C24"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4"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4" s="85">
        <f>C24+D24</f>
        <v/>
      </c>
      <c r="F24" s="91">
        <f>IFERROR(E24/E$40,0)</f>
        <v/>
      </c>
    </row>
    <row r="25" ht="10" customHeight="1">
      <c r="A25" s="84" t="inlineStr">
        <is>
          <t>Crane Ship</t>
        </is>
      </c>
      <c r="B25" s="84" t="inlineStr">
        <is>
          <t>USN</t>
        </is>
      </c>
      <c r="C25"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5"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5" s="85">
        <f>C25+D25</f>
        <v/>
      </c>
      <c r="F25" s="91">
        <f>IFERROR(E25/E$40,0)</f>
        <v/>
      </c>
    </row>
    <row r="26" ht="10" customHeight="1">
      <c r="A26" s="84" t="inlineStr">
        <is>
          <t>Hospital Ship</t>
        </is>
      </c>
      <c r="B26" s="84" t="inlineStr">
        <is>
          <t>MSC</t>
        </is>
      </c>
      <c r="C26"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6"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6" s="85">
        <f>C26+D26</f>
        <v/>
      </c>
      <c r="F26" s="91">
        <f>IFERROR(E26/E$40,0)</f>
        <v/>
      </c>
    </row>
    <row r="27" ht="10" customHeight="1">
      <c r="A27" s="84" t="inlineStr">
        <is>
          <t>Cargo &amp; Vehicle Cargo Ships</t>
        </is>
      </c>
      <c r="B27" s="84" t="inlineStr">
        <is>
          <t>USN</t>
        </is>
      </c>
      <c r="C27"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7"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7" s="85">
        <f>C27+D27</f>
        <v/>
      </c>
      <c r="F27" s="91">
        <f>IFERROR(E27/E$40,0)</f>
        <v/>
      </c>
    </row>
    <row r="28" ht="10" customHeight="1">
      <c r="A28" s="84" t="inlineStr">
        <is>
          <t>Unmanned Surface Vehicles</t>
        </is>
      </c>
      <c r="B28" s="84" t="inlineStr">
        <is>
          <t>USN</t>
        </is>
      </c>
      <c r="C28"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8"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8" s="85">
        <f>C28+D28</f>
        <v/>
      </c>
      <c r="F28" s="91">
        <f>IFERROR(E28/E$40,0)</f>
        <v/>
      </c>
    </row>
    <row r="29" ht="10" customHeight="1">
      <c r="A29" s="84" t="inlineStr">
        <is>
          <t>Research, Survey &amp; Instrumentation Ships</t>
        </is>
      </c>
      <c r="B29" s="84" t="inlineStr">
        <is>
          <t>MSC</t>
        </is>
      </c>
      <c r="C29"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9"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9" s="85">
        <f>C29+D29</f>
        <v/>
      </c>
      <c r="F29" s="91">
        <f>IFERROR(E29/E$40,0)</f>
        <v/>
      </c>
    </row>
    <row r="30" ht="10" customHeight="1">
      <c r="A30" s="84" t="inlineStr">
        <is>
          <t>Combat Logistics Ships</t>
        </is>
      </c>
      <c r="B30" s="84" t="inlineStr">
        <is>
          <t>MSC</t>
        </is>
      </c>
      <c r="C30"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30"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30" s="85">
        <f>C30+D30</f>
        <v/>
      </c>
      <c r="F30" s="91">
        <f>IFERROR(E30/E$40,0)</f>
        <v/>
      </c>
    </row>
    <row r="31" ht="10" customHeight="1">
      <c r="A31" s="84" t="inlineStr">
        <is>
          <t>Submarine Escort Ship</t>
        </is>
      </c>
      <c r="B31" s="84" t="inlineStr">
        <is>
          <t>USN</t>
        </is>
      </c>
      <c r="C3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31"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31" s="85">
        <f>C31+D31</f>
        <v/>
      </c>
      <c r="F31" s="91">
        <f>IFERROR(E31/E$40,0)</f>
        <v/>
      </c>
    </row>
    <row r="32" ht="10" customHeight="1">
      <c r="A32" s="84" t="inlineStr">
        <is>
          <t>Material Support Ships</t>
        </is>
      </c>
      <c r="B32" s="84" t="inlineStr">
        <is>
          <t>USN</t>
        </is>
      </c>
      <c r="C32"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32"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32" s="85">
        <f>C32+D32</f>
        <v/>
      </c>
      <c r="F32" s="91">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1">
        <f>IFERROR(E33/E$40,0)</f>
        <v/>
      </c>
    </row>
    <row r="34" ht="10" customHeight="1">
      <c r="A34" s="84" t="inlineStr">
        <is>
          <t>Waterways Commerce Cutters</t>
        </is>
      </c>
      <c r="B34" s="84" t="inlineStr">
        <is>
          <t>USCG</t>
        </is>
      </c>
      <c r="C34"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85">
        <f>C34+D34</f>
        <v/>
      </c>
      <c r="F34" s="91">
        <f>IFERROR(E34/E$40,0)</f>
        <v/>
      </c>
    </row>
    <row r="35" ht="10" customHeight="1">
      <c r="A35" s="84" t="inlineStr">
        <is>
          <t>Coastal Buoy Tenders</t>
        </is>
      </c>
      <c r="B35" s="84" t="inlineStr">
        <is>
          <t>USCG</t>
        </is>
      </c>
      <c r="C35"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5"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5" s="85">
        <f>C35+D35</f>
        <v/>
      </c>
      <c r="F35" s="91">
        <f>IFERROR(E35/E$40,0)</f>
        <v/>
      </c>
    </row>
    <row r="36" ht="10" customHeight="1">
      <c r="A36" s="84" t="inlineStr">
        <is>
          <t>Icebreakers, Oceangoing</t>
        </is>
      </c>
      <c r="B36" s="84" t="inlineStr">
        <is>
          <t>USCG</t>
        </is>
      </c>
      <c r="C36"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6"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6" s="85">
        <f>C36+D36</f>
        <v/>
      </c>
      <c r="F36" s="91">
        <f>IFERROR(E36/E$40,0)</f>
        <v/>
      </c>
    </row>
    <row r="37" ht="10" customHeight="1">
      <c r="A37" s="84" t="inlineStr">
        <is>
          <t>Fast Response Cutters</t>
        </is>
      </c>
      <c r="B37" s="84" t="inlineStr">
        <is>
          <t>USCG</t>
        </is>
      </c>
      <c r="C3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7"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7" s="85">
        <f>C37+D37</f>
        <v/>
      </c>
      <c r="F37" s="91">
        <f>IFERROR(E37/E$40,0)</f>
        <v/>
      </c>
    </row>
    <row r="38" ht="10" customHeight="1">
      <c r="A38" s="84" t="inlineStr">
        <is>
          <t>Icebreakers, Great Lakes</t>
        </is>
      </c>
      <c r="B38" s="84" t="inlineStr">
        <is>
          <t>USCG</t>
        </is>
      </c>
      <c r="C38"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8"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8" s="85">
        <f>C38+D38</f>
        <v/>
      </c>
      <c r="F38" s="91">
        <f>IFERROR(E38/E$40,0)</f>
        <v/>
      </c>
    </row>
    <row r="39" ht="10" customHeight="1">
      <c r="A39" s="84" t="inlineStr">
        <is>
          <t>Offshore Patrol Cutter</t>
        </is>
      </c>
      <c r="B39" s="84" t="inlineStr">
        <is>
          <t>USCG</t>
        </is>
      </c>
      <c r="C39"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9"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c r="F43" s="82" t="n"/>
      <c r="G43" s="82" t="n"/>
      <c r="H43" s="82" t="n"/>
      <c r="I43" s="82" t="n"/>
    </row>
    <row r="44" ht="10" customHeight="1">
      <c r="A44" s="93" t="n"/>
      <c r="B44" s="94" t="inlineStr">
        <is>
          <t>USN</t>
        </is>
      </c>
      <c r="C44" s="93" t="n"/>
      <c r="D44" s="93" t="n"/>
      <c r="E44" s="93" t="n"/>
      <c r="F44" s="93" t="n"/>
      <c r="G44" s="93" t="n"/>
      <c r="H44" s="94" t="inlineStr">
        <is>
          <t>USCG</t>
        </is>
      </c>
      <c r="I44" s="95" t="n"/>
    </row>
    <row r="45" ht="10" customHeight="1">
      <c r="A45" s="83" t="inlineStr">
        <is>
          <t>Work Type</t>
        </is>
      </c>
      <c r="B45" s="96" t="inlineStr">
        <is>
          <t>Surface Combatants</t>
        </is>
      </c>
      <c r="C45" s="83" t="inlineStr">
        <is>
          <t>Amphibious Warfare Ships</t>
        </is>
      </c>
      <c r="D45" s="83" t="inlineStr">
        <is>
          <t>Expeditionary &amp; Seabasing Ships</t>
        </is>
      </c>
      <c r="E45" s="83" t="inlineStr">
        <is>
          <t>Command Ships</t>
        </is>
      </c>
      <c r="F45" s="83" t="inlineStr">
        <is>
          <t>Surveillance Ships</t>
        </is>
      </c>
      <c r="G45" s="83" t="inlineStr">
        <is>
          <t>Mine Warfare</t>
        </is>
      </c>
      <c r="H45" s="96" t="inlineStr">
        <is>
          <t>National Security Cutters</t>
        </is>
      </c>
      <c r="I45" s="96" t="inlineStr">
        <is>
          <t>Total</t>
        </is>
      </c>
    </row>
    <row r="46" ht="10" customHeight="1">
      <c r="A46" s="84" t="inlineStr">
        <is>
          <t>Scheduled Depot Maintenance</t>
        </is>
      </c>
      <c r="B46" s="9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7">
        <f>IFERROR(1-I47,0)</f>
        <v/>
      </c>
    </row>
    <row r="47" ht="10" customHeight="1">
      <c r="A47" s="84" t="inlineStr">
        <is>
          <t>Modernization</t>
        </is>
      </c>
      <c r="B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6" t="inlineStr">
        <is>
          <t>Total ($K)</t>
        </is>
      </c>
      <c r="B48" s="9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8">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row r="16" ht="10" customHeight="1">
      <c r="A16" s="81" t="inlineStr">
        <is>
          <t>(B) FY2027 Total Funding by Vessel Category</t>
        </is>
      </c>
      <c r="B16" s="82" t="n"/>
      <c r="C16" s="82" t="n"/>
    </row>
    <row r="17" ht="10" customHeight="1">
      <c r="A17" s="83" t="inlineStr">
        <is>
          <t>Category</t>
        </is>
      </c>
      <c r="B17" s="83" t="inlineStr">
        <is>
          <t>FY2027 ($K)</t>
        </is>
      </c>
      <c r="C17" s="83" t="inlineStr">
        <is>
          <t>TAM Scope</t>
        </is>
      </c>
    </row>
    <row r="18" ht="10" customHeight="1">
      <c r="A18" s="84" t="inlineStr">
        <is>
          <t>Combatant Ships</t>
        </is>
      </c>
      <c r="B18" s="85">
        <f>SUMIFS(JB_27U,JB_V,"Combatant Ships",JB_S,"",JB_27U,"&lt;&gt;")+SUMIFS(JB_27S,JB_V,"Combatant Ships",JB_S,"",JB_27U,"")+SUMIFS(JB_27U,JB_V,"Combatant Ships",JB_S,"[PARENT]",JB_27U,"&lt;&gt;")+SUMIFS(JB_27S,JB_V,"Combatant Ships",JB_S,"[PARENT]",JB_27U,"")</f>
        <v/>
      </c>
      <c r="C18" s="80" t="inlineStr">
        <is>
          <t>YES → TAM</t>
        </is>
      </c>
    </row>
    <row r="19" ht="10" customHeight="1">
      <c r="A19" s="84" t="inlineStr">
        <is>
          <t>Auxiliary Ships</t>
        </is>
      </c>
      <c r="B19" s="85">
        <f>SUMIFS(JB_27U,JB_V,"Auxiliary Ships",JB_S,"",JB_27U,"&lt;&gt;")+SUMIFS(JB_27S,JB_V,"Auxiliary Ships",JB_S,"",JB_27U,"")+SUMIFS(JB_27U,JB_V,"Auxiliary Ships",JB_S,"[PARENT]",JB_27U,"&lt;&gt;")+SUMIFS(JB_27S,JB_V,"Auxiliary Ships",JB_S,"[PARENT]",JB_27U,"")</f>
        <v/>
      </c>
      <c r="C19" s="80" t="inlineStr">
        <is>
          <t>YES → TAM</t>
        </is>
      </c>
    </row>
    <row r="20" ht="10" customHeight="1">
      <c r="A20" s="84" t="inlineStr">
        <is>
          <t>Cutters</t>
        </is>
      </c>
      <c r="B20" s="85">
        <f>SUMIFS(JB_27U,JB_V,"Cutters",JB_S,"",JB_27U,"&lt;&gt;")+SUMIFS(JB_27S,JB_V,"Cutters",JB_S,"",JB_27U,"")+SUMIFS(JB_27U,JB_V,"Cutters",JB_S,"[PARENT]",JB_27U,"&lt;&gt;")+SUMIFS(JB_27S,JB_V,"Cutters",JB_S,"[PARENT]",JB_27U,"")</f>
        <v/>
      </c>
      <c r="C20" s="80" t="inlineStr">
        <is>
          <t>YES → TAM</t>
        </is>
      </c>
    </row>
    <row r="21" ht="10" customHeight="1">
      <c r="A21" s="84" t="inlineStr">
        <is>
          <t>Unmanned Maritime Platforms</t>
        </is>
      </c>
      <c r="B21" s="85">
        <f>SUMIFS(JB_27U,JB_V,"Unmanned Maritime Platforms",JB_S,"",JB_27U,"&lt;&gt;")+SUMIFS(JB_27S,JB_V,"Unmanned Maritime Platforms",JB_S,"",JB_27U,"")+SUMIFS(JB_27U,JB_V,"Unmanned Maritime Platforms",JB_S,"[PARENT]",JB_27U,"&lt;&gt;")+SUMIFS(JB_27S,JB_V,"Unmanned Maritime Platforms",JB_S,"[PARENT]",JB_27U,"")</f>
        <v/>
      </c>
      <c r="C21" s="80" t="inlineStr">
        <is>
          <t>YES → TAM</t>
        </is>
      </c>
    </row>
    <row r="22" ht="10" customHeight="1">
      <c r="A22" s="84" t="inlineStr">
        <is>
          <t>Combatant Crafts</t>
        </is>
      </c>
      <c r="B22" s="85">
        <f>SUMIFS(JB_27U,JB_V,"Combatant Crafts",JB_S,"",JB_27U,"&lt;&gt;")+SUMIFS(JB_27S,JB_V,"Combatant Crafts",JB_S,"",JB_27U,"")+SUMIFS(JB_27U,JB_V,"Combatant Crafts",JB_S,"[PARENT]",JB_27U,"&lt;&gt;")+SUMIFS(JB_27S,JB_V,"Combatant Crafts",JB_S,"[PARENT]",JB_27U,"")</f>
        <v/>
      </c>
      <c r="C22" s="80" t="inlineStr">
        <is>
          <t>No — small craft</t>
        </is>
      </c>
    </row>
    <row r="23" ht="10" customHeight="1">
      <c r="A23" s="84" t="inlineStr">
        <is>
          <t>Support Crafts</t>
        </is>
      </c>
      <c r="B23" s="85">
        <f>SUMIFS(JB_27U,JB_V,"Support Crafts",JB_S,"",JB_27U,"&lt;&gt;")+SUMIFS(JB_27S,JB_V,"Support Crafts",JB_S,"",JB_27U,"")+SUMIFS(JB_27U,JB_V,"Support Crafts",JB_S,"[PARENT]",JB_27U,"&lt;&gt;")+SUMIFS(JB_27S,JB_V,"Support Crafts",JB_S,"[PARENT]",JB_27U,"")</f>
        <v/>
      </c>
      <c r="C23" s="80" t="inlineStr">
        <is>
          <t>No — non-oceangoing</t>
        </is>
      </c>
    </row>
    <row r="24" ht="10" customHeight="1">
      <c r="A24" s="84" t="inlineStr">
        <is>
          <t>Boats</t>
        </is>
      </c>
      <c r="B24" s="85">
        <f>SUMIFS(JB_27U,JB_V,"Boats",JB_S,"",JB_27U,"&lt;&gt;")+SUMIFS(JB_27S,JB_V,"Boats",JB_S,"",JB_27U,"")+SUMIFS(JB_27U,JB_V,"Boats",JB_S,"[PARENT]",JB_27U,"&lt;&gt;")+SUMIFS(JB_27S,JB_V,"Boats",JB_S,"[PARENT]",JB_27U,"")</f>
        <v/>
      </c>
      <c r="C24" s="80" t="inlineStr">
        <is>
          <t>No — under 65 ft</t>
        </is>
      </c>
    </row>
    <row r="25" ht="10" customHeight="1">
      <c r="A25" s="84" t="inlineStr">
        <is>
          <t>Unattributed (fleet-wide)</t>
        </is>
      </c>
      <c r="B25" s="85">
        <f>SUMIFS(JB_27U,JB_V,"",JB_S,"",JB_27U,"&lt;&gt;")+SUMIFS(JB_27S,JB_V,"",JB_S,"",JB_27U,"")+SUMIFS(JB_27U,JB_V,"",JB_S,"[PARENT]",JB_27U,"&lt;&gt;")+SUMIFS(JB_27S,JB_V,"",JB_S,"[PARENT]",JB_27U,"")</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FY2027 Total Funding by Source Book</t>
        </is>
      </c>
      <c r="B30" s="82" t="n"/>
    </row>
    <row r="31" ht="10" customHeight="1">
      <c r="A31" s="83" t="inlineStr">
        <is>
          <t>Source Book</t>
        </is>
      </c>
      <c r="B31" s="83" t="inlineStr">
        <is>
          <t>FY2027 ($K)</t>
        </is>
      </c>
    </row>
    <row r="32" ht="10" customHeight="1">
      <c r="A32" s="84" t="inlineStr">
        <is>
          <t>SCN</t>
        </is>
      </c>
      <c r="B32" s="85">
        <f>SUMIFS(JB_27U,JB_A,"SCN",JB_S,"",JB_27U,"&lt;&gt;")+SUMIFS(JB_27S,JB_A,"SCN",JB_S,"",JB_27U,"")+SUMIFS(JB_27U,JB_A,"SCN",JB_S,"[PARENT]",JB_27U,"&lt;&gt;")+SUMIFS(JB_27S,JB_A,"SCN",JB_S,"[PARENT]",JB_27U,"")</f>
        <v/>
      </c>
    </row>
    <row r="33" ht="10" customHeight="1">
      <c r="A33" s="84" t="inlineStr">
        <is>
          <t>WPN</t>
        </is>
      </c>
      <c r="B33" s="85">
        <f>SUMIFS(JB_27U,JB_A,"WPN",JB_S,"",JB_27U,"&lt;&gt;")+SUMIFS(JB_27S,JB_A,"WPN",JB_S,"",JB_27U,"")+SUMIFS(JB_27U,JB_A,"WPN",JB_S,"[PARENT]",JB_27U,"&lt;&gt;")+SUMIFS(JB_27S,JB_A,"WPN",JB_S,"[PARENT]",JB_27U,"")</f>
        <v/>
      </c>
    </row>
    <row r="34" ht="10" customHeight="1">
      <c r="A34" s="84" t="inlineStr">
        <is>
          <t>OPN_BA2</t>
        </is>
      </c>
      <c r="B34" s="85">
        <f>SUMIFS(JB_27U,JB_A,"OPN_BA2",JB_S,"",JB_27U,"&lt;&gt;")+SUMIFS(JB_27S,JB_A,"OPN_BA2",JB_S,"",JB_27U,"")+SUMIFS(JB_27U,JB_A,"OPN_BA2",JB_S,"[PARENT]",JB_27U,"&lt;&gt;")+SUMIFS(JB_27S,JB_A,"OPN_BA2",JB_S,"[PARENT]",JB_27U,"")</f>
        <v/>
      </c>
    </row>
    <row r="35" ht="10" customHeight="1">
      <c r="A35" s="84" t="inlineStr">
        <is>
          <t>OPN_BA1</t>
        </is>
      </c>
      <c r="B35" s="85">
        <f>SUMIFS(JB_27U,JB_A,"OPN_BA1",JB_S,"",JB_27U,"&lt;&gt;")+SUMIFS(JB_27S,JB_A,"OPN_BA1",JB_S,"",JB_27U,"")+SUMIFS(JB_27U,JB_A,"OPN_BA1",JB_S,"[PARENT]",JB_27U,"&lt;&gt;")+SUMIFS(JB_27S,JB_A,"OPN_BA1",JB_S,"[PARENT]",JB_27U,"")</f>
        <v/>
      </c>
    </row>
    <row r="36" ht="10" customHeight="1">
      <c r="A36" s="84" t="inlineStr">
        <is>
          <t>OPN_BA4</t>
        </is>
      </c>
      <c r="B36" s="85">
        <f>SUMIFS(JB_27U,JB_A,"OPN_BA4",JB_S,"",JB_27U,"&lt;&gt;")+SUMIFS(JB_27S,JB_A,"OPN_BA4",JB_S,"",JB_27U,"")+SUMIFS(JB_27U,JB_A,"OPN_BA4",JB_S,"[PARENT]",JB_27U,"&lt;&gt;")+SUMIFS(JB_27S,JB_A,"OPN_BA4",JB_S,"[PARENT]",JB_27U,"")</f>
        <v/>
      </c>
    </row>
    <row r="37" ht="10" customHeight="1">
      <c r="A37" s="84" t="inlineStr">
        <is>
          <t>OPN_BA3</t>
        </is>
      </c>
      <c r="B37" s="85">
        <f>SUMIFS(JB_27U,JB_A,"OPN_BA3",JB_S,"",JB_27U,"&lt;&gt;")+SUMIFS(JB_27S,JB_A,"OPN_BA3",JB_S,"",JB_27U,"")+SUMIFS(JB_27U,JB_A,"OPN_BA3",JB_S,"[PARENT]",JB_27U,"&lt;&gt;")+SUMIFS(JB_27S,JB_A,"OPN_BA3",JB_S,"[PARENT]",JB_27U,"")</f>
        <v/>
      </c>
    </row>
    <row r="38" ht="10" customHeight="1">
      <c r="A38" s="84" t="inlineStr">
        <is>
          <t>OPN_BA5-8</t>
        </is>
      </c>
      <c r="B38" s="85">
        <f>SUMIFS(JB_27U,JB_A,"OPN_BA5-8",JB_S,"",JB_27U,"&lt;&gt;")+SUMIFS(JB_27S,JB_A,"OPN_BA5-8",JB_S,"",JB_27U,"")+SUMIFS(JB_27U,JB_A,"OPN_BA5-8",JB_S,"[PARENT]",JB_27U,"&lt;&gt;")+SUMIFS(JB_27S,JB_A,"OPN_BA5-8",JB_S,"[PARENT]",JB_27U,"")</f>
        <v/>
      </c>
    </row>
    <row r="39" ht="10" customHeight="1">
      <c r="A39" s="84" t="inlineStr">
        <is>
          <t>NWCF</t>
        </is>
      </c>
      <c r="B39" s="85">
        <f>SUMIFS(JB_27U,JB_A,"NWCF",JB_S,"",JB_27U,"&lt;&gt;")+SUMIFS(JB_27S,JB_A,"NWCF",JB_S,"",JB_27U,"")+SUMIFS(JB_27U,JB_A,"NWCF",JB_S,"[PARENT]",JB_27U,"&lt;&gt;")+SUMIFS(JB_27S,JB_A,"NWCF",JB_S,"[PARENT]",JB_27U,"")</f>
        <v/>
      </c>
    </row>
    <row r="40" ht="10" customHeight="1">
      <c r="A40" s="84" t="inlineStr">
        <is>
          <t>OMN</t>
        </is>
      </c>
      <c r="B40" s="85">
        <f>SUMIFS(JB_27U,JB_A,"OMN",JB_S,"",JB_27U,"&lt;&gt;")+SUMIFS(JB_27S,JB_A,"OMN",JB_S,"",JB_27U,"")+SUMIFS(JB_27U,JB_A,"OMN",JB_S,"[PARENT]",JB_27U,"&lt;&gt;")+SUMIFS(JB_27S,JB_A,"OMN",JB_S,"[PARENT]",JB_27U,"")</f>
        <v/>
      </c>
    </row>
    <row r="41" ht="10" customHeight="1">
      <c r="A41" s="84" t="inlineStr">
        <is>
          <t>OMN_Vol2</t>
        </is>
      </c>
      <c r="B41" s="85">
        <f>SUMIFS(JB_27U,JB_A,"OMN_Vol2",JB_S,"",JB_27U,"&lt;&gt;")+SUMIFS(JB_27S,JB_A,"OMN_Vol2",JB_S,"",JB_27U,"")+SUMIFS(JB_27U,JB_A,"OMN_Vol2",JB_S,"[PARENT]",JB_27U,"&lt;&gt;")+SUMIFS(JB_27S,JB_A,"OMN_Vol2",JB_S,"[PARENT]",JB_27U,"")</f>
        <v/>
      </c>
    </row>
    <row r="42" ht="10" customHeight="1">
      <c r="A42" s="84" t="inlineStr">
        <is>
          <t>USCG</t>
        </is>
      </c>
      <c r="B42" s="85">
        <f>SUMIFS(JB_27U,JB_A,"USCG",JB_S,"",JB_27U,"&lt;&gt;")+SUMIFS(JB_27S,JB_A,"USCG",JB_S,"",JB_27U,"")+SUMIFS(JB_27U,JB_A,"USCG",JB_S,"[PARENT]",JB_27U,"&lt;&gt;")+SUMIFS(JB_27S,JB_A,"USCG",JB_S,"[PARENT]",JB_27U,"")</f>
        <v/>
      </c>
    </row>
    <row r="43" ht="10" customHeight="1">
      <c r="A43" s="86" t="inlineStr">
        <is>
          <t>Total</t>
        </is>
      </c>
      <c r="B43" s="87">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1">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1">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1">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1">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1">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1">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1">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1">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1">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1">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1">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1">
        <f>IFERROR(C25/C$42,0)</f>
        <v/>
      </c>
    </row>
    <row r="26" ht="10" customHeight="1">
      <c r="A26" s="84" t="inlineStr">
        <is>
          <t>Salvage Ships &amp; Fleet Ocean Tugs</t>
        </is>
      </c>
      <c r="B26" s="84" t="inlineStr">
        <is>
          <t>MSC</t>
        </is>
      </c>
      <c r="C26"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91">
        <f>IFERROR(C26/C$42,0)</f>
        <v/>
      </c>
    </row>
    <row r="27" ht="10" customHeight="1">
      <c r="A27" s="84" t="inlineStr">
        <is>
          <t>Mine Warfare</t>
        </is>
      </c>
      <c r="B27" s="84" t="inlineStr">
        <is>
          <t>USN</t>
        </is>
      </c>
      <c r="C27" s="85">
        <f>SUMIFS(JB_27U,JB_B,1,JB_W,"Mine Warfare",JB_S,"",JB_27U,"&lt;&gt;")+SUMIFS(JB_27S,JB_B,1,JB_W,"Mine Warfare",JB_S,"",JB_27U,"")+SUMIFS(JB_27U,JB_B,1,JB_W,"Mine Warfare",JB_S,"[PARENT]",JB_27U,"&lt;&gt;")+SUMIFS(JB_27S,JB_B,1,JB_W,"Mine Warfare",JB_S,"[PARENT]",JB_27U,"")</f>
        <v/>
      </c>
      <c r="D27" s="91">
        <f>IFERROR(C27/C$42,0)</f>
        <v/>
      </c>
    </row>
    <row r="28" ht="10" customHeight="1">
      <c r="A28" s="84" t="inlineStr">
        <is>
          <t>Aviation Logistics Support Ship</t>
        </is>
      </c>
      <c r="B28" s="84" t="inlineStr">
        <is>
          <t>USN</t>
        </is>
      </c>
      <c r="C28"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8" s="91">
        <f>IFERROR(C28/C$42,0)</f>
        <v/>
      </c>
    </row>
    <row r="29" ht="10" customHeight="1">
      <c r="A29" s="84" t="inlineStr">
        <is>
          <t>Research, Survey &amp; Instrumentation Ships</t>
        </is>
      </c>
      <c r="B29" s="84" t="inlineStr">
        <is>
          <t>MSC</t>
        </is>
      </c>
      <c r="C29"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91">
        <f>IFERROR(C29/C$42,0)</f>
        <v/>
      </c>
    </row>
    <row r="30" ht="10" customHeight="1">
      <c r="A30" s="84" t="inlineStr">
        <is>
          <t>Command Ships</t>
        </is>
      </c>
      <c r="B30" s="84" t="inlineStr">
        <is>
          <t>USN</t>
        </is>
      </c>
      <c r="C30" s="85">
        <f>SUMIFS(JB_27U,JB_B,1,JB_W,"Command Ships",JB_S,"",JB_27U,"&lt;&gt;")+SUMIFS(JB_27S,JB_B,1,JB_W,"Command Ships",JB_S,"",JB_27U,"")+SUMIFS(JB_27U,JB_B,1,JB_W,"Command Ships",JB_S,"[PARENT]",JB_27U,"&lt;&gt;")+SUMIFS(JB_27S,JB_B,1,JB_W,"Command Ships",JB_S,"[PARENT]",JB_27U,"")</f>
        <v/>
      </c>
      <c r="D30" s="91">
        <f>IFERROR(C30/C$42,0)</f>
        <v/>
      </c>
    </row>
    <row r="31" ht="10" customHeight="1">
      <c r="A31" s="84" t="inlineStr">
        <is>
          <t>General Auxiliary</t>
        </is>
      </c>
      <c r="B31" s="84" t="inlineStr">
        <is>
          <t>USN</t>
        </is>
      </c>
      <c r="C31" s="85">
        <f>SUMIFS(JB_27U,JB_B,1,JB_W,"General Auxiliary",JB_S,"",JB_27U,"&lt;&gt;")+SUMIFS(JB_27S,JB_B,1,JB_W,"General Auxiliary",JB_S,"",JB_27U,"")+SUMIFS(JB_27U,JB_B,1,JB_W,"General Auxiliary",JB_S,"[PARENT]",JB_27U,"&lt;&gt;")+SUMIFS(JB_27S,JB_B,1,JB_W,"General Auxiliary",JB_S,"[PARENT]",JB_27U,"")</f>
        <v/>
      </c>
      <c r="D31" s="91">
        <f>IFERROR(C31/C$42,0)</f>
        <v/>
      </c>
    </row>
    <row r="32" ht="10" customHeight="1">
      <c r="A32" s="84" t="inlineStr">
        <is>
          <t>High Speed Transport</t>
        </is>
      </c>
      <c r="B32" s="84" t="inlineStr">
        <is>
          <t>USN</t>
        </is>
      </c>
      <c r="C32" s="85">
        <f>SUMIFS(JB_27U,JB_B,1,JB_W,"High Speed Transport",JB_S,"",JB_27U,"&lt;&gt;")+SUMIFS(JB_27S,JB_B,1,JB_W,"High Speed Transport",JB_S,"",JB_27U,"")+SUMIFS(JB_27U,JB_B,1,JB_W,"High Speed Transport",JB_S,"[PARENT]",JB_27U,"&lt;&gt;")+SUMIFS(JB_27S,JB_B,1,JB_W,"High Speed Transport",JB_S,"[PARENT]",JB_27U,"")</f>
        <v/>
      </c>
      <c r="D32" s="91">
        <f>IFERROR(C32/C$42,0)</f>
        <v/>
      </c>
    </row>
    <row r="33" ht="10" customHeight="1">
      <c r="A33" s="84" t="inlineStr">
        <is>
          <t>Crane Ship</t>
        </is>
      </c>
      <c r="B33" s="84" t="inlineStr">
        <is>
          <t>USN</t>
        </is>
      </c>
      <c r="C33" s="85">
        <f>SUMIFS(JB_27U,JB_B,1,JB_W,"Crane Ship",JB_S,"",JB_27U,"&lt;&gt;")+SUMIFS(JB_27S,JB_B,1,JB_W,"Crane Ship",JB_S,"",JB_27U,"")+SUMIFS(JB_27U,JB_B,1,JB_W,"Crane Ship",JB_S,"[PARENT]",JB_27U,"&lt;&gt;")+SUMIFS(JB_27S,JB_B,1,JB_W,"Crane Ship",JB_S,"[PARENT]",JB_27U,"")</f>
        <v/>
      </c>
      <c r="D33" s="91">
        <f>IFERROR(C33/C$42,0)</f>
        <v/>
      </c>
    </row>
    <row r="34" ht="10" customHeight="1">
      <c r="A34" s="84" t="inlineStr">
        <is>
          <t>Submarine Escort Ship</t>
        </is>
      </c>
      <c r="B34" s="84" t="inlineStr">
        <is>
          <t>USN</t>
        </is>
      </c>
      <c r="C34" s="85">
        <f>SUMIFS(JB_27U,JB_B,1,JB_W,"Submarine Escort Ship",JB_S,"",JB_27U,"&lt;&gt;")+SUMIFS(JB_27S,JB_B,1,JB_W,"Submarine Escort Ship",JB_S,"",JB_27U,"")+SUMIFS(JB_27U,JB_B,1,JB_W,"Submarine Escort Ship",JB_S,"[PARENT]",JB_27U,"&lt;&gt;")+SUMIFS(JB_27S,JB_B,1,JB_W,"Submarine Escort Ship",JB_S,"[PARENT]",JB_27U,"")</f>
        <v/>
      </c>
      <c r="D34" s="91">
        <f>IFERROR(C34/C$42,0)</f>
        <v/>
      </c>
    </row>
    <row r="35" ht="10" customHeight="1">
      <c r="A35" s="84" t="inlineStr">
        <is>
          <t>Waterways Commerce Cutters</t>
        </is>
      </c>
      <c r="B35" s="84" t="inlineStr">
        <is>
          <t>USCG</t>
        </is>
      </c>
      <c r="C35" s="85">
        <f>SUMIFS(JB_27U,JB_B,1,JB_W,"Waterways Commerce Cutters",JB_S,"",JB_27U,"&lt;&gt;")+SUMIFS(JB_27S,JB_B,1,JB_W,"Waterways Commerce Cutters",JB_S,"",JB_27U,"")+SUMIFS(JB_27U,JB_B,1,JB_W,"Waterways Commerce Cutters",JB_S,"[PARENT]",JB_27U,"&lt;&gt;")+SUMIFS(JB_27S,JB_B,1,JB_W,"Waterways Commerce Cutters",JB_S,"[PARENT]",JB_27U,"")</f>
        <v/>
      </c>
      <c r="D35" s="91">
        <f>IFERROR(C35/C$42,0)</f>
        <v/>
      </c>
    </row>
    <row r="36" ht="10" customHeight="1">
      <c r="A36" s="84" t="inlineStr">
        <is>
          <t>Icebreakers, Great Lakes</t>
        </is>
      </c>
      <c r="B36" s="84" t="inlineStr">
        <is>
          <t>USCG</t>
        </is>
      </c>
      <c r="C36" s="85">
        <f>SUMIFS(JB_27U,JB_B,1,JB_W,"Icebreakers, Great Lakes",JB_S,"",JB_27U,"&lt;&gt;")+SUMIFS(JB_27S,JB_B,1,JB_W,"Icebreakers, Great Lakes",JB_S,"",JB_27U,"")+SUMIFS(JB_27U,JB_B,1,JB_W,"Icebreakers, Great Lakes",JB_S,"[PARENT]",JB_27U,"&lt;&gt;")+SUMIFS(JB_27S,JB_B,1,JB_W,"Icebreakers, Great Lakes",JB_S,"[PARENT]",JB_27U,"")</f>
        <v/>
      </c>
      <c r="D36" s="91">
        <f>IFERROR(C36/C$42,0)</f>
        <v/>
      </c>
    </row>
    <row r="37" ht="10" customHeight="1">
      <c r="A37" s="84" t="inlineStr">
        <is>
          <t>Coastal Buoy Tenders</t>
        </is>
      </c>
      <c r="B37" s="84" t="inlineStr">
        <is>
          <t>USCG</t>
        </is>
      </c>
      <c r="C37" s="85">
        <f>SUMIFS(JB_27U,JB_B,1,JB_W,"Coastal Buoy Tenders",JB_S,"",JB_27U,"&lt;&gt;")+SUMIFS(JB_27S,JB_B,1,JB_W,"Coastal Buoy Tenders",JB_S,"",JB_27U,"")+SUMIFS(JB_27U,JB_B,1,JB_W,"Coastal Buoy Tenders",JB_S,"[PARENT]",JB_27U,"&lt;&gt;")+SUMIFS(JB_27S,JB_B,1,JB_W,"Coastal Buoy Tenders",JB_S,"[PARENT]",JB_27U,"")</f>
        <v/>
      </c>
      <c r="D37" s="91">
        <f>IFERROR(C37/C$42,0)</f>
        <v/>
      </c>
    </row>
    <row r="38" ht="10" customHeight="1">
      <c r="A38" s="84" t="inlineStr">
        <is>
          <t>Offshore Patrol Cutter</t>
        </is>
      </c>
      <c r="B38" s="84" t="inlineStr">
        <is>
          <t>USCG</t>
        </is>
      </c>
      <c r="C38" s="85">
        <f>SUMIFS(JB_27U,JB_B,1,JB_W,"Offshore Patrol Cutter",JB_S,"",JB_27U,"&lt;&gt;")+SUMIFS(JB_27S,JB_B,1,JB_W,"Offshore Patrol Cutter",JB_S,"",JB_27U,"")+SUMIFS(JB_27U,JB_B,1,JB_W,"Offshore Patrol Cutter",JB_S,"[PARENT]",JB_27U,"&lt;&gt;")+SUMIFS(JB_27S,JB_B,1,JB_W,"Offshore Patrol Cutter",JB_S,"[PARENT]",JB_27U,"")</f>
        <v/>
      </c>
      <c r="D38" s="91">
        <f>IFERROR(C38/C$42,0)</f>
        <v/>
      </c>
    </row>
    <row r="39" ht="10" customHeight="1">
      <c r="A39" s="84" t="inlineStr">
        <is>
          <t>National Security Cutters</t>
        </is>
      </c>
      <c r="B39" s="84" t="inlineStr">
        <is>
          <t>USCG</t>
        </is>
      </c>
      <c r="C39" s="85">
        <f>SUMIFS(JB_27U,JB_B,1,JB_W,"National Security Cutters",JB_S,"",JB_27U,"&lt;&gt;")+SUMIFS(JB_27S,JB_B,1,JB_W,"National Security Cutters",JB_S,"",JB_27U,"")+SUMIFS(JB_27U,JB_B,1,JB_W,"National Security Cutters",JB_S,"[PARENT]",JB_27U,"&lt;&gt;")+SUMIFS(JB_27S,JB_B,1,JB_W,"National Security Cutters",JB_S,"[PARENT]",JB_27U,"")</f>
        <v/>
      </c>
      <c r="D39" s="91">
        <f>IFERROR(C39/C$42,0)</f>
        <v/>
      </c>
    </row>
    <row r="40" ht="10" customHeight="1">
      <c r="A40" s="84" t="inlineStr">
        <is>
          <t>Icebreakers, Oceangoing</t>
        </is>
      </c>
      <c r="B40" s="84" t="inlineStr">
        <is>
          <t>USCG</t>
        </is>
      </c>
      <c r="C40" s="85">
        <f>SUMIFS(JB_27U,JB_B,1,JB_W,"Icebreakers, Oceangoing",JB_S,"",JB_27U,"&lt;&gt;")+SUMIFS(JB_27S,JB_B,1,JB_W,"Icebreakers, Oceangoing",JB_S,"",JB_27U,"")+SUMIFS(JB_27U,JB_B,1,JB_W,"Icebreakers, Oceangoing",JB_S,"[PARENT]",JB_27U,"&lt;&gt;")+SUMIFS(JB_27S,JB_B,1,JB_W,"Icebreakers, Oceangoing",JB_S,"[PARENT]",JB_27U,"")</f>
        <v/>
      </c>
      <c r="D40" s="91">
        <f>IFERROR(C40/C$42,0)</f>
        <v/>
      </c>
    </row>
    <row r="41" ht="10" customHeight="1">
      <c r="A41" s="84" t="inlineStr">
        <is>
          <t>Fast Response Cutters</t>
        </is>
      </c>
      <c r="B41" s="84" t="inlineStr">
        <is>
          <t>USCG</t>
        </is>
      </c>
      <c r="C41" s="85">
        <f>SUMIFS(JB_27U,JB_B,1,JB_W,"Fast Response Cutters",JB_S,"",JB_27U,"&lt;&gt;")+SUMIFS(JB_27S,JB_B,1,JB_W,"Fast Response Cutters",JB_S,"",JB_27U,"")+SUMIFS(JB_27U,JB_B,1,JB_W,"Fast Response Cutters",JB_S,"[PARENT]",JB_27U,"&lt;&gt;")+SUMIFS(JB_27S,JB_B,1,JB_W,"Fast Response Cutters",JB_S,"[PARENT]",JB_27U,"")</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row>
    <row r="46" ht="10" customHeight="1">
      <c r="A46" s="93" t="n"/>
      <c r="B46" s="94" t="inlineStr">
        <is>
          <t>USN</t>
        </is>
      </c>
      <c r="C46" s="93" t="n"/>
      <c r="D46" s="93" t="n"/>
      <c r="E46" s="93" t="n"/>
      <c r="F46" s="93" t="n"/>
      <c r="G46" s="93" t="n"/>
      <c r="H46" s="93" t="n"/>
      <c r="I46" s="93" t="n"/>
      <c r="J46" s="93" t="n"/>
      <c r="K46" s="93" t="n"/>
      <c r="L46" s="93" t="n"/>
      <c r="M46" s="93" t="n"/>
      <c r="N46" s="95" t="n"/>
    </row>
    <row r="47" ht="10" customHeight="1">
      <c r="A47" s="83" t="inlineStr">
        <is>
          <t>Sub-Category</t>
        </is>
      </c>
      <c r="B47" s="96" t="inlineStr">
        <is>
          <t>Submarines</t>
        </is>
      </c>
      <c r="C47" s="83" t="inlineStr">
        <is>
          <t>Amphibious Warfare Ships</t>
        </is>
      </c>
      <c r="D47" s="83" t="inlineStr">
        <is>
          <t>Surface Combatants</t>
        </is>
      </c>
      <c r="E47" s="83" t="inlineStr">
        <is>
          <t>Material Support Ships</t>
        </is>
      </c>
      <c r="F47" s="83" t="inlineStr">
        <is>
          <t>Aircraft Carriers</t>
        </is>
      </c>
      <c r="G47" s="83" t="inlineStr">
        <is>
          <t>Combat Logistics Ships</t>
        </is>
      </c>
      <c r="H47" s="83" t="inlineStr">
        <is>
          <t>Expeditionary &amp; Seabasing Ships</t>
        </is>
      </c>
      <c r="I47" s="83" t="inlineStr">
        <is>
          <t>Surveillance Ships</t>
        </is>
      </c>
      <c r="J47" s="83" t="inlineStr">
        <is>
          <t>Hospital Ship</t>
        </is>
      </c>
      <c r="K47" s="83" t="inlineStr">
        <is>
          <t>Cargo &amp; Vehicle Cargo Ships</t>
        </is>
      </c>
      <c r="L47" s="83" t="inlineStr">
        <is>
          <t>Unmanned Undersea Vehicles</t>
        </is>
      </c>
      <c r="M47" s="83" t="inlineStr">
        <is>
          <t>Unmanned Surface Vehicles</t>
        </is>
      </c>
      <c r="N47" s="96" t="inlineStr">
        <is>
          <t>Total</t>
        </is>
      </c>
    </row>
    <row r="48" ht="10" customHeight="1">
      <c r="A48" s="84" t="inlineStr">
        <is>
          <t>Full Ship DD&amp;C</t>
        </is>
      </c>
      <c r="B48" s="9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7">
        <f>IFERROR(1-N49,0)</f>
        <v/>
      </c>
    </row>
    <row r="49" ht="10" customHeight="1">
      <c r="A49" s="84" t="inlineStr">
        <is>
          <t>Advance Procurement / LLTM</t>
        </is>
      </c>
      <c r="B49" s="9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1">
        <f>IFERROR(1-M48-M49,0)</f>
        <v/>
      </c>
      <c r="N50" s="97">
        <f>IFERROR(1-N48-N49,0)</f>
        <v/>
      </c>
    </row>
    <row r="51" ht="10" customHeight="1">
      <c r="A51" s="86" t="inlineStr">
        <is>
          <t>Total ($K)</t>
        </is>
      </c>
      <c r="B51" s="98">
        <f>SUMIFS(JB_27U,JB_B,1,JB_W,"Submarines",JB_S,"",JB_27U,"&lt;&gt;")+SUMIFS(JB_27S,JB_B,1,JB_W,"Submarines",JB_S,"",JB_27U,"")+SUMIFS(JB_27U,JB_B,1,JB_W,"Submarines",JB_S,"[PARENT]",JB_27U,"&lt;&gt;")+SUMIFS(JB_27S,JB_B,1,JB_W,"Submarines",JB_S,"[PARENT]",JB_27U,"")</f>
        <v/>
      </c>
      <c r="C51" s="87">
        <f>SUMIFS(JB_27U,JB_B,1,JB_W,"Amphibious Warfare Ships",JB_S,"",JB_27U,"&lt;&gt;")+SUMIFS(JB_27S,JB_B,1,JB_W,"Amphibious Warfare Ships",JB_S,"",JB_27U,"")+SUMIFS(JB_27U,JB_B,1,JB_W,"Amphibious Warfare Ships",JB_S,"[PARENT]",JB_27U,"&lt;&gt;")+SUMIFS(JB_27S,JB_B,1,JB_W,"Amphibious Warfare Ships",JB_S,"[PARENT]",JB_27U,"")</f>
        <v/>
      </c>
      <c r="D51" s="87">
        <f>SUMIFS(JB_27U,JB_B,1,JB_W,"Surface Combatants",JB_S,"",JB_27U,"&lt;&gt;")+SUMIFS(JB_27S,JB_B,1,JB_W,"Surface Combatants",JB_S,"",JB_27U,"")+SUMIFS(JB_27U,JB_B,1,JB_W,"Surface Combatants",JB_S,"[PARENT]",JB_27U,"&lt;&gt;")+SUMIFS(JB_27S,JB_B,1,JB_W,"Surface Combatants",JB_S,"[PARENT]",JB_27U,"")</f>
        <v/>
      </c>
      <c r="E51" s="87">
        <f>SUMIFS(JB_27U,JB_B,1,JB_W,"Material Support Ships",JB_S,"",JB_27U,"&lt;&gt;")+SUMIFS(JB_27S,JB_B,1,JB_W,"Material Support Ships",JB_S,"",JB_27U,"")+SUMIFS(JB_27U,JB_B,1,JB_W,"Material Support Ships",JB_S,"[PARENT]",JB_27U,"&lt;&gt;")+SUMIFS(JB_27S,JB_B,1,JB_W,"Material Support Ships",JB_S,"[PARENT]",JB_27U,"")</f>
        <v/>
      </c>
      <c r="F51" s="87">
        <f>SUMIFS(JB_27U,JB_B,1,JB_W,"Aircraft Carriers",JB_S,"",JB_27U,"&lt;&gt;")+SUMIFS(JB_27S,JB_B,1,JB_W,"Aircraft Carriers",JB_S,"",JB_27U,"")+SUMIFS(JB_27U,JB_B,1,JB_W,"Aircraft Carriers",JB_S,"[PARENT]",JB_27U,"&lt;&gt;")+SUMIFS(JB_27S,JB_B,1,JB_W,"Aircraft Carriers",JB_S,"[PARENT]",JB_27U,"")</f>
        <v/>
      </c>
      <c r="G51" s="87">
        <f>SUMIFS(JB_27U,JB_B,1,JB_W,"Combat Logistics Ships",JB_S,"",JB_27U,"&lt;&gt;")+SUMIFS(JB_27S,JB_B,1,JB_W,"Combat Logistics Ships",JB_S,"",JB_27U,"")+SUMIFS(JB_27U,JB_B,1,JB_W,"Combat Logistics Ships",JB_S,"[PARENT]",JB_27U,"&lt;&gt;")+SUMIFS(JB_27S,JB_B,1,JB_W,"Combat Logistics Ships",JB_S,"[PARENT]",JB_27U,"")</f>
        <v/>
      </c>
      <c r="H51"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7">
        <f>SUMIFS(JB_27U,JB_B,1,JB_W,"Surveillance Ships",JB_S,"",JB_27U,"&lt;&gt;")+SUMIFS(JB_27S,JB_B,1,JB_W,"Surveillance Ships",JB_S,"",JB_27U,"")+SUMIFS(JB_27U,JB_B,1,JB_W,"Surveillance Ships",JB_S,"[PARENT]",JB_27U,"&lt;&gt;")+SUMIFS(JB_27S,JB_B,1,JB_W,"Surveillance Ships",JB_S,"[PARENT]",JB_27U,"")</f>
        <v/>
      </c>
      <c r="J51" s="87">
        <f>SUMIFS(JB_27U,JB_B,1,JB_W,"Hospital Ship",JB_S,"",JB_27U,"&lt;&gt;")+SUMIFS(JB_27S,JB_B,1,JB_W,"Hospital Ship",JB_S,"",JB_27U,"")+SUMIFS(JB_27U,JB_B,1,JB_W,"Hospital Ship",JB_S,"[PARENT]",JB_27U,"&lt;&gt;")+SUMIFS(JB_27S,JB_B,1,JB_W,"Hospital Ship",JB_S,"[PARENT]",JB_27U,"")</f>
        <v/>
      </c>
      <c r="K51" s="87">
        <f>SUMIFS(JB_27U,JB_B,1,JB_W,"Cargo &amp; Vehicle Cargo Ships",JB_S,"",JB_27U,"&lt;&gt;")+SUMIFS(JB_27S,JB_B,1,JB_W,"Cargo &amp; Vehicle Cargo Ships",JB_S,"",JB_27U,"")+SUMIFS(JB_27U,JB_B,1,JB_W,"Cargo &amp; Vehicle Cargo Ships",JB_S,"[PARENT]",JB_27U,"&lt;&gt;")+SUMIFS(JB_27S,JB_B,1,JB_W,"Cargo &amp; Vehicle Cargo Ships",JB_S,"[PARENT]",JB_27U,"")</f>
        <v/>
      </c>
      <c r="L51" s="87">
        <f>SUMIFS(JB_27U,JB_B,1,JB_W,"Unmanned Undersea Vehicles",JB_S,"",JB_27U,"&lt;&gt;")+SUMIFS(JB_27S,JB_B,1,JB_W,"Unmanned Undersea Vehicles",JB_S,"",JB_27U,"")+SUMIFS(JB_27U,JB_B,1,JB_W,"Unmanned Undersea Vehicles",JB_S,"[PARENT]",JB_27U,"&lt;&gt;")+SUMIFS(JB_27S,JB_B,1,JB_W,"Unmanned Undersea Vehicles",JB_S,"[PARENT]",JB_27U,"")</f>
        <v/>
      </c>
      <c r="M51" s="87">
        <f>SUMIFS(JB_27U,JB_B,1,JB_W,"Unmanned Surface Vehicles",JB_S,"",JB_27U,"&lt;&gt;")+SUMIFS(JB_27S,JB_B,1,JB_W,"Unmanned Surface Vehicles",JB_S,"",JB_27U,"")+SUMIFS(JB_27U,JB_B,1,JB_W,"Unmanned Surface Vehicles",JB_S,"[PARENT]",JB_27U,"&lt;&gt;")+SUMIFS(JB_27S,JB_B,1,JB_W,"Unmanned Surface Vehicles",JB_S,"[PARENT]",JB_27U,"")</f>
        <v/>
      </c>
      <c r="N51" s="98">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1">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1">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1">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1">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1">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1">
        <f>IFERROR(C22/C$39,0)</f>
        <v/>
      </c>
    </row>
    <row r="23" ht="10" customHeight="1">
      <c r="A23" s="84" t="inlineStr">
        <is>
          <t>Salvage Ships &amp; Fleet Ocean Tugs</t>
        </is>
      </c>
      <c r="B23" s="84" t="inlineStr">
        <is>
          <t>MSC</t>
        </is>
      </c>
      <c r="C23"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3" s="91">
        <f>IFERROR(C23/C$39,0)</f>
        <v/>
      </c>
    </row>
    <row r="24" ht="10" customHeight="1">
      <c r="A24" s="84" t="inlineStr">
        <is>
          <t>General Auxiliary</t>
        </is>
      </c>
      <c r="B24" s="84" t="inlineStr">
        <is>
          <t>USN</t>
        </is>
      </c>
      <c r="C24" s="85">
        <f>SUMIFS(JB_27U,JB_B,1,JB_W,"General Auxiliary",JB_S,"",JB_27U,"&lt;&gt;")+SUMIFS(JB_27S,JB_B,1,JB_W,"General Auxiliary",JB_S,"",JB_27U,"")+SUMIFS(JB_27U,JB_B,1,JB_W,"General Auxiliary",JB_S,"[PARENT]",JB_27U,"&lt;&gt;")+SUMIFS(JB_27S,JB_B,1,JB_W,"General Auxiliary",JB_S,"[PARENT]",JB_27U,"")</f>
        <v/>
      </c>
      <c r="D24" s="91">
        <f>IFERROR(C24/C$39,0)</f>
        <v/>
      </c>
    </row>
    <row r="25" ht="10" customHeight="1">
      <c r="A25" s="84" t="inlineStr">
        <is>
          <t>Mine Warfare</t>
        </is>
      </c>
      <c r="B25" s="84" t="inlineStr">
        <is>
          <t>USN</t>
        </is>
      </c>
      <c r="C25" s="85">
        <f>SUMIFS(JB_27U,JB_B,1,JB_W,"Mine Warfare",JB_S,"",JB_27U,"&lt;&gt;")+SUMIFS(JB_27S,JB_B,1,JB_W,"Mine Warfare",JB_S,"",JB_27U,"")+SUMIFS(JB_27U,JB_B,1,JB_W,"Mine Warfare",JB_S,"[PARENT]",JB_27U,"&lt;&gt;")+SUMIFS(JB_27S,JB_B,1,JB_W,"Mine Warfare",JB_S,"[PARENT]",JB_27U,"")</f>
        <v/>
      </c>
      <c r="D25" s="91">
        <f>IFERROR(C25/C$39,0)</f>
        <v/>
      </c>
    </row>
    <row r="26" ht="10" customHeight="1">
      <c r="A26" s="84" t="inlineStr">
        <is>
          <t>Aviation Logistics Support Ship</t>
        </is>
      </c>
      <c r="B26" s="84" t="inlineStr">
        <is>
          <t>USN</t>
        </is>
      </c>
      <c r="C26"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6" s="91">
        <f>IFERROR(C26/C$39,0)</f>
        <v/>
      </c>
    </row>
    <row r="27" ht="10" customHeight="1">
      <c r="A27" s="84" t="inlineStr">
        <is>
          <t>High Speed Transport</t>
        </is>
      </c>
      <c r="B27" s="84" t="inlineStr">
        <is>
          <t>USN</t>
        </is>
      </c>
      <c r="C27" s="85">
        <f>SUMIFS(JB_27U,JB_B,1,JB_W,"High Speed Transport",JB_S,"",JB_27U,"&lt;&gt;")+SUMIFS(JB_27S,JB_B,1,JB_W,"High Speed Transport",JB_S,"",JB_27U,"")+SUMIFS(JB_27U,JB_B,1,JB_W,"High Speed Transport",JB_S,"[PARENT]",JB_27U,"&lt;&gt;")+SUMIFS(JB_27S,JB_B,1,JB_W,"High Speed Transport",JB_S,"[PARENT]",JB_27U,"")</f>
        <v/>
      </c>
      <c r="D27" s="91">
        <f>IFERROR(C27/C$39,0)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1">
        <f>IFERROR(C28/C$39,0)</f>
        <v/>
      </c>
    </row>
    <row r="29" ht="10" customHeight="1">
      <c r="A29" s="84" t="inlineStr">
        <is>
          <t>Research, Survey &amp; Instrumentation Ships</t>
        </is>
      </c>
      <c r="B29" s="84" t="inlineStr">
        <is>
          <t>MSC</t>
        </is>
      </c>
      <c r="C29"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91">
        <f>IFERROR(C29/C$39,0)</f>
        <v/>
      </c>
    </row>
    <row r="30" ht="10" customHeight="1">
      <c r="A30" s="84" t="inlineStr">
        <is>
          <t>Command Ships</t>
        </is>
      </c>
      <c r="B30" s="84" t="inlineStr">
        <is>
          <t>USN</t>
        </is>
      </c>
      <c r="C30" s="85">
        <f>SUMIFS(JB_27U,JB_B,1,JB_W,"Command Ships",JB_S,"",JB_27U,"&lt;&gt;")+SUMIFS(JB_27S,JB_B,1,JB_W,"Command Ships",JB_S,"",JB_27U,"")+SUMIFS(JB_27U,JB_B,1,JB_W,"Command Ships",JB_S,"[PARENT]",JB_27U,"&lt;&gt;")+SUMIFS(JB_27S,JB_B,1,JB_W,"Command Ships",JB_S,"[PARENT]",JB_27U,"")</f>
        <v/>
      </c>
      <c r="D30" s="91">
        <f>IFERROR(C30/C$39,0)</f>
        <v/>
      </c>
    </row>
    <row r="31" ht="10" customHeight="1">
      <c r="A31" s="84" t="inlineStr">
        <is>
          <t>Submarine Escort Ship</t>
        </is>
      </c>
      <c r="B31" s="84" t="inlineStr">
        <is>
          <t>USN</t>
        </is>
      </c>
      <c r="C31" s="85">
        <f>SUMIFS(JB_27U,JB_B,1,JB_W,"Submarine Escort Ship",JB_S,"",JB_27U,"&lt;&gt;")+SUMIFS(JB_27S,JB_B,1,JB_W,"Submarine Escort Ship",JB_S,"",JB_27U,"")+SUMIFS(JB_27U,JB_B,1,JB_W,"Submarine Escort Ship",JB_S,"[PARENT]",JB_27U,"&lt;&gt;")+SUMIFS(JB_27S,JB_B,1,JB_W,"Submarine Escort Ship",JB_S,"[PARENT]",JB_27U,"")</f>
        <v/>
      </c>
      <c r="D31" s="91">
        <f>IFERROR(C31/C$39,0)</f>
        <v/>
      </c>
    </row>
    <row r="32" ht="10" customHeight="1">
      <c r="A32" s="84" t="inlineStr">
        <is>
          <t>Waterways Commerce Cutters</t>
        </is>
      </c>
      <c r="B32" s="84" t="inlineStr">
        <is>
          <t>USCG</t>
        </is>
      </c>
      <c r="C32" s="85">
        <f>SUMIFS(JB_27U,JB_B,1,JB_W,"Waterways Commerce Cutters",JB_S,"",JB_27U,"&lt;&gt;")+SUMIFS(JB_27S,JB_B,1,JB_W,"Waterways Commerce Cutters",JB_S,"",JB_27U,"")+SUMIFS(JB_27U,JB_B,1,JB_W,"Waterways Commerce Cutters",JB_S,"[PARENT]",JB_27U,"&lt;&gt;")+SUMIFS(JB_27S,JB_B,1,JB_W,"Waterways Commerce Cutters",JB_S,"[PARENT]",JB_27U,"")</f>
        <v/>
      </c>
      <c r="D32" s="91">
        <f>IFERROR(C32/C$39,0)</f>
        <v/>
      </c>
    </row>
    <row r="33" ht="10" customHeight="1">
      <c r="A33" s="84" t="inlineStr">
        <is>
          <t>Coastal Buoy Tenders</t>
        </is>
      </c>
      <c r="B33" s="84" t="inlineStr">
        <is>
          <t>USCG</t>
        </is>
      </c>
      <c r="C33" s="85">
        <f>SUMIFS(JB_27U,JB_B,1,JB_W,"Coastal Buoy Tenders",JB_S,"",JB_27U,"&lt;&gt;")+SUMIFS(JB_27S,JB_B,1,JB_W,"Coastal Buoy Tenders",JB_S,"",JB_27U,"")+SUMIFS(JB_27U,JB_B,1,JB_W,"Coastal Buoy Tenders",JB_S,"[PARENT]",JB_27U,"&lt;&gt;")+SUMIFS(JB_27S,JB_B,1,JB_W,"Coastal Buoy Tenders",JB_S,"[PARENT]",JB_27U,"")</f>
        <v/>
      </c>
      <c r="D33" s="91">
        <f>IFERROR(C33/C$39,0)</f>
        <v/>
      </c>
    </row>
    <row r="34" ht="10" customHeight="1">
      <c r="A34" s="84" t="inlineStr">
        <is>
          <t>National Security Cutters</t>
        </is>
      </c>
      <c r="B34" s="84" t="inlineStr">
        <is>
          <t>USCG</t>
        </is>
      </c>
      <c r="C34" s="85">
        <f>SUMIFS(JB_27U,JB_B,1,JB_W,"National Security Cutters",JB_S,"",JB_27U,"&lt;&gt;")+SUMIFS(JB_27S,JB_B,1,JB_W,"National Security Cutters",JB_S,"",JB_27U,"")+SUMIFS(JB_27U,JB_B,1,JB_W,"National Security Cutters",JB_S,"[PARENT]",JB_27U,"&lt;&gt;")+SUMIFS(JB_27S,JB_B,1,JB_W,"National Security Cutters",JB_S,"[PARENT]",JB_27U,"")</f>
        <v/>
      </c>
      <c r="D34" s="91">
        <f>IFERROR(C34/C$39,0)</f>
        <v/>
      </c>
    </row>
    <row r="35" ht="10" customHeight="1">
      <c r="A35" s="84" t="inlineStr">
        <is>
          <t>Icebreakers, Oceangoing</t>
        </is>
      </c>
      <c r="B35" s="84" t="inlineStr">
        <is>
          <t>USCG</t>
        </is>
      </c>
      <c r="C35" s="85">
        <f>SUMIFS(JB_27U,JB_B,1,JB_W,"Icebreakers, Oceangoing",JB_S,"",JB_27U,"&lt;&gt;")+SUMIFS(JB_27S,JB_B,1,JB_W,"Icebreakers, Oceangoing",JB_S,"",JB_27U,"")+SUMIFS(JB_27U,JB_B,1,JB_W,"Icebreakers, Oceangoing",JB_S,"[PARENT]",JB_27U,"&lt;&gt;")+SUMIFS(JB_27S,JB_B,1,JB_W,"Icebreakers, Oceangoing",JB_S,"[PARENT]",JB_27U,"")</f>
        <v/>
      </c>
      <c r="D35" s="91">
        <f>IFERROR(C35/C$39,0)</f>
        <v/>
      </c>
    </row>
    <row r="36" ht="10" customHeight="1">
      <c r="A36" s="84" t="inlineStr">
        <is>
          <t>Fast Response Cutters</t>
        </is>
      </c>
      <c r="B36" s="84" t="inlineStr">
        <is>
          <t>USCG</t>
        </is>
      </c>
      <c r="C36" s="85">
        <f>SUMIFS(JB_27U,JB_B,1,JB_W,"Fast Response Cutters",JB_S,"",JB_27U,"&lt;&gt;")+SUMIFS(JB_27S,JB_B,1,JB_W,"Fast Response Cutters",JB_S,"",JB_27U,"")+SUMIFS(JB_27U,JB_B,1,JB_W,"Fast Response Cutters",JB_S,"[PARENT]",JB_27U,"&lt;&gt;")+SUMIFS(JB_27S,JB_B,1,JB_W,"Fast Response Cutters",JB_S,"[PARENT]",JB_27U,"")</f>
        <v/>
      </c>
      <c r="D36" s="91">
        <f>IFERROR(C36/C$39,0)</f>
        <v/>
      </c>
    </row>
    <row r="37" ht="10" customHeight="1">
      <c r="A37" s="84" t="inlineStr">
        <is>
          <t>Icebreakers, Great Lakes</t>
        </is>
      </c>
      <c r="B37" s="84" t="inlineStr">
        <is>
          <t>USCG</t>
        </is>
      </c>
      <c r="C37" s="85">
        <f>SUMIFS(JB_27U,JB_B,1,JB_W,"Icebreakers, Great Lakes",JB_S,"",JB_27U,"&lt;&gt;")+SUMIFS(JB_27S,JB_B,1,JB_W,"Icebreakers, Great Lakes",JB_S,"",JB_27U,"")+SUMIFS(JB_27U,JB_B,1,JB_W,"Icebreakers, Great Lakes",JB_S,"[PARENT]",JB_27U,"&lt;&gt;")+SUMIFS(JB_27S,JB_B,1,JB_W,"Icebreakers, Great Lakes",JB_S,"[PARENT]",JB_27U,"")</f>
        <v/>
      </c>
      <c r="D37" s="91">
        <f>IFERROR(C37/C$39,0)</f>
        <v/>
      </c>
    </row>
    <row r="38" ht="10" customHeight="1">
      <c r="A38" s="84" t="inlineStr">
        <is>
          <t>Offshore Patrol Cutter</t>
        </is>
      </c>
      <c r="B38" s="84" t="inlineStr">
        <is>
          <t>USCG</t>
        </is>
      </c>
      <c r="C38" s="85">
        <f>SUMIFS(JB_27U,JB_B,1,JB_W,"Offshore Patrol Cutter",JB_S,"",JB_27U,"&lt;&gt;")+SUMIFS(JB_27S,JB_B,1,JB_W,"Offshore Patrol Cutter",JB_S,"",JB_27U,"")+SUMIFS(JB_27U,JB_B,1,JB_W,"Offshore Patrol Cutter",JB_S,"[PARENT]",JB_27U,"&lt;&gt;")+SUMIFS(JB_27S,JB_B,1,JB_W,"Offshore Patrol Cutter",JB_S,"[PARENT]",JB_27U,"")</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row>
    <row r="43" ht="10" customHeight="1">
      <c r="A43" s="93" t="n"/>
      <c r="B43" s="94" t="inlineStr">
        <is>
          <t>USN</t>
        </is>
      </c>
      <c r="C43" s="93" t="n"/>
      <c r="D43" s="93" t="n"/>
      <c r="E43" s="93" t="n"/>
      <c r="F43" s="93" t="n"/>
      <c r="G43" s="93" t="n"/>
      <c r="H43" s="93" t="n"/>
      <c r="I43" s="93" t="n"/>
      <c r="J43" s="93" t="n"/>
      <c r="K43" s="95" t="n"/>
    </row>
    <row r="44" ht="10" customHeight="1">
      <c r="A44" s="83" t="inlineStr">
        <is>
          <t>Sub-Category</t>
        </is>
      </c>
      <c r="B44" s="96" t="inlineStr">
        <is>
          <t>Amphibious Warfare Ships</t>
        </is>
      </c>
      <c r="C44" s="83" t="inlineStr">
        <is>
          <t>Surface Combatants</t>
        </is>
      </c>
      <c r="D44" s="83" t="inlineStr">
        <is>
          <t>Material Support Ships</t>
        </is>
      </c>
      <c r="E44" s="83" t="inlineStr">
        <is>
          <t>Combat Logistics Ships</t>
        </is>
      </c>
      <c r="F44" s="83" t="inlineStr">
        <is>
          <t>Expeditionary &amp; Seabasing Ships</t>
        </is>
      </c>
      <c r="G44" s="83" t="inlineStr">
        <is>
          <t>Surveillance Ships</t>
        </is>
      </c>
      <c r="H44" s="83" t="inlineStr">
        <is>
          <t>Hospital Ship</t>
        </is>
      </c>
      <c r="I44" s="83" t="inlineStr">
        <is>
          <t>Cargo &amp; Vehicle Cargo Ships</t>
        </is>
      </c>
      <c r="J44" s="83" t="inlineStr">
        <is>
          <t>Unmanned Surface Vehicles</t>
        </is>
      </c>
      <c r="K44" s="96" t="inlineStr">
        <is>
          <t>Total</t>
        </is>
      </c>
    </row>
    <row r="45" ht="10" customHeight="1">
      <c r="A45" s="84" t="inlineStr">
        <is>
          <t>Full Ship DD&amp;C</t>
        </is>
      </c>
      <c r="B45" s="9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7">
        <f>IFERROR(1-K46,0)</f>
        <v/>
      </c>
    </row>
    <row r="46" ht="10" customHeight="1">
      <c r="A46" s="84" t="inlineStr">
        <is>
          <t>Advance Procurement / LLTM</t>
        </is>
      </c>
      <c r="B46" s="9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6" t="inlineStr">
        <is>
          <t>Total ($K)</t>
        </is>
      </c>
      <c r="B47" s="98">
        <f>SUMIFS(JB_27U,JB_B,1,JB_W,"Amphibious Warfare Ships",JB_S,"",JB_27U,"&lt;&gt;")+SUMIFS(JB_27S,JB_B,1,JB_W,"Amphibious Warfare Ships",JB_S,"",JB_27U,"")+SUMIFS(JB_27U,JB_B,1,JB_W,"Amphibious Warfare Ships",JB_S,"[PARENT]",JB_27U,"&lt;&gt;")+SUMIFS(JB_27S,JB_B,1,JB_W,"Amphibious Warfare Ships",JB_S,"[PARENT]",JB_27U,"")</f>
        <v/>
      </c>
      <c r="C47" s="87">
        <f>SUMIFS(JB_27U,JB_B,1,JB_W,"Surface Combatants",JB_S,"",JB_27U,"&lt;&gt;")+SUMIFS(JB_27S,JB_B,1,JB_W,"Surface Combatants",JB_S,"",JB_27U,"")+SUMIFS(JB_27U,JB_B,1,JB_W,"Surface Combatants",JB_S,"[PARENT]",JB_27U,"&lt;&gt;")+SUMIFS(JB_27S,JB_B,1,JB_W,"Surface Combatants",JB_S,"[PARENT]",JB_27U,"")</f>
        <v/>
      </c>
      <c r="D47" s="87">
        <f>SUMIFS(JB_27U,JB_B,1,JB_W,"Material Support Ships",JB_S,"",JB_27U,"&lt;&gt;")+SUMIFS(JB_27S,JB_B,1,JB_W,"Material Support Ships",JB_S,"",JB_27U,"")+SUMIFS(JB_27U,JB_B,1,JB_W,"Material Support Ships",JB_S,"[PARENT]",JB_27U,"&lt;&gt;")+SUMIFS(JB_27S,JB_B,1,JB_W,"Material Support Ships",JB_S,"[PARENT]",JB_27U,"")</f>
        <v/>
      </c>
      <c r="E47" s="87">
        <f>SUMIFS(JB_27U,JB_B,1,JB_W,"Combat Logistics Ships",JB_S,"",JB_27U,"&lt;&gt;")+SUMIFS(JB_27S,JB_B,1,JB_W,"Combat Logistics Ships",JB_S,"",JB_27U,"")+SUMIFS(JB_27U,JB_B,1,JB_W,"Combat Logistics Ships",JB_S,"[PARENT]",JB_27U,"&lt;&gt;")+SUMIFS(JB_27S,JB_B,1,JB_W,"Combat Logistics Ships",JB_S,"[PARENT]",JB_27U,"")</f>
        <v/>
      </c>
      <c r="F47"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7">
        <f>SUMIFS(JB_27U,JB_B,1,JB_W,"Surveillance Ships",JB_S,"",JB_27U,"&lt;&gt;")+SUMIFS(JB_27S,JB_B,1,JB_W,"Surveillance Ships",JB_S,"",JB_27U,"")+SUMIFS(JB_27U,JB_B,1,JB_W,"Surveillance Ships",JB_S,"[PARENT]",JB_27U,"&lt;&gt;")+SUMIFS(JB_27S,JB_B,1,JB_W,"Surveillance Ships",JB_S,"[PARENT]",JB_27U,"")</f>
        <v/>
      </c>
      <c r="H47" s="87">
        <f>SUMIFS(JB_27U,JB_B,1,JB_W,"Hospital Ship",JB_S,"",JB_27U,"&lt;&gt;")+SUMIFS(JB_27S,JB_B,1,JB_W,"Hospital Ship",JB_S,"",JB_27U,"")+SUMIFS(JB_27U,JB_B,1,JB_W,"Hospital Ship",JB_S,"[PARENT]",JB_27U,"&lt;&gt;")+SUMIFS(JB_27S,JB_B,1,JB_W,"Hospital Ship",JB_S,"[PARENT]",JB_27U,"")</f>
        <v/>
      </c>
      <c r="I47" s="87">
        <f>SUMIFS(JB_27U,JB_B,1,JB_W,"Cargo &amp; Vehicle Cargo Ships",JB_S,"",JB_27U,"&lt;&gt;")+SUMIFS(JB_27S,JB_B,1,JB_W,"Cargo &amp; Vehicle Cargo Ships",JB_S,"",JB_27U,"")+SUMIFS(JB_27U,JB_B,1,JB_W,"Cargo &amp; Vehicle Cargo Ships",JB_S,"[PARENT]",JB_27U,"&lt;&gt;")+SUMIFS(JB_27S,JB_B,1,JB_W,"Cargo &amp; Vehicle Cargo Ships",JB_S,"[PARENT]",JB_27U,"")</f>
        <v/>
      </c>
      <c r="J47" s="87">
        <f>SUMIFS(JB_27U,JB_B,1,JB_W,"Unmanned Surface Vehicles",JB_S,"",JB_27U,"&lt;&gt;")+SUMIFS(JB_27S,JB_B,1,JB_W,"Unmanned Surface Vehicles",JB_S,"",JB_27U,"")+SUMIFS(JB_27U,JB_B,1,JB_W,"Unmanned Surface Vehicles",JB_S,"[PARENT]",JB_27U,"&lt;&gt;")+SUMIFS(JB_27S,JB_B,1,JB_W,"Unmanned Surface Vehicles",JB_S,"[PARENT]",JB_27U,"")</f>
        <v/>
      </c>
      <c r="K47" s="98">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B18</f>
        <v/>
      </c>
    </row>
    <row r="10" ht="10" customHeight="1"/>
    <row r="11" ht="10" customHeight="1"/>
    <row r="12" ht="10" customHeight="1">
      <c r="A12" s="81" t="inlineStr">
        <is>
          <t>(B) MRO TAM by Work Type</t>
        </is>
      </c>
      <c r="B12" s="82" t="n"/>
      <c r="C12" s="82" t="n"/>
    </row>
    <row r="13" ht="10" customHeight="1">
      <c r="A13" s="83" t="inlineStr">
        <is>
          <t>Work Type</t>
        </is>
      </c>
      <c r="B13" s="83" t="inlineStr">
        <is>
          <t>FY2027 ($K)</t>
        </is>
      </c>
      <c r="C13" s="83" t="inlineStr">
        <is>
          <t>% of TAM</t>
        </is>
      </c>
    </row>
    <row r="14" ht="10" customHeight="1">
      <c r="A14" s="84" t="inlineStr">
        <is>
          <t>Modernization</t>
        </is>
      </c>
      <c r="B14"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1">
        <f>IFERROR(B14/B$18,0)</f>
        <v/>
      </c>
    </row>
    <row r="15" ht="10" customHeight="1">
      <c r="A15" s="84" t="inlineStr">
        <is>
          <t>Major Life-Cycle Events / RCOH</t>
        </is>
      </c>
      <c r="B15"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1">
        <f>IFERROR(B15/B$18,0)</f>
        <v/>
      </c>
    </row>
    <row r="16" ht="10" customHeight="1">
      <c r="A16" s="84" t="inlineStr">
        <is>
          <t>Sustainment Engineering</t>
        </is>
      </c>
      <c r="B16"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1">
        <f>IFERROR(B16/B$18,0)</f>
        <v/>
      </c>
    </row>
    <row r="17" ht="10" customHeight="1">
      <c r="A17" s="84" t="inlineStr">
        <is>
          <t>Availability Support</t>
        </is>
      </c>
      <c r="B17"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1">
        <f>IFERROR(B17/B$18,0)</f>
        <v/>
      </c>
    </row>
    <row r="18" ht="10" customHeight="1">
      <c r="A18" s="86" t="inlineStr">
        <is>
          <t>MRO TAM</t>
        </is>
      </c>
      <c r="B18" s="87">
        <f>SUM(B14:B17)</f>
        <v/>
      </c>
      <c r="C18" s="92" t="n">
        <v>1</v>
      </c>
    </row>
    <row r="19" ht="10" customHeight="1"/>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FY2027 ($K)</t>
        </is>
      </c>
      <c r="D22" s="83" t="inlineStr">
        <is>
          <t>% of TAM</t>
        </is>
      </c>
    </row>
    <row r="23" ht="10" customHeight="1">
      <c r="A23" s="84" t="inlineStr">
        <is>
          <t>Submarines</t>
        </is>
      </c>
      <c r="B23" s="84" t="inlineStr">
        <is>
          <t>USN</t>
        </is>
      </c>
      <c r="C23"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1">
        <f>IFERROR(C23/C$51,0)</f>
        <v/>
      </c>
    </row>
    <row r="24" ht="10" customHeight="1">
      <c r="A24" s="84" t="inlineStr">
        <is>
          <t>Surface Combatants</t>
        </is>
      </c>
      <c r="B24" s="84" t="inlineStr">
        <is>
          <t>USN</t>
        </is>
      </c>
      <c r="C24"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1">
        <f>IFERROR(C24/C$51,0)</f>
        <v/>
      </c>
    </row>
    <row r="25" ht="10" customHeight="1">
      <c r="A25" s="84" t="inlineStr">
        <is>
          <t>Aircraft Carriers</t>
        </is>
      </c>
      <c r="B25" s="84" t="inlineStr">
        <is>
          <t>USN</t>
        </is>
      </c>
      <c r="C25"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1">
        <f>IFERROR(C25/C$51,0)</f>
        <v/>
      </c>
    </row>
    <row r="26" ht="10" customHeight="1">
      <c r="A26" s="84" t="inlineStr">
        <is>
          <t>Amphibious Warfare Ships</t>
        </is>
      </c>
      <c r="B26" s="84" t="inlineStr">
        <is>
          <t>USN</t>
        </is>
      </c>
      <c r="C26"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1">
        <f>IFERROR(C26/C$51,0)</f>
        <v/>
      </c>
    </row>
    <row r="27" ht="10" customHeight="1">
      <c r="A27" s="84" t="inlineStr">
        <is>
          <t>Surveillance Ships</t>
        </is>
      </c>
      <c r="B27" s="84" t="inlineStr">
        <is>
          <t>USN</t>
        </is>
      </c>
      <c r="C27"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1">
        <f>IFERROR(C27/C$51,0)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1">
        <f>IFERROR(C28/C$51,0)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1">
        <f>IFERROR(C29/C$51,0)</f>
        <v/>
      </c>
    </row>
    <row r="30" ht="10" customHeight="1">
      <c r="A30" s="84" t="inlineStr">
        <is>
          <t>Salvage Ships &amp; Fleet Ocean Tugs</t>
        </is>
      </c>
      <c r="B30" s="84" t="inlineStr">
        <is>
          <t>MSC</t>
        </is>
      </c>
      <c r="C30"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0" s="91">
        <f>IFERROR(C30/C$51,0)</f>
        <v/>
      </c>
    </row>
    <row r="31" ht="10" customHeight="1">
      <c r="A31" s="84" t="inlineStr">
        <is>
          <t>Mine Warfare</t>
        </is>
      </c>
      <c r="B31" s="84" t="inlineStr">
        <is>
          <t>USN</t>
        </is>
      </c>
      <c r="C31"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1" s="91">
        <f>IFERROR(C31/C$51,0)</f>
        <v/>
      </c>
    </row>
    <row r="32" ht="10" customHeight="1">
      <c r="A32" s="84" t="inlineStr">
        <is>
          <t>Aviation Logistics Support Ship</t>
        </is>
      </c>
      <c r="B32" s="84" t="inlineStr">
        <is>
          <t>USN</t>
        </is>
      </c>
      <c r="C32"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2" s="91">
        <f>IFERROR(C32/C$51,0)</f>
        <v/>
      </c>
    </row>
    <row r="33" ht="10" customHeight="1">
      <c r="A33" s="84" t="inlineStr">
        <is>
          <t>Hospital Ship</t>
        </is>
      </c>
      <c r="B33" s="84" t="inlineStr">
        <is>
          <t>MSC</t>
        </is>
      </c>
      <c r="C33"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3" s="91">
        <f>IFERROR(C33/C$51,0)</f>
        <v/>
      </c>
    </row>
    <row r="34" ht="10" customHeight="1">
      <c r="A34" s="84" t="inlineStr">
        <is>
          <t>Cargo &amp; Vehicle Cargo Ships</t>
        </is>
      </c>
      <c r="B34" s="84" t="inlineStr">
        <is>
          <t>USN</t>
        </is>
      </c>
      <c r="C34"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4" s="91">
        <f>IFERROR(C34/C$51,0)</f>
        <v/>
      </c>
    </row>
    <row r="35" ht="10" customHeight="1">
      <c r="A35" s="84" t="inlineStr">
        <is>
          <t>Research, Survey &amp; Instrumentation Ships</t>
        </is>
      </c>
      <c r="B35" s="84" t="inlineStr">
        <is>
          <t>MSC</t>
        </is>
      </c>
      <c r="C35"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5" s="91">
        <f>IFERROR(C35/C$51,0)</f>
        <v/>
      </c>
    </row>
    <row r="36" ht="10" customHeight="1">
      <c r="A36" s="84" t="inlineStr">
        <is>
          <t>Unmanned Undersea Vehicles</t>
        </is>
      </c>
      <c r="B36" s="84" t="inlineStr">
        <is>
          <t>USN</t>
        </is>
      </c>
      <c r="C36"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6" s="91">
        <f>IFERROR(C36/C$51,0)</f>
        <v/>
      </c>
    </row>
    <row r="37" ht="10" customHeight="1">
      <c r="A37" s="84" t="inlineStr">
        <is>
          <t>Combat Logistics Ships</t>
        </is>
      </c>
      <c r="B37" s="84" t="inlineStr">
        <is>
          <t>MSC</t>
        </is>
      </c>
      <c r="C37"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7" s="91">
        <f>IFERROR(C37/C$51,0)</f>
        <v/>
      </c>
    </row>
    <row r="38" ht="10" customHeight="1">
      <c r="A38" s="84" t="inlineStr">
        <is>
          <t>Material Support Ships</t>
        </is>
      </c>
      <c r="B38" s="84" t="inlineStr">
        <is>
          <t>USN</t>
        </is>
      </c>
      <c r="C38"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8" s="91">
        <f>IFERROR(C38/C$51,0)</f>
        <v/>
      </c>
    </row>
    <row r="39" ht="10" customHeight="1">
      <c r="A39" s="84" t="inlineStr">
        <is>
          <t>General Auxiliary</t>
        </is>
      </c>
      <c r="B39" s="84" t="inlineStr">
        <is>
          <t>USN</t>
        </is>
      </c>
      <c r="C39"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9" s="91">
        <f>IFERROR(C39/C$51,0)</f>
        <v/>
      </c>
    </row>
    <row r="40" ht="10" customHeight="1">
      <c r="A40" s="84" t="inlineStr">
        <is>
          <t>High Speed Transport</t>
        </is>
      </c>
      <c r="B40" s="84" t="inlineStr">
        <is>
          <t>USN</t>
        </is>
      </c>
      <c r="C40"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40" s="91">
        <f>IFERROR(C40/C$51,0)</f>
        <v/>
      </c>
    </row>
    <row r="41" ht="10" customHeight="1">
      <c r="A41" s="84" t="inlineStr">
        <is>
          <t>Crane Ship</t>
        </is>
      </c>
      <c r="B41" s="84" t="inlineStr">
        <is>
          <t>USN</t>
        </is>
      </c>
      <c r="C41"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1" s="91">
        <f>IFERROR(C41/C$51,0)</f>
        <v/>
      </c>
    </row>
    <row r="42" ht="10" customHeight="1">
      <c r="A42" s="84" t="inlineStr">
        <is>
          <t>Unmanned Surface Vehicles</t>
        </is>
      </c>
      <c r="B42" s="84" t="inlineStr">
        <is>
          <t>USN</t>
        </is>
      </c>
      <c r="C42"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42" s="91">
        <f>IFERROR(C42/C$51,0)</f>
        <v/>
      </c>
    </row>
    <row r="43" ht="10" customHeight="1">
      <c r="A43" s="84" t="inlineStr">
        <is>
          <t>Submarine Escort Ship</t>
        </is>
      </c>
      <c r="B43" s="84" t="inlineStr">
        <is>
          <t>USN</t>
        </is>
      </c>
      <c r="C43"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43" s="91">
        <f>IFERROR(C43/C$51,0)</f>
        <v/>
      </c>
    </row>
    <row r="44" ht="10" customHeight="1">
      <c r="A44" s="84" t="inlineStr">
        <is>
          <t>Waterways Commerce Cutters</t>
        </is>
      </c>
      <c r="B44" s="84" t="inlineStr">
        <is>
          <t>USCG</t>
        </is>
      </c>
      <c r="C44"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4" s="91">
        <f>IFERROR(C44/C$51,0)</f>
        <v/>
      </c>
    </row>
    <row r="45" ht="10" customHeight="1">
      <c r="A45" s="84" t="inlineStr">
        <is>
          <t>Icebreakers, Great Lakes</t>
        </is>
      </c>
      <c r="B45" s="84" t="inlineStr">
        <is>
          <t>USCG</t>
        </is>
      </c>
      <c r="C45"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5" s="91">
        <f>IFERROR(C45/C$51,0)</f>
        <v/>
      </c>
    </row>
    <row r="46" ht="10" customHeight="1">
      <c r="A46" s="84" t="inlineStr">
        <is>
          <t>Coastal Buoy Tenders</t>
        </is>
      </c>
      <c r="B46" s="84" t="inlineStr">
        <is>
          <t>USCG</t>
        </is>
      </c>
      <c r="C46"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6" s="91">
        <f>IFERROR(C46/C$51,0)</f>
        <v/>
      </c>
    </row>
    <row r="47" ht="10" customHeight="1">
      <c r="A47" s="84" t="inlineStr">
        <is>
          <t>Offshore Patrol Cutter</t>
        </is>
      </c>
      <c r="B47" s="84" t="inlineStr">
        <is>
          <t>USCG</t>
        </is>
      </c>
      <c r="C47"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7" s="91">
        <f>IFERROR(C47/C$51,0)</f>
        <v/>
      </c>
    </row>
    <row r="48" ht="10" customHeight="1">
      <c r="A48" s="84" t="inlineStr">
        <is>
          <t>National Security Cutters</t>
        </is>
      </c>
      <c r="B48" s="84" t="inlineStr">
        <is>
          <t>USCG</t>
        </is>
      </c>
      <c r="C48"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8" s="91">
        <f>IFERROR(C48/C$51,0)</f>
        <v/>
      </c>
    </row>
    <row r="49" ht="10" customHeight="1">
      <c r="A49" s="84" t="inlineStr">
        <is>
          <t>Icebreakers, Oceangoing</t>
        </is>
      </c>
      <c r="B49" s="84" t="inlineStr">
        <is>
          <t>USCG</t>
        </is>
      </c>
      <c r="C49"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9" s="91">
        <f>IFERROR(C49/C$51,0)</f>
        <v/>
      </c>
    </row>
    <row r="50" ht="10" customHeight="1">
      <c r="A50" s="84" t="inlineStr">
        <is>
          <t>Fast Response Cutters</t>
        </is>
      </c>
      <c r="B50" s="84" t="inlineStr">
        <is>
          <t>USCG</t>
        </is>
      </c>
      <c r="C50"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50" s="91">
        <f>IFERROR(C50/C$51,0)</f>
        <v/>
      </c>
    </row>
    <row r="51" ht="10" customHeight="1">
      <c r="A51" s="86" t="inlineStr">
        <is>
          <t>MRO TAM</t>
        </is>
      </c>
      <c r="B51" s="86" t="inlineStr"/>
      <c r="C51" s="87">
        <f>SUM(C23:C50)</f>
        <v/>
      </c>
      <c r="D51" s="92" t="n">
        <v>1</v>
      </c>
    </row>
    <row r="52" ht="10" customHeight="1"/>
    <row r="53" ht="10" customHeight="1"/>
    <row r="54" ht="10" customHeight="1">
      <c r="A54" s="81" t="inlineStr">
        <is>
          <t>(D) MRO TAM — Work Type by Vessel Type (Mekko)</t>
        </is>
      </c>
      <c r="B54" s="82" t="n"/>
      <c r="C54" s="82" t="n"/>
      <c r="D54" s="82" t="n"/>
      <c r="E54" s="82" t="n"/>
      <c r="F54" s="82" t="n"/>
      <c r="G54" s="82" t="n"/>
      <c r="H54" s="82" t="n"/>
      <c r="I54" s="82" t="n"/>
    </row>
    <row r="55" ht="10" customHeight="1">
      <c r="A55" s="93" t="n"/>
      <c r="B55" s="94" t="inlineStr">
        <is>
          <t>USN</t>
        </is>
      </c>
      <c r="C55" s="93" t="n"/>
      <c r="D55" s="93" t="n"/>
      <c r="E55" s="93" t="n"/>
      <c r="F55" s="93" t="n"/>
      <c r="G55" s="93" t="n"/>
      <c r="H55" s="93" t="n"/>
      <c r="I55" s="95" t="n"/>
    </row>
    <row r="56" ht="10" customHeight="1">
      <c r="A56" s="83" t="inlineStr">
        <is>
          <t>Work Type</t>
        </is>
      </c>
      <c r="B56" s="96" t="inlineStr">
        <is>
          <t>Submarines</t>
        </is>
      </c>
      <c r="C56" s="83" t="inlineStr">
        <is>
          <t>Surface Combatants</t>
        </is>
      </c>
      <c r="D56" s="83" t="inlineStr">
        <is>
          <t>Aircraft Carriers</t>
        </is>
      </c>
      <c r="E56" s="83" t="inlineStr">
        <is>
          <t>Amphibious Warfare Ships</t>
        </is>
      </c>
      <c r="F56" s="83" t="inlineStr">
        <is>
          <t>Surveillance Ships</t>
        </is>
      </c>
      <c r="G56" s="83" t="inlineStr">
        <is>
          <t>Expeditionary &amp; Seabasing Ships</t>
        </is>
      </c>
      <c r="H56" s="83" t="inlineStr">
        <is>
          <t>Command Ships</t>
        </is>
      </c>
      <c r="I56" s="96" t="inlineStr">
        <is>
          <t>Total</t>
        </is>
      </c>
    </row>
    <row r="57" ht="10" customHeight="1">
      <c r="A57" s="84" t="inlineStr">
        <is>
          <t>Modernization</t>
        </is>
      </c>
      <c r="B57" s="97">
        <f>IFERROR((SUMIFS(JB_27U,JB_B,4,JB_W,"Submarines",JB_S,"",JB_27U,"&lt;&gt;")+SUMIFS(JB_27S,JB_B,4,JB_W,"Submarines",JB_S,"",JB_27U,"")+SUMIFS(JB_27U,JB_B,4,JB_W,"Submarines",JB_S,"[PARENT]",JB_27U,"&lt;&gt;")+SUMIFS(JB_27S,JB_B,4,JB_W,"Submarines",JB_S,"[PARENT]",JB_27U,""))/B$61,0)</f>
        <v/>
      </c>
      <c r="C57" s="91">
        <f>IFERROR((SUMIFS(JB_27U,JB_B,4,JB_W,"Surface Combatants",JB_S,"",JB_27U,"&lt;&gt;")+SUMIFS(JB_27S,JB_B,4,JB_W,"Surface Combatants",JB_S,"",JB_27U,"")+SUMIFS(JB_27U,JB_B,4,JB_W,"Surface Combatants",JB_S,"[PARENT]",JB_27U,"&lt;&gt;")+SUMIFS(JB_27S,JB_B,4,JB_W,"Surface Combatants",JB_S,"[PARENT]",JB_27U,""))/C$61,0)</f>
        <v/>
      </c>
      <c r="D57" s="91">
        <f>IFERROR((SUMIFS(JB_27U,JB_B,4,JB_W,"Aircraft Carriers",JB_S,"",JB_27U,"&lt;&gt;")+SUMIFS(JB_27S,JB_B,4,JB_W,"Aircraft Carriers",JB_S,"",JB_27U,"")+SUMIFS(JB_27U,JB_B,4,JB_W,"Aircraft Carriers",JB_S,"[PARENT]",JB_27U,"&lt;&gt;")+SUMIFS(JB_27S,JB_B,4,JB_W,"Aircraft Carriers",JB_S,"[PARENT]",JB_27U,""))/D$61,0)</f>
        <v/>
      </c>
      <c r="E57" s="91">
        <f>IFERROR((SUMIFS(JB_27U,JB_B,4,JB_W,"Amphibious Warfare Ships",JB_S,"",JB_27U,"&lt;&gt;")+SUMIFS(JB_27S,JB_B,4,JB_W,"Amphibious Warfare Ships",JB_S,"",JB_27U,"")+SUMIFS(JB_27U,JB_B,4,JB_W,"Amphibious Warfare Ships",JB_S,"[PARENT]",JB_27U,"&lt;&gt;")+SUMIFS(JB_27S,JB_B,4,JB_W,"Amphibious Warfare Ships",JB_S,"[PARENT]",JB_27U,""))/E$61,0)</f>
        <v/>
      </c>
      <c r="F57" s="91">
        <f>IFERROR((SUMIFS(JB_27U,JB_B,4,JB_W,"Surveillance Ships",JB_S,"",JB_27U,"&lt;&gt;")+SUMIFS(JB_27S,JB_B,4,JB_W,"Surveillance Ships",JB_S,"",JB_27U,"")+SUMIFS(JB_27U,JB_B,4,JB_W,"Surveillance Ships",JB_S,"[PARENT]",JB_27U,"&lt;&gt;")+SUMIFS(JB_27S,JB_B,4,JB_W,"Surveillance Ships",JB_S,"[PARENT]",JB_27U,""))/F$61,0)</f>
        <v/>
      </c>
      <c r="G57"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1">
        <f>IFERROR((SUMIFS(JB_27U,JB_B,4,JB_W,"Command Ships",JB_S,"",JB_27U,"&lt;&gt;")+SUMIFS(JB_27S,JB_B,4,JB_W,"Command Ships",JB_S,"",JB_27U,"")+SUMIFS(JB_27U,JB_B,4,JB_W,"Command Ships",JB_S,"[PARENT]",JB_27U,"&lt;&gt;")+SUMIFS(JB_27S,JB_B,4,JB_W,"Command Ships",JB_S,"[PARENT]",JB_27U,""))/H$61,0)</f>
        <v/>
      </c>
      <c r="I57" s="9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4" t="inlineStr">
        <is>
          <t>Major Life-Cycle Events / RCOH</t>
        </is>
      </c>
      <c r="B58" s="97">
        <f>IFERROR((SUMIFS(JB_27U,JB_B,5,JB_W,"Submarines",JB_S,"",JB_27U,"&lt;&gt;")+SUMIFS(JB_27S,JB_B,5,JB_W,"Submarines",JB_S,"",JB_27U,"")+SUMIFS(JB_27U,JB_B,5,JB_W,"Submarines",JB_S,"[PARENT]",JB_27U,"&lt;&gt;")+SUMIFS(JB_27S,JB_B,5,JB_W,"Submarines",JB_S,"[PARENT]",JB_27U,""))/B$61,0)</f>
        <v/>
      </c>
      <c r="C58" s="91">
        <f>IFERROR((SUMIFS(JB_27U,JB_B,5,JB_W,"Surface Combatants",JB_S,"",JB_27U,"&lt;&gt;")+SUMIFS(JB_27S,JB_B,5,JB_W,"Surface Combatants",JB_S,"",JB_27U,"")+SUMIFS(JB_27U,JB_B,5,JB_W,"Surface Combatants",JB_S,"[PARENT]",JB_27U,"&lt;&gt;")+SUMIFS(JB_27S,JB_B,5,JB_W,"Surface Combatants",JB_S,"[PARENT]",JB_27U,""))/C$61,0)</f>
        <v/>
      </c>
      <c r="D58" s="91">
        <f>IFERROR((SUMIFS(JB_27U,JB_B,5,JB_W,"Aircraft Carriers",JB_S,"",JB_27U,"&lt;&gt;")+SUMIFS(JB_27S,JB_B,5,JB_W,"Aircraft Carriers",JB_S,"",JB_27U,"")+SUMIFS(JB_27U,JB_B,5,JB_W,"Aircraft Carriers",JB_S,"[PARENT]",JB_27U,"&lt;&gt;")+SUMIFS(JB_27S,JB_B,5,JB_W,"Aircraft Carriers",JB_S,"[PARENT]",JB_27U,""))/D$61,0)</f>
        <v/>
      </c>
      <c r="E58" s="91">
        <f>IFERROR((SUMIFS(JB_27U,JB_B,5,JB_W,"Amphibious Warfare Ships",JB_S,"",JB_27U,"&lt;&gt;")+SUMIFS(JB_27S,JB_B,5,JB_W,"Amphibious Warfare Ships",JB_S,"",JB_27U,"")+SUMIFS(JB_27U,JB_B,5,JB_W,"Amphibious Warfare Ships",JB_S,"[PARENT]",JB_27U,"&lt;&gt;")+SUMIFS(JB_27S,JB_B,5,JB_W,"Amphibious Warfare Ships",JB_S,"[PARENT]",JB_27U,""))/E$61,0)</f>
        <v/>
      </c>
      <c r="F58" s="91">
        <f>IFERROR((SUMIFS(JB_27U,JB_B,5,JB_W,"Surveillance Ships",JB_S,"",JB_27U,"&lt;&gt;")+SUMIFS(JB_27S,JB_B,5,JB_W,"Surveillance Ships",JB_S,"",JB_27U,"")+SUMIFS(JB_27U,JB_B,5,JB_W,"Surveillance Ships",JB_S,"[PARENT]",JB_27U,"&lt;&gt;")+SUMIFS(JB_27S,JB_B,5,JB_W,"Surveillance Ships",JB_S,"[PARENT]",JB_27U,""))/F$61,0)</f>
        <v/>
      </c>
      <c r="G58"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1">
        <f>IFERROR((SUMIFS(JB_27U,JB_B,5,JB_W,"Command Ships",JB_S,"",JB_27U,"&lt;&gt;")+SUMIFS(JB_27S,JB_B,5,JB_W,"Command Ships",JB_S,"",JB_27U,"")+SUMIFS(JB_27U,JB_B,5,JB_W,"Command Ships",JB_S,"[PARENT]",JB_27U,"&lt;&gt;")+SUMIFS(JB_27S,JB_B,5,JB_W,"Command Ships",JB_S,"[PARENT]",JB_27U,""))/H$61,0)</f>
        <v/>
      </c>
      <c r="I58" s="9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4" t="inlineStr">
        <is>
          <t>Sustainment Engineering</t>
        </is>
      </c>
      <c r="B59" s="97">
        <f>IFERROR((SUMIFS(JB_27U,JB_B,6,JB_W,"Submarines",JB_S,"",JB_27U,"&lt;&gt;")+SUMIFS(JB_27S,JB_B,6,JB_W,"Submarines",JB_S,"",JB_27U,"")+SUMIFS(JB_27U,JB_B,6,JB_W,"Submarines",JB_S,"[PARENT]",JB_27U,"&lt;&gt;")+SUMIFS(JB_27S,JB_B,6,JB_W,"Submarines",JB_S,"[PARENT]",JB_27U,""))/B$61,0)</f>
        <v/>
      </c>
      <c r="C59" s="91">
        <f>IFERROR((SUMIFS(JB_27U,JB_B,6,JB_W,"Surface Combatants",JB_S,"",JB_27U,"&lt;&gt;")+SUMIFS(JB_27S,JB_B,6,JB_W,"Surface Combatants",JB_S,"",JB_27U,"")+SUMIFS(JB_27U,JB_B,6,JB_W,"Surface Combatants",JB_S,"[PARENT]",JB_27U,"&lt;&gt;")+SUMIFS(JB_27S,JB_B,6,JB_W,"Surface Combatants",JB_S,"[PARENT]",JB_27U,""))/C$61,0)</f>
        <v/>
      </c>
      <c r="D59" s="91">
        <f>IFERROR((SUMIFS(JB_27U,JB_B,6,JB_W,"Aircraft Carriers",JB_S,"",JB_27U,"&lt;&gt;")+SUMIFS(JB_27S,JB_B,6,JB_W,"Aircraft Carriers",JB_S,"",JB_27U,"")+SUMIFS(JB_27U,JB_B,6,JB_W,"Aircraft Carriers",JB_S,"[PARENT]",JB_27U,"&lt;&gt;")+SUMIFS(JB_27S,JB_B,6,JB_W,"Aircraft Carriers",JB_S,"[PARENT]",JB_27U,""))/D$61,0)</f>
        <v/>
      </c>
      <c r="E59" s="91">
        <f>IFERROR((SUMIFS(JB_27U,JB_B,6,JB_W,"Amphibious Warfare Ships",JB_S,"",JB_27U,"&lt;&gt;")+SUMIFS(JB_27S,JB_B,6,JB_W,"Amphibious Warfare Ships",JB_S,"",JB_27U,"")+SUMIFS(JB_27U,JB_B,6,JB_W,"Amphibious Warfare Ships",JB_S,"[PARENT]",JB_27U,"&lt;&gt;")+SUMIFS(JB_27S,JB_B,6,JB_W,"Amphibious Warfare Ships",JB_S,"[PARENT]",JB_27U,""))/E$61,0)</f>
        <v/>
      </c>
      <c r="F59" s="91">
        <f>IFERROR((SUMIFS(JB_27U,JB_B,6,JB_W,"Surveillance Ships",JB_S,"",JB_27U,"&lt;&gt;")+SUMIFS(JB_27S,JB_B,6,JB_W,"Surveillance Ships",JB_S,"",JB_27U,"")+SUMIFS(JB_27U,JB_B,6,JB_W,"Surveillance Ships",JB_S,"[PARENT]",JB_27U,"&lt;&gt;")+SUMIFS(JB_27S,JB_B,6,JB_W,"Surveillance Ships",JB_S,"[PARENT]",JB_27U,""))/F$61,0)</f>
        <v/>
      </c>
      <c r="G59"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1">
        <f>IFERROR((SUMIFS(JB_27U,JB_B,6,JB_W,"Command Ships",JB_S,"",JB_27U,"&lt;&gt;")+SUMIFS(JB_27S,JB_B,6,JB_W,"Command Ships",JB_S,"",JB_27U,"")+SUMIFS(JB_27U,JB_B,6,JB_W,"Command Ships",JB_S,"[PARENT]",JB_27U,"&lt;&gt;")+SUMIFS(JB_27S,JB_B,6,JB_W,"Command Ships",JB_S,"[PARENT]",JB_27U,""))/H$61,0)</f>
        <v/>
      </c>
      <c r="I59" s="9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4" t="inlineStr">
        <is>
          <t>Availability Support</t>
        </is>
      </c>
      <c r="B60" s="97">
        <f>IFERROR((SUMIFS(JB_27U,JB_B,7,JB_W,"Submarines",JB_S,"",JB_27U,"&lt;&gt;")+SUMIFS(JB_27S,JB_B,7,JB_W,"Submarines",JB_S,"",JB_27U,"")+SUMIFS(JB_27U,JB_B,7,JB_W,"Submarines",JB_S,"[PARENT]",JB_27U,"&lt;&gt;")+SUMIFS(JB_27S,JB_B,7,JB_W,"Submarines",JB_S,"[PARENT]",JB_27U,""))/B$61,0)</f>
        <v/>
      </c>
      <c r="C60" s="91">
        <f>IFERROR((SUMIFS(JB_27U,JB_B,7,JB_W,"Surface Combatants",JB_S,"",JB_27U,"&lt;&gt;")+SUMIFS(JB_27S,JB_B,7,JB_W,"Surface Combatants",JB_S,"",JB_27U,"")+SUMIFS(JB_27U,JB_B,7,JB_W,"Surface Combatants",JB_S,"[PARENT]",JB_27U,"&lt;&gt;")+SUMIFS(JB_27S,JB_B,7,JB_W,"Surface Combatants",JB_S,"[PARENT]",JB_27U,""))/C$61,0)</f>
        <v/>
      </c>
      <c r="D60" s="91">
        <f>IFERROR((SUMIFS(JB_27U,JB_B,7,JB_W,"Aircraft Carriers",JB_S,"",JB_27U,"&lt;&gt;")+SUMIFS(JB_27S,JB_B,7,JB_W,"Aircraft Carriers",JB_S,"",JB_27U,"")+SUMIFS(JB_27U,JB_B,7,JB_W,"Aircraft Carriers",JB_S,"[PARENT]",JB_27U,"&lt;&gt;")+SUMIFS(JB_27S,JB_B,7,JB_W,"Aircraft Carriers",JB_S,"[PARENT]",JB_27U,""))/D$61,0)</f>
        <v/>
      </c>
      <c r="E60" s="91">
        <f>IFERROR((SUMIFS(JB_27U,JB_B,7,JB_W,"Amphibious Warfare Ships",JB_S,"",JB_27U,"&lt;&gt;")+SUMIFS(JB_27S,JB_B,7,JB_W,"Amphibious Warfare Ships",JB_S,"",JB_27U,"")+SUMIFS(JB_27U,JB_B,7,JB_W,"Amphibious Warfare Ships",JB_S,"[PARENT]",JB_27U,"&lt;&gt;")+SUMIFS(JB_27S,JB_B,7,JB_W,"Amphibious Warfare Ships",JB_S,"[PARENT]",JB_27U,""))/E$61,0)</f>
        <v/>
      </c>
      <c r="F60" s="91">
        <f>IFERROR((SUMIFS(JB_27U,JB_B,7,JB_W,"Surveillance Ships",JB_S,"",JB_27U,"&lt;&gt;")+SUMIFS(JB_27S,JB_B,7,JB_W,"Surveillance Ships",JB_S,"",JB_27U,"")+SUMIFS(JB_27U,JB_B,7,JB_W,"Surveillance Ships",JB_S,"[PARENT]",JB_27U,"&lt;&gt;")+SUMIFS(JB_27S,JB_B,7,JB_W,"Surveillance Ships",JB_S,"[PARENT]",JB_27U,""))/F$61,0)</f>
        <v/>
      </c>
      <c r="G60"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1">
        <f>IFERROR((SUMIFS(JB_27U,JB_B,7,JB_W,"Command Ships",JB_S,"",JB_27U,"&lt;&gt;")+SUMIFS(JB_27S,JB_B,7,JB_W,"Command Ships",JB_S,"",JB_27U,"")+SUMIFS(JB_27U,JB_B,7,JB_W,"Command Ships",JB_S,"[PARENT]",JB_27U,"&lt;&gt;")+SUMIFS(JB_27S,JB_B,7,JB_W,"Command Ships",JB_S,"[PARENT]",JB_27U,""))/H$61,0)</f>
        <v/>
      </c>
      <c r="I60" s="9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6" t="inlineStr">
        <is>
          <t>Total ($K)</t>
        </is>
      </c>
      <c r="B61" s="9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8">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'FY27 MRO TAM'!B18</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1">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1">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1">
        <f>IFERROR(E17/E$40,0)</f>
        <v/>
      </c>
    </row>
    <row r="18" ht="10" customHeight="1">
      <c r="A18" s="84" t="inlineStr">
        <is>
          <t>Salvage Ships &amp; Fleet Ocean Tugs</t>
        </is>
      </c>
      <c r="B18" s="84" t="inlineStr">
        <is>
          <t>MSC</t>
        </is>
      </c>
      <c r="C18"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18"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18" s="85">
        <f>C18+D18</f>
        <v/>
      </c>
      <c r="F18" s="91">
        <f>IFERROR(E18/E$40,0)</f>
        <v/>
      </c>
    </row>
    <row r="19" ht="10" customHeight="1">
      <c r="A19" s="84" t="inlineStr">
        <is>
          <t>General Auxiliary</t>
        </is>
      </c>
      <c r="B19" s="84" t="inlineStr">
        <is>
          <t>USN</t>
        </is>
      </c>
      <c r="C19" s="85">
        <f>SUMIFS(JB_27U,JB_B,2,JB_W,"General Auxiliary",JB_S,"",JB_27U,"&lt;&gt;")+SUMIFS(JB_27S,JB_B,2,JB_W,"General Auxiliary",JB_S,"",JB_27U,"")+SUMIFS(JB_27U,JB_B,2,JB_W,"General Auxiliary",JB_S,"[PARENT]",JB_27U,"&lt;&gt;")+SUMIFS(JB_27S,JB_B,2,JB_W,"General Auxiliary",JB_S,"[PARENT]",JB_27U,"")</f>
        <v/>
      </c>
      <c r="D19" s="85">
        <f>SUMIFS(JB_27U,JB_B,4,JB_W,"General Auxiliary",JB_S,"",JB_27U,"&lt;&gt;")+SUMIFS(JB_27S,JB_B,4,JB_W,"General Auxiliary",JB_S,"",JB_27U,"")+SUMIFS(JB_27U,JB_B,4,JB_W,"General Auxiliary",JB_S,"[PARENT]",JB_27U,"&lt;&gt;")+SUMIFS(JB_27S,JB_B,4,JB_W,"General Auxiliary",JB_S,"[PARENT]",JB_27U,"")</f>
        <v/>
      </c>
      <c r="E19" s="85">
        <f>C19+D19</f>
        <v/>
      </c>
      <c r="F19" s="91">
        <f>IFERROR(E19/E$40,0)</f>
        <v/>
      </c>
    </row>
    <row r="20" ht="10" customHeight="1">
      <c r="A20" s="84" t="inlineStr">
        <is>
          <t>Mine Warfare</t>
        </is>
      </c>
      <c r="B20" s="84" t="inlineStr">
        <is>
          <t>USN</t>
        </is>
      </c>
      <c r="C20" s="85">
        <f>SUMIFS(JB_27U,JB_B,2,JB_W,"Mine Warfare",JB_S,"",JB_27U,"&lt;&gt;")+SUMIFS(JB_27S,JB_B,2,JB_W,"Mine Warfare",JB_S,"",JB_27U,"")+SUMIFS(JB_27U,JB_B,2,JB_W,"Mine Warfare",JB_S,"[PARENT]",JB_27U,"&lt;&gt;")+SUMIFS(JB_27S,JB_B,2,JB_W,"Mine Warfare",JB_S,"[PARENT]",JB_27U,"")</f>
        <v/>
      </c>
      <c r="D20" s="85">
        <f>SUMIFS(JB_27U,JB_B,4,JB_W,"Mine Warfare",JB_S,"",JB_27U,"&lt;&gt;")+SUMIFS(JB_27S,JB_B,4,JB_W,"Mine Warfare",JB_S,"",JB_27U,"")+SUMIFS(JB_27U,JB_B,4,JB_W,"Mine Warfare",JB_S,"[PARENT]",JB_27U,"&lt;&gt;")+SUMIFS(JB_27S,JB_B,4,JB_W,"Mine Warfare",JB_S,"[PARENT]",JB_27U,"")</f>
        <v/>
      </c>
      <c r="E20" s="85">
        <f>C20+D20</f>
        <v/>
      </c>
      <c r="F20" s="91">
        <f>IFERROR(E20/E$40,0)</f>
        <v/>
      </c>
    </row>
    <row r="21" ht="10" customHeight="1">
      <c r="A21" s="84" t="inlineStr">
        <is>
          <t>Aviation Logistics Support Ship</t>
        </is>
      </c>
      <c r="B21" s="84" t="inlineStr">
        <is>
          <t>USN</t>
        </is>
      </c>
      <c r="C21"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1"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1" s="85">
        <f>C21+D21</f>
        <v/>
      </c>
      <c r="F21" s="91">
        <f>IFERROR(E21/E$40,0)</f>
        <v/>
      </c>
    </row>
    <row r="22" ht="10" customHeight="1">
      <c r="A22" s="84" t="inlineStr">
        <is>
          <t>High Speed Transport</t>
        </is>
      </c>
      <c r="B22" s="84" t="inlineStr">
        <is>
          <t>USN</t>
        </is>
      </c>
      <c r="C22" s="85">
        <f>SUMIFS(JB_27U,JB_B,2,JB_W,"High Speed Transport",JB_S,"",JB_27U,"&lt;&gt;")+SUMIFS(JB_27S,JB_B,2,JB_W,"High Speed Transport",JB_S,"",JB_27U,"")+SUMIFS(JB_27U,JB_B,2,JB_W,"High Speed Transport",JB_S,"[PARENT]",JB_27U,"&lt;&gt;")+SUMIFS(JB_27S,JB_B,2,JB_W,"High Speed Transport",JB_S,"[PARENT]",JB_27U,"")</f>
        <v/>
      </c>
      <c r="D22" s="85">
        <f>SUMIFS(JB_27U,JB_B,4,JB_W,"High Speed Transport",JB_S,"",JB_27U,"&lt;&gt;")+SUMIFS(JB_27S,JB_B,4,JB_W,"High Speed Transport",JB_S,"",JB_27U,"")+SUMIFS(JB_27U,JB_B,4,JB_W,"High Speed Transport",JB_S,"[PARENT]",JB_27U,"&lt;&gt;")+SUMIFS(JB_27S,JB_B,4,JB_W,"High Speed Transport",JB_S,"[PARENT]",JB_27U,"")</f>
        <v/>
      </c>
      <c r="E22" s="85">
        <f>C22+D22</f>
        <v/>
      </c>
      <c r="F22" s="91">
        <f>IFERROR(E22/E$40,0)</f>
        <v/>
      </c>
    </row>
    <row r="23" ht="10" customHeight="1">
      <c r="A23" s="84" t="inlineStr">
        <is>
          <t>Expeditionary &amp; Seabasing Ships</t>
        </is>
      </c>
      <c r="B23" s="84" t="inlineStr">
        <is>
          <t>USN</t>
        </is>
      </c>
      <c r="C23"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3"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3" s="85">
        <f>C23+D23</f>
        <v/>
      </c>
      <c r="F23" s="91">
        <f>IFERROR(E23/E$40,0)</f>
        <v/>
      </c>
    </row>
    <row r="24" ht="10" customHeight="1">
      <c r="A24" s="84" t="inlineStr">
        <is>
          <t>Crane Ship</t>
        </is>
      </c>
      <c r="B24" s="84" t="inlineStr">
        <is>
          <t>USN</t>
        </is>
      </c>
      <c r="C24" s="85">
        <f>SUMIFS(JB_27U,JB_B,2,JB_W,"Crane Ship",JB_S,"",JB_27U,"&lt;&gt;")+SUMIFS(JB_27S,JB_B,2,JB_W,"Crane Ship",JB_S,"",JB_27U,"")+SUMIFS(JB_27U,JB_B,2,JB_W,"Crane Ship",JB_S,"[PARENT]",JB_27U,"&lt;&gt;")+SUMIFS(JB_27S,JB_B,2,JB_W,"Crane Ship",JB_S,"[PARENT]",JB_27U,"")</f>
        <v/>
      </c>
      <c r="D24" s="85">
        <f>SUMIFS(JB_27U,JB_B,4,JB_W,"Crane Ship",JB_S,"",JB_27U,"&lt;&gt;")+SUMIFS(JB_27S,JB_B,4,JB_W,"Crane Ship",JB_S,"",JB_27U,"")+SUMIFS(JB_27U,JB_B,4,JB_W,"Crane Ship",JB_S,"[PARENT]",JB_27U,"&lt;&gt;")+SUMIFS(JB_27S,JB_B,4,JB_W,"Crane Ship",JB_S,"[PARENT]",JB_27U,"")</f>
        <v/>
      </c>
      <c r="E24" s="85">
        <f>C24+D24</f>
        <v/>
      </c>
      <c r="F24" s="91">
        <f>IFERROR(E24/E$40,0)</f>
        <v/>
      </c>
    </row>
    <row r="25" ht="10" customHeight="1">
      <c r="A25" s="84" t="inlineStr">
        <is>
          <t>Hospital Ship</t>
        </is>
      </c>
      <c r="B25" s="84" t="inlineStr">
        <is>
          <t>MSC</t>
        </is>
      </c>
      <c r="C25" s="85">
        <f>SUMIFS(JB_27U,JB_B,2,JB_W,"Hospital Ship",JB_S,"",JB_27U,"&lt;&gt;")+SUMIFS(JB_27S,JB_B,2,JB_W,"Hospital Ship",JB_S,"",JB_27U,"")+SUMIFS(JB_27U,JB_B,2,JB_W,"Hospital Ship",JB_S,"[PARENT]",JB_27U,"&lt;&gt;")+SUMIFS(JB_27S,JB_B,2,JB_W,"Hospital Ship",JB_S,"[PARENT]",JB_27U,"")</f>
        <v/>
      </c>
      <c r="D25" s="85">
        <f>SUMIFS(JB_27U,JB_B,4,JB_W,"Hospital Ship",JB_S,"",JB_27U,"&lt;&gt;")+SUMIFS(JB_27S,JB_B,4,JB_W,"Hospital Ship",JB_S,"",JB_27U,"")+SUMIFS(JB_27U,JB_B,4,JB_W,"Hospital Ship",JB_S,"[PARENT]",JB_27U,"&lt;&gt;")+SUMIFS(JB_27S,JB_B,4,JB_W,"Hospital Ship",JB_S,"[PARENT]",JB_27U,"")</f>
        <v/>
      </c>
      <c r="E25" s="85">
        <f>C25+D25</f>
        <v/>
      </c>
      <c r="F25" s="91">
        <f>IFERROR(E25/E$40,0)</f>
        <v/>
      </c>
    </row>
    <row r="26" ht="10" customHeight="1">
      <c r="A26" s="84" t="inlineStr">
        <is>
          <t>Cargo &amp; Vehicle Cargo Ships</t>
        </is>
      </c>
      <c r="B26" s="84" t="inlineStr">
        <is>
          <t>USN</t>
        </is>
      </c>
      <c r="C26" s="85">
        <f>SUMIFS(JB_27U,JB_B,2,JB_W,"Cargo &amp; Vehicle Cargo Ships",JB_S,"",JB_27U,"&lt;&gt;")+SUMIFS(JB_27S,JB_B,2,JB_W,"Cargo &amp; Vehicle Cargo Ships",JB_S,"",JB_27U,"")+SUMIFS(JB_27U,JB_B,2,JB_W,"Cargo &amp; Vehicle Cargo Ships",JB_S,"[PARENT]",JB_27U,"&lt;&gt;")+SUMIFS(JB_27S,JB_B,2,JB_W,"Cargo &amp; Vehicle Cargo Ships",JB_S,"[PARENT]",JB_27U,"")</f>
        <v/>
      </c>
      <c r="D26" s="85">
        <f>SUMIFS(JB_27U,JB_B,4,JB_W,"Cargo &amp; Vehicle Cargo Ships",JB_S,"",JB_27U,"&lt;&gt;")+SUMIFS(JB_27S,JB_B,4,JB_W,"Cargo &amp; Vehicle Cargo Ships",JB_S,"",JB_27U,"")+SUMIFS(JB_27U,JB_B,4,JB_W,"Cargo &amp; Vehicle Cargo Ships",JB_S,"[PARENT]",JB_27U,"&lt;&gt;")+SUMIFS(JB_27S,JB_B,4,JB_W,"Cargo &amp; Vehicle Cargo Ships",JB_S,"[PARENT]",JB_27U,"")</f>
        <v/>
      </c>
      <c r="E26" s="85">
        <f>C26+D26</f>
        <v/>
      </c>
      <c r="F26" s="91">
        <f>IFERROR(E26/E$40,0)</f>
        <v/>
      </c>
    </row>
    <row r="27" ht="10" customHeight="1">
      <c r="A27" s="84" t="inlineStr">
        <is>
          <t>Unmanned Surface Vehicles</t>
        </is>
      </c>
      <c r="B27" s="84" t="inlineStr">
        <is>
          <t>USN</t>
        </is>
      </c>
      <c r="C27" s="85">
        <f>SUMIFS(JB_27U,JB_B,2,JB_W,"Unmanned Surface Vehicles",JB_S,"",JB_27U,"&lt;&gt;")+SUMIFS(JB_27S,JB_B,2,JB_W,"Unmanned Surface Vehicles",JB_S,"",JB_27U,"")+SUMIFS(JB_27U,JB_B,2,JB_W,"Unmanned Surface Vehicles",JB_S,"[PARENT]",JB_27U,"&lt;&gt;")+SUMIFS(JB_27S,JB_B,2,JB_W,"Unmanned Surface Vehicles",JB_S,"[PARENT]",JB_27U,"")</f>
        <v/>
      </c>
      <c r="D27" s="85">
        <f>SUMIFS(JB_27U,JB_B,4,JB_W,"Unmanned Surface Vehicles",JB_S,"",JB_27U,"&lt;&gt;")+SUMIFS(JB_27S,JB_B,4,JB_W,"Unmanned Surface Vehicles",JB_S,"",JB_27U,"")+SUMIFS(JB_27U,JB_B,4,JB_W,"Unmanned Surface Vehicles",JB_S,"[PARENT]",JB_27U,"&lt;&gt;")+SUMIFS(JB_27S,JB_B,4,JB_W,"Unmanned Surface Vehicles",JB_S,"[PARENT]",JB_27U,"")</f>
        <v/>
      </c>
      <c r="E27" s="85">
        <f>C27+D27</f>
        <v/>
      </c>
      <c r="F27" s="91">
        <f>IFERROR(E27/E$40,0)</f>
        <v/>
      </c>
    </row>
    <row r="28" ht="10" customHeight="1">
      <c r="A28" s="84" t="inlineStr">
        <is>
          <t>Research, Survey &amp; Instrumentation Ships</t>
        </is>
      </c>
      <c r="B28" s="84" t="inlineStr">
        <is>
          <t>MSC</t>
        </is>
      </c>
      <c r="C28"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8"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8" s="85">
        <f>C28+D28</f>
        <v/>
      </c>
      <c r="F28" s="91">
        <f>IFERROR(E28/E$40,0)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f>
        <v/>
      </c>
      <c r="D29" s="85">
        <f>SUMIFS(JB_27U,JB_B,4,JB_W,"Command Ships",JB_S,"",JB_27U,"&lt;&gt;")+SUMIFS(JB_27S,JB_B,4,JB_W,"Command Ships",JB_S,"",JB_27U,"")+SUMIFS(JB_27U,JB_B,4,JB_W,"Command Ships",JB_S,"[PARENT]",JB_27U,"&lt;&gt;")+SUMIFS(JB_27S,JB_B,4,JB_W,"Command Ships",JB_S,"[PARENT]",JB_27U,"")</f>
        <v/>
      </c>
      <c r="E29" s="85">
        <f>C29+D29</f>
        <v/>
      </c>
      <c r="F29" s="91">
        <f>IFERROR(E29/E$40,0)</f>
        <v/>
      </c>
    </row>
    <row r="30" ht="10" customHeight="1">
      <c r="A30" s="84" t="inlineStr">
        <is>
          <t>Combat Logistics Ships</t>
        </is>
      </c>
      <c r="B30" s="84" t="inlineStr">
        <is>
          <t>MSC</t>
        </is>
      </c>
      <c r="C30" s="85">
        <f>SUMIFS(JB_27U,JB_B,2,JB_W,"Combat Logistics Ships",JB_S,"",JB_27U,"&lt;&gt;")+SUMIFS(JB_27S,JB_B,2,JB_W,"Combat Logistics Ships",JB_S,"",JB_27U,"")+SUMIFS(JB_27U,JB_B,2,JB_W,"Combat Logistics Ships",JB_S,"[PARENT]",JB_27U,"&lt;&gt;")+SUMIFS(JB_27S,JB_B,2,JB_W,"Combat Logistics Ships",JB_S,"[PARENT]",JB_27U,"")</f>
        <v/>
      </c>
      <c r="D30" s="85">
        <f>SUMIFS(JB_27U,JB_B,4,JB_W,"Combat Logistics Ships",JB_S,"",JB_27U,"&lt;&gt;")+SUMIFS(JB_27S,JB_B,4,JB_W,"Combat Logistics Ships",JB_S,"",JB_27U,"")+SUMIFS(JB_27U,JB_B,4,JB_W,"Combat Logistics Ships",JB_S,"[PARENT]",JB_27U,"&lt;&gt;")+SUMIFS(JB_27S,JB_B,4,JB_W,"Combat Logistics Ships",JB_S,"[PARENT]",JB_27U,"")</f>
        <v/>
      </c>
      <c r="E30" s="85">
        <f>C30+D30</f>
        <v/>
      </c>
      <c r="F30" s="91">
        <f>IFERROR(E30/E$40,0)</f>
        <v/>
      </c>
    </row>
    <row r="31" ht="10" customHeight="1">
      <c r="A31" s="84" t="inlineStr">
        <is>
          <t>Submarine Escort Ship</t>
        </is>
      </c>
      <c r="B31" s="84" t="inlineStr">
        <is>
          <t>USN</t>
        </is>
      </c>
      <c r="C31" s="85">
        <f>SUMIFS(JB_27U,JB_B,2,JB_W,"Submarine Escort Ship",JB_S,"",JB_27U,"&lt;&gt;")+SUMIFS(JB_27S,JB_B,2,JB_W,"Submarine Escort Ship",JB_S,"",JB_27U,"")+SUMIFS(JB_27U,JB_B,2,JB_W,"Submarine Escort Ship",JB_S,"[PARENT]",JB_27U,"&lt;&gt;")+SUMIFS(JB_27S,JB_B,2,JB_W,"Submarine Escort Ship",JB_S,"[PARENT]",JB_27U,"")</f>
        <v/>
      </c>
      <c r="D31" s="85">
        <f>SUMIFS(JB_27U,JB_B,4,JB_W,"Submarine Escort Ship",JB_S,"",JB_27U,"&lt;&gt;")+SUMIFS(JB_27S,JB_B,4,JB_W,"Submarine Escort Ship",JB_S,"",JB_27U,"")+SUMIFS(JB_27U,JB_B,4,JB_W,"Submarine Escort Ship",JB_S,"[PARENT]",JB_27U,"&lt;&gt;")+SUMIFS(JB_27S,JB_B,4,JB_W,"Submarine Escort Ship",JB_S,"[PARENT]",JB_27U,"")</f>
        <v/>
      </c>
      <c r="E31" s="85">
        <f>C31+D31</f>
        <v/>
      </c>
      <c r="F31" s="91">
        <f>IFERROR(E31/E$40,0)</f>
        <v/>
      </c>
    </row>
    <row r="32" ht="10" customHeight="1">
      <c r="A32" s="84" t="inlineStr">
        <is>
          <t>Material Support Ships</t>
        </is>
      </c>
      <c r="B32" s="84" t="inlineStr">
        <is>
          <t>USN</t>
        </is>
      </c>
      <c r="C32" s="85">
        <f>SUMIFS(JB_27U,JB_B,2,JB_W,"Material Support Ships",JB_S,"",JB_27U,"&lt;&gt;")+SUMIFS(JB_27S,JB_B,2,JB_W,"Material Support Ships",JB_S,"",JB_27U,"")+SUMIFS(JB_27U,JB_B,2,JB_W,"Material Support Ships",JB_S,"[PARENT]",JB_27U,"&lt;&gt;")+SUMIFS(JB_27S,JB_B,2,JB_W,"Material Support Ships",JB_S,"[PARENT]",JB_27U,"")</f>
        <v/>
      </c>
      <c r="D32" s="85">
        <f>SUMIFS(JB_27U,JB_B,4,JB_W,"Material Support Ships",JB_S,"",JB_27U,"&lt;&gt;")+SUMIFS(JB_27S,JB_B,4,JB_W,"Material Support Ships",JB_S,"",JB_27U,"")+SUMIFS(JB_27U,JB_B,4,JB_W,"Material Support Ships",JB_S,"[PARENT]",JB_27U,"&lt;&gt;")+SUMIFS(JB_27S,JB_B,4,JB_W,"Material Support Ships",JB_S,"[PARENT]",JB_27U,"")</f>
        <v/>
      </c>
      <c r="E32" s="85">
        <f>C32+D32</f>
        <v/>
      </c>
      <c r="F32" s="91">
        <f>IFERROR(E32/E$40,0)</f>
        <v/>
      </c>
    </row>
    <row r="33" ht="10" customHeight="1">
      <c r="A33" s="84" t="inlineStr">
        <is>
          <t>Waterways Commerce Cutters</t>
        </is>
      </c>
      <c r="B33" s="84" t="inlineStr">
        <is>
          <t>USCG</t>
        </is>
      </c>
      <c r="C33" s="85">
        <f>SUMIFS(JB_27U,JB_B,2,JB_W,"Waterways Commerce Cutters",JB_S,"",JB_27U,"&lt;&gt;")+SUMIFS(JB_27S,JB_B,2,JB_W,"Waterways Commerce Cutters",JB_S,"",JB_27U,"")+SUMIFS(JB_27U,JB_B,2,JB_W,"Waterways Commerce Cutters",JB_S,"[PARENT]",JB_27U,"&lt;&gt;")+SUMIFS(JB_27S,JB_B,2,JB_W,"Waterways Commerce Cutters",JB_S,"[PARENT]",JB_27U,"")</f>
        <v/>
      </c>
      <c r="D33" s="85">
        <f>SUMIFS(JB_27U,JB_B,4,JB_W,"Waterways Commerce Cutters",JB_S,"",JB_27U,"&lt;&gt;")+SUMIFS(JB_27S,JB_B,4,JB_W,"Waterways Commerce Cutters",JB_S,"",JB_27U,"")+SUMIFS(JB_27U,JB_B,4,JB_W,"Waterways Commerce Cutters",JB_S,"[PARENT]",JB_27U,"&lt;&gt;")+SUMIFS(JB_27S,JB_B,4,JB_W,"Waterways Commerce Cutters",JB_S,"[PARENT]",JB_27U,"")</f>
        <v/>
      </c>
      <c r="E33" s="85">
        <f>C33+D33</f>
        <v/>
      </c>
      <c r="F33" s="91">
        <f>IFERROR(E33/E$40,0)</f>
        <v/>
      </c>
    </row>
    <row r="34" ht="10" customHeight="1">
      <c r="A34" s="84" t="inlineStr">
        <is>
          <t>Coastal Buoy Tenders</t>
        </is>
      </c>
      <c r="B34" s="84" t="inlineStr">
        <is>
          <t>USCG</t>
        </is>
      </c>
      <c r="C34" s="85">
        <f>SUMIFS(JB_27U,JB_B,2,JB_W,"Coastal Buoy Tenders",JB_S,"",JB_27U,"&lt;&gt;")+SUMIFS(JB_27S,JB_B,2,JB_W,"Coastal Buoy Tenders",JB_S,"",JB_27U,"")+SUMIFS(JB_27U,JB_B,2,JB_W,"Coastal Buoy Tenders",JB_S,"[PARENT]",JB_27U,"&lt;&gt;")+SUMIFS(JB_27S,JB_B,2,JB_W,"Coastal Buoy Tenders",JB_S,"[PARENT]",JB_27U,"")</f>
        <v/>
      </c>
      <c r="D34" s="85">
        <f>SUMIFS(JB_27U,JB_B,4,JB_W,"Coastal Buoy Tenders",JB_S,"",JB_27U,"&lt;&gt;")+SUMIFS(JB_27S,JB_B,4,JB_W,"Coastal Buoy Tenders",JB_S,"",JB_27U,"")+SUMIFS(JB_27U,JB_B,4,JB_W,"Coastal Buoy Tenders",JB_S,"[PARENT]",JB_27U,"&lt;&gt;")+SUMIFS(JB_27S,JB_B,4,JB_W,"Coastal Buoy Tenders",JB_S,"[PARENT]",JB_27U,"")</f>
        <v/>
      </c>
      <c r="E34" s="85">
        <f>C34+D34</f>
        <v/>
      </c>
      <c r="F34" s="91">
        <f>IFERROR(E34/E$40,0)</f>
        <v/>
      </c>
    </row>
    <row r="35" ht="10" customHeight="1">
      <c r="A35" s="84" t="inlineStr">
        <is>
          <t>National Security Cutters</t>
        </is>
      </c>
      <c r="B35" s="84" t="inlineStr">
        <is>
          <t>USCG</t>
        </is>
      </c>
      <c r="C35" s="85">
        <f>SUMIFS(JB_27U,JB_B,2,JB_W,"National Security Cutters",JB_S,"",JB_27U,"&lt;&gt;")+SUMIFS(JB_27S,JB_B,2,JB_W,"National Security Cutters",JB_S,"",JB_27U,"")+SUMIFS(JB_27U,JB_B,2,JB_W,"National Security Cutters",JB_S,"[PARENT]",JB_27U,"&lt;&gt;")+SUMIFS(JB_27S,JB_B,2,JB_W,"National Security Cutters",JB_S,"[PARENT]",JB_27U,"")</f>
        <v/>
      </c>
      <c r="D35" s="85">
        <f>SUMIFS(JB_27U,JB_B,4,JB_W,"National Security Cutters",JB_S,"",JB_27U,"&lt;&gt;")+SUMIFS(JB_27S,JB_B,4,JB_W,"National Security Cutters",JB_S,"",JB_27U,"")+SUMIFS(JB_27U,JB_B,4,JB_W,"National Security Cutters",JB_S,"[PARENT]",JB_27U,"&lt;&gt;")+SUMIFS(JB_27S,JB_B,4,JB_W,"National Security Cutters",JB_S,"[PARENT]",JB_27U,"")</f>
        <v/>
      </c>
      <c r="E35" s="85">
        <f>C35+D35</f>
        <v/>
      </c>
      <c r="F35" s="91">
        <f>IFERROR(E35/E$40,0)</f>
        <v/>
      </c>
    </row>
    <row r="36" ht="10" customHeight="1">
      <c r="A36" s="84" t="inlineStr">
        <is>
          <t>Icebreakers, Oceangoing</t>
        </is>
      </c>
      <c r="B36" s="84" t="inlineStr">
        <is>
          <t>USCG</t>
        </is>
      </c>
      <c r="C36" s="85">
        <f>SUMIFS(JB_27U,JB_B,2,JB_W,"Icebreakers, Oceangoing",JB_S,"",JB_27U,"&lt;&gt;")+SUMIFS(JB_27S,JB_B,2,JB_W,"Icebreakers, Oceangoing",JB_S,"",JB_27U,"")+SUMIFS(JB_27U,JB_B,2,JB_W,"Icebreakers, Oceangoing",JB_S,"[PARENT]",JB_27U,"&lt;&gt;")+SUMIFS(JB_27S,JB_B,2,JB_W,"Icebreakers, Oceangoing",JB_S,"[PARENT]",JB_27U,"")</f>
        <v/>
      </c>
      <c r="D36" s="85">
        <f>SUMIFS(JB_27U,JB_B,4,JB_W,"Icebreakers, Oceangoing",JB_S,"",JB_27U,"&lt;&gt;")+SUMIFS(JB_27S,JB_B,4,JB_W,"Icebreakers, Oceangoing",JB_S,"",JB_27U,"")+SUMIFS(JB_27U,JB_B,4,JB_W,"Icebreakers, Oceangoing",JB_S,"[PARENT]",JB_27U,"&lt;&gt;")+SUMIFS(JB_27S,JB_B,4,JB_W,"Icebreakers, Oceangoing",JB_S,"[PARENT]",JB_27U,"")</f>
        <v/>
      </c>
      <c r="E36" s="85">
        <f>C36+D36</f>
        <v/>
      </c>
      <c r="F36" s="91">
        <f>IFERROR(E36/E$40,0)</f>
        <v/>
      </c>
    </row>
    <row r="37" ht="10" customHeight="1">
      <c r="A37" s="84" t="inlineStr">
        <is>
          <t>Fast Response Cutters</t>
        </is>
      </c>
      <c r="B37" s="84" t="inlineStr">
        <is>
          <t>USCG</t>
        </is>
      </c>
      <c r="C37" s="85">
        <f>SUMIFS(JB_27U,JB_B,2,JB_W,"Fast Response Cutters",JB_S,"",JB_27U,"&lt;&gt;")+SUMIFS(JB_27S,JB_B,2,JB_W,"Fast Response Cutters",JB_S,"",JB_27U,"")+SUMIFS(JB_27U,JB_B,2,JB_W,"Fast Response Cutters",JB_S,"[PARENT]",JB_27U,"&lt;&gt;")+SUMIFS(JB_27S,JB_B,2,JB_W,"Fast Response Cutters",JB_S,"[PARENT]",JB_27U,"")</f>
        <v/>
      </c>
      <c r="D37" s="85">
        <f>SUMIFS(JB_27U,JB_B,4,JB_W,"Fast Response Cutters",JB_S,"",JB_27U,"&lt;&gt;")+SUMIFS(JB_27S,JB_B,4,JB_W,"Fast Response Cutters",JB_S,"",JB_27U,"")+SUMIFS(JB_27U,JB_B,4,JB_W,"Fast Response Cutters",JB_S,"[PARENT]",JB_27U,"&lt;&gt;")+SUMIFS(JB_27S,JB_B,4,JB_W,"Fast Response Cutters",JB_S,"[PARENT]",JB_27U,"")</f>
        <v/>
      </c>
      <c r="E37" s="85">
        <f>C37+D37</f>
        <v/>
      </c>
      <c r="F37" s="91">
        <f>IFERROR(E37/E$40,0)</f>
        <v/>
      </c>
    </row>
    <row r="38" ht="10" customHeight="1">
      <c r="A38" s="84" t="inlineStr">
        <is>
          <t>Icebreakers, Great Lakes</t>
        </is>
      </c>
      <c r="B38" s="84" t="inlineStr">
        <is>
          <t>USCG</t>
        </is>
      </c>
      <c r="C38" s="85">
        <f>SUMIFS(JB_27U,JB_B,2,JB_W,"Icebreakers, Great Lakes",JB_S,"",JB_27U,"&lt;&gt;")+SUMIFS(JB_27S,JB_B,2,JB_W,"Icebreakers, Great Lakes",JB_S,"",JB_27U,"")+SUMIFS(JB_27U,JB_B,2,JB_W,"Icebreakers, Great Lakes",JB_S,"[PARENT]",JB_27U,"&lt;&gt;")+SUMIFS(JB_27S,JB_B,2,JB_W,"Icebreakers, Great Lakes",JB_S,"[PARENT]",JB_27U,"")</f>
        <v/>
      </c>
      <c r="D38" s="85">
        <f>SUMIFS(JB_27U,JB_B,4,JB_W,"Icebreakers, Great Lakes",JB_S,"",JB_27U,"&lt;&gt;")+SUMIFS(JB_27S,JB_B,4,JB_W,"Icebreakers, Great Lakes",JB_S,"",JB_27U,"")+SUMIFS(JB_27U,JB_B,4,JB_W,"Icebreakers, Great Lakes",JB_S,"[PARENT]",JB_27U,"&lt;&gt;")+SUMIFS(JB_27S,JB_B,4,JB_W,"Icebreakers, Great Lakes",JB_S,"[PARENT]",JB_27U,"")</f>
        <v/>
      </c>
      <c r="E38" s="85">
        <f>C38+D38</f>
        <v/>
      </c>
      <c r="F38" s="91">
        <f>IFERROR(E38/E$40,0)</f>
        <v/>
      </c>
    </row>
    <row r="39" ht="10" customHeight="1">
      <c r="A39" s="84" t="inlineStr">
        <is>
          <t>Offshore Patrol Cutter</t>
        </is>
      </c>
      <c r="B39" s="84" t="inlineStr">
        <is>
          <t>USCG</t>
        </is>
      </c>
      <c r="C39" s="85">
        <f>SUMIFS(JB_27U,JB_B,2,JB_W,"Offshore Patrol Cutter",JB_S,"",JB_27U,"&lt;&gt;")+SUMIFS(JB_27S,JB_B,2,JB_W,"Offshore Patrol Cutter",JB_S,"",JB_27U,"")+SUMIFS(JB_27U,JB_B,2,JB_W,"Offshore Patrol Cutter",JB_S,"[PARENT]",JB_27U,"&lt;&gt;")+SUMIFS(JB_27S,JB_B,2,JB_W,"Offshore Patrol Cutter",JB_S,"[PARENT]",JB_27U,"")</f>
        <v/>
      </c>
      <c r="D39" s="85">
        <f>SUMIFS(JB_27U,JB_B,4,JB_W,"Offshore Patrol Cutter",JB_S,"",JB_27U,"&lt;&gt;")+SUMIFS(JB_27S,JB_B,4,JB_W,"Offshore Patrol Cutter",JB_S,"",JB_27U,"")+SUMIFS(JB_27U,JB_B,4,JB_W,"Offshore Patrol Cutter",JB_S,"[PARENT]",JB_27U,"&lt;&gt;")+SUMIFS(JB_27S,JB_B,4,JB_W,"Offshore Patrol Cutter",JB_S,"[PARENT]",JB_27U,"")</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row>
    <row r="44" ht="10" customHeight="1">
      <c r="A44" s="93" t="n"/>
      <c r="B44" s="94" t="inlineStr">
        <is>
          <t>USN</t>
        </is>
      </c>
      <c r="C44" s="93" t="n"/>
      <c r="D44" s="93" t="n"/>
      <c r="E44" s="95" t="n"/>
    </row>
    <row r="45" ht="10" customHeight="1">
      <c r="A45" s="83" t="inlineStr">
        <is>
          <t>Work Type</t>
        </is>
      </c>
      <c r="B45" s="96" t="inlineStr">
        <is>
          <t>Surface Combatants</t>
        </is>
      </c>
      <c r="C45" s="83" t="inlineStr">
        <is>
          <t>Amphibious Warfare Ships</t>
        </is>
      </c>
      <c r="D45" s="83" t="inlineStr">
        <is>
          <t>Surveillance Ships</t>
        </is>
      </c>
      <c r="E45" s="96" t="inlineStr">
        <is>
          <t>Total</t>
        </is>
      </c>
    </row>
    <row r="46" ht="10" customHeight="1">
      <c r="A46" s="84" t="inlineStr">
        <is>
          <t>Scheduled Depot Maintenance</t>
        </is>
      </c>
      <c r="B46" s="97">
        <f>IFERROR((SUMIFS(JB_27U,JB_B,2,JB_W,"Surface Combatants",JB_S,"",JB_27U,"&lt;&gt;")+SUMIFS(JB_27S,JB_B,2,JB_W,"Surface Combatants",JB_S,"",JB_27U,"")+SUMIFS(JB_27U,JB_B,2,JB_W,"Surface Combatants",JB_S,"[PARENT]",JB_27U,"&lt;&gt;")+SUMIFS(JB_27S,JB_B,2,JB_W,"Surface Combatants",JB_S,"[PARENT]",JB_27U,""))/B$48,0)</f>
        <v/>
      </c>
      <c r="C46" s="91">
        <f>IFERROR((SUMIFS(JB_27U,JB_B,2,JB_W,"Amphibious Warfare Ships",JB_S,"",JB_27U,"&lt;&gt;")+SUMIFS(JB_27S,JB_B,2,JB_W,"Amphibious Warfare Ships",JB_S,"",JB_27U,"")+SUMIFS(JB_27U,JB_B,2,JB_W,"Amphibious Warfare Ships",JB_S,"[PARENT]",JB_27U,"&lt;&gt;")+SUMIFS(JB_27S,JB_B,2,JB_W,"Amphibious Warfare Ships",JB_S,"[PARENT]",JB_27U,""))/C$48,0)</f>
        <v/>
      </c>
      <c r="D46" s="91">
        <f>IFERROR((SUMIFS(JB_27U,JB_B,2,JB_W,"Surveillance Ships",JB_S,"",JB_27U,"&lt;&gt;")+SUMIFS(JB_27S,JB_B,2,JB_W,"Surveillance Ships",JB_S,"",JB_27U,"")+SUMIFS(JB_27U,JB_B,2,JB_W,"Surveillance Ships",JB_S,"[PARENT]",JB_27U,"&lt;&gt;")+SUMIFS(JB_27S,JB_B,2,JB_W,"Surveillance Ships",JB_S,"[PARENT]",JB_27U,""))/D$48,0)</f>
        <v/>
      </c>
      <c r="E46" s="97">
        <f>IFERROR(1-E47,0)</f>
        <v/>
      </c>
    </row>
    <row r="47" ht="10" customHeight="1">
      <c r="A47" s="84" t="inlineStr">
        <is>
          <t>Modernization</t>
        </is>
      </c>
      <c r="B47" s="97">
        <f>IFERROR((SUMIFS(JB_27U,JB_B,4,JB_W,"Surface Combatants",JB_S,"",JB_27U,"&lt;&gt;")+SUMIFS(JB_27S,JB_B,4,JB_W,"Surface Combatants",JB_S,"",JB_27U,"")+SUMIFS(JB_27U,JB_B,4,JB_W,"Surface Combatants",JB_S,"[PARENT]",JB_27U,"&lt;&gt;")+SUMIFS(JB_27S,JB_B,4,JB_W,"Surface Combatants",JB_S,"[PARENT]",JB_27U,""))/B$48,0)</f>
        <v/>
      </c>
      <c r="C47" s="91">
        <f>IFERROR((SUMIFS(JB_27U,JB_B,4,JB_W,"Amphibious Warfare Ships",JB_S,"",JB_27U,"&lt;&gt;")+SUMIFS(JB_27S,JB_B,4,JB_W,"Amphibious Warfare Ships",JB_S,"",JB_27U,"")+SUMIFS(JB_27U,JB_B,4,JB_W,"Amphibious Warfare Ships",JB_S,"[PARENT]",JB_27U,"&lt;&gt;")+SUMIFS(JB_27S,JB_B,4,JB_W,"Amphibious Warfare Ships",JB_S,"[PARENT]",JB_27U,""))/C$48,0)</f>
        <v/>
      </c>
      <c r="D47" s="91">
        <f>IFERROR((SUMIFS(JB_27U,JB_B,4,JB_W,"Surveillance Ships",JB_S,"",JB_27U,"&lt;&gt;")+SUMIFS(JB_27S,JB_B,4,JB_W,"Surveillance Ships",JB_S,"",JB_27U,"")+SUMIFS(JB_27U,JB_B,4,JB_W,"Surveillance Ships",JB_S,"[PARENT]",JB_27U,"&lt;&gt;")+SUMIFS(JB_27S,JB_B,4,JB_W,"Surveillance Ships",JB_S,"[PARENT]",JB_27U,""))/D$48,0)</f>
        <v/>
      </c>
      <c r="E47" s="9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6" t="inlineStr">
        <is>
          <t>Total ($K)</t>
        </is>
      </c>
      <c r="B48" s="9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8">
        <f>SUM(B48:D48)</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F128"/>
  <sheetViews>
    <sheetView showGridLines="0" workbookViewId="0">
      <selection activeCell="A1" sqref="A1"/>
    </sheetView>
  </sheetViews>
  <sheetFormatPr baseColWidth="8" defaultRowHeight="15"/>
  <cols>
    <col width="28" customWidth="1" min="1" max="1"/>
    <col width="14" customWidth="1" min="2" max="2"/>
    <col width="40" customWidth="1" min="3" max="3"/>
    <col width="24" customWidth="1" min="4" max="4"/>
    <col width="24" customWidth="1" min="5" max="5"/>
    <col width="40" customWidth="1" min="6" max="6"/>
  </cols>
  <sheetData>
    <row r="1" ht="10" customHeight="1">
      <c r="A1" s="78" t="inlineStr">
        <is>
          <t>Competitive Dynamics</t>
        </is>
      </c>
      <c r="B1" s="79" t="n"/>
      <c r="C1" s="79" t="n"/>
      <c r="D1" s="79" t="n"/>
      <c r="E1" s="79" t="n"/>
      <c r="F1" s="79" t="n"/>
    </row>
    <row r="2" ht="10" customHeight="1">
      <c r="A2" s="80" t="inlineStr">
        <is>
          <t>FY20-26 contract obligation analysis — primes, subcontractors, and FY26 vehicle crosswalk ($M)</t>
        </is>
      </c>
    </row>
    <row r="3" ht="10" customHeight="1"/>
    <row r="4" ht="10" customHeight="1">
      <c r="A4" s="81" t="inlineStr">
        <is>
          <t>(A) Top Prime Contractors — FY20-26 Window Obligation</t>
        </is>
      </c>
      <c r="B4" s="82" t="n"/>
      <c r="C4" s="82" t="n"/>
      <c r="D4" s="82" t="n"/>
      <c r="E4" s="82" t="n"/>
    </row>
    <row r="5" ht="10" customHeight="1">
      <c r="A5" s="83" t="inlineStr">
        <is>
          <t>Rank</t>
        </is>
      </c>
      <c r="B5" s="83" t="inlineStr">
        <is>
          <t>Contractor</t>
        </is>
      </c>
      <c r="C5" s="83" t="inlineStr">
        <is>
          <t>Parent</t>
        </is>
      </c>
      <c r="D5" s="83" t="inlineStr">
        <is>
          <t>Window ($M)</t>
        </is>
      </c>
      <c r="E5" s="83" t="inlineStr">
        <is>
          <t>Key Programs</t>
        </is>
      </c>
    </row>
    <row r="6" ht="10" customHeight="1">
      <c r="A6" s="84" t="n">
        <v>1</v>
      </c>
      <c r="B6" s="84" t="inlineStr">
        <is>
          <t>Huntington Ingalls Industries</t>
        </is>
      </c>
      <c r="C6" s="80" t="inlineStr">
        <is>
          <t>HII</t>
        </is>
      </c>
      <c r="D6" s="85" t="n">
        <v>22000</v>
      </c>
      <c r="E6" s="80" t="inlineStr">
        <is>
          <t>DDG-51 $11.4B, LPD $4.7B, LHA $4.5B, DDG-1000 $0.3B, depot</t>
        </is>
      </c>
    </row>
    <row r="7" ht="10" customHeight="1">
      <c r="A7" s="84" t="n">
        <v>2</v>
      </c>
      <c r="B7" s="84" t="inlineStr">
        <is>
          <t>Raytheon / RTX</t>
        </is>
      </c>
      <c r="C7" s="80" t="inlineStr">
        <is>
          <t>RTX Corp</t>
        </is>
      </c>
      <c r="D7" s="85" t="n">
        <v>13700</v>
      </c>
      <c r="E7" s="80" t="inlineStr">
        <is>
          <t>Standard Missile $5.7B, SPY-6 $3.5B, CIWS/RAM $2.0B, DDG-1000 $0.9B, CEC $0.6B</t>
        </is>
      </c>
    </row>
    <row r="8" ht="10" customHeight="1">
      <c r="A8" s="84" t="n">
        <v>3</v>
      </c>
      <c r="B8" s="84" t="inlineStr">
        <is>
          <t>Bath Iron Works</t>
        </is>
      </c>
      <c r="C8" s="80" t="inlineStr">
        <is>
          <t>General Dynamics</t>
        </is>
      </c>
      <c r="D8" s="85" t="n">
        <v>8800</v>
      </c>
      <c r="E8" s="80" t="inlineStr">
        <is>
          <t>DDG-51 FY23-27 $5.0B, FY18-22 $3.3B, FY13-17 $0.5B, DDG-1000 $0.2B</t>
        </is>
      </c>
    </row>
    <row r="9" ht="10" customHeight="1">
      <c r="A9" s="84" t="n">
        <v>4</v>
      </c>
      <c r="B9" s="84" t="inlineStr">
        <is>
          <t>BAE Systems</t>
        </is>
      </c>
      <c r="C9" s="80" t="inlineStr">
        <is>
          <t>BAE Systems plc</t>
        </is>
      </c>
      <c r="D9" s="85" t="n">
        <v>5000</v>
      </c>
      <c r="E9" s="80" t="inlineStr">
        <is>
          <t>DDG/LHD/LPD/LSD/CG depot maintenance — Norfolk, San Diego, Jacksonville, Hawaii</t>
        </is>
      </c>
    </row>
    <row r="10" ht="10" customHeight="1">
      <c r="A10" s="84" t="n">
        <v>5</v>
      </c>
      <c r="B10" s="84" t="inlineStr">
        <is>
          <t>Lockheed Martin</t>
        </is>
      </c>
      <c r="C10" s="80" t="inlineStr">
        <is>
          <t>LM</t>
        </is>
      </c>
      <c r="D10" s="85" t="n">
        <v>1500</v>
      </c>
      <c r="E10" s="80" t="inlineStr">
        <is>
          <t>SLQ-32(V)6 $0.8B, SSDS $0.4B, HELIOS $0.1B, LCS Freedom $0.3B</t>
        </is>
      </c>
    </row>
    <row r="11" ht="10" customHeight="1">
      <c r="A11" s="84" t="n">
        <v>6</v>
      </c>
      <c r="B11" s="84" t="inlineStr">
        <is>
          <t>Metro Machine Corp</t>
        </is>
      </c>
      <c r="C11" s="80" t="inlineStr">
        <is>
          <t>--</t>
        </is>
      </c>
      <c r="D11" s="85" t="n">
        <v>700</v>
      </c>
      <c r="E11" s="80" t="inlineStr">
        <is>
          <t>LHD/DDG/LSD depot maintenance — Norfolk</t>
        </is>
      </c>
    </row>
    <row r="12" ht="10" customHeight="1">
      <c r="A12" s="84" t="n">
        <v>7</v>
      </c>
      <c r="B12" s="84" t="inlineStr">
        <is>
          <t>NASSCO</t>
        </is>
      </c>
      <c r="C12" s="80" t="inlineStr">
        <is>
          <t>General Dynamics</t>
        </is>
      </c>
      <c r="D12" s="85" t="n">
        <v>600</v>
      </c>
      <c r="E12" s="80" t="inlineStr">
        <is>
          <t>LHA/LHD/LSD/DDG/CG depot maintenance — San Diego</t>
        </is>
      </c>
    </row>
    <row r="13" ht="10" customHeight="1">
      <c r="A13" s="84" t="n">
        <v>8</v>
      </c>
      <c r="B13" s="84" t="inlineStr">
        <is>
          <t>Vigor Marine LLC</t>
        </is>
      </c>
      <c r="C13" s="80" t="inlineStr">
        <is>
          <t>--</t>
        </is>
      </c>
      <c r="D13" s="85" t="n">
        <v>500</v>
      </c>
      <c r="E13" s="80" t="inlineStr">
        <is>
          <t>DDG/CG depot maintenance — Portland, OR</t>
        </is>
      </c>
    </row>
    <row r="14" ht="10" customHeight="1">
      <c r="A14" s="84" t="n">
        <v>9</v>
      </c>
      <c r="B14" s="84" t="inlineStr">
        <is>
          <t>Northrop Grumman Systems</t>
        </is>
      </c>
      <c r="C14" s="80" t="inlineStr">
        <is>
          <t>NG</t>
        </is>
      </c>
      <c r="D14" s="85" t="n">
        <v>487</v>
      </c>
      <c r="E14" s="80" t="inlineStr">
        <is>
          <t>Knifefish/LCS $0.35B, SEWIP Block 3 $0.14B, ALMDS $0.07B</t>
        </is>
      </c>
    </row>
    <row r="15" ht="10" customHeight="1">
      <c r="A15" s="84" t="n">
        <v>10</v>
      </c>
      <c r="B15" s="84" t="inlineStr">
        <is>
          <t>QED Systems</t>
        </is>
      </c>
      <c r="C15" s="80" t="inlineStr">
        <is>
          <t>--</t>
        </is>
      </c>
      <c r="D15" s="85" t="n">
        <v>300</v>
      </c>
      <c r="E15" s="80" t="inlineStr">
        <is>
          <t>Third-party planning DDG/CG/LPD/LHD</t>
        </is>
      </c>
    </row>
    <row r="16" ht="10" customHeight="1">
      <c r="A16" s="84" t="n">
        <v>11</v>
      </c>
      <c r="B16" s="84" t="inlineStr">
        <is>
          <t>Continental Maritime</t>
        </is>
      </c>
      <c r="C16" s="80" t="inlineStr">
        <is>
          <t>--</t>
        </is>
      </c>
      <c r="D16" s="85" t="n">
        <v>300</v>
      </c>
      <c r="E16" s="80" t="inlineStr">
        <is>
          <t>DDG depot — San Diego</t>
        </is>
      </c>
    </row>
    <row r="17" ht="10" customHeight="1">
      <c r="A17" s="84" t="n">
        <v>12</v>
      </c>
      <c r="B17" s="84" t="inlineStr">
        <is>
          <t>Textron Systems</t>
        </is>
      </c>
      <c r="C17" s="80" t="inlineStr">
        <is>
          <t>Textron</t>
        </is>
      </c>
      <c r="D17" s="85" t="n">
        <v>242</v>
      </c>
      <c r="E17" s="80" t="inlineStr">
        <is>
          <t>UISS $0.24B</t>
        </is>
      </c>
    </row>
    <row r="18" ht="10" customHeight="1">
      <c r="A18" s="84" t="n">
        <v>13</v>
      </c>
      <c r="B18" s="84" t="inlineStr">
        <is>
          <t>Advanced Technology International</t>
        </is>
      </c>
      <c r="C18" s="80" t="inlineStr">
        <is>
          <t>--</t>
        </is>
      </c>
      <c r="D18" s="85" t="n">
        <v>235</v>
      </c>
      <c r="E18" s="80" t="inlineStr">
        <is>
          <t>OTA consortium: MK-54 MOD 2, SPY-6 prototype, HEL, LHD midlife</t>
        </is>
      </c>
    </row>
    <row r="19" ht="10" customHeight="1">
      <c r="A19" s="84" t="n">
        <v>14</v>
      </c>
      <c r="B19" s="84" t="inlineStr">
        <is>
          <t>General Dynamics Mission Systems</t>
        </is>
      </c>
      <c r="C19" s="80" t="inlineStr">
        <is>
          <t>General Dynamics</t>
        </is>
      </c>
      <c r="D19" s="85" t="n">
        <v>210</v>
      </c>
      <c r="E19" s="80" t="inlineStr">
        <is>
          <t>MK-54 MOD 1 $0.12B, Knifefish Block 1 $0.08B</t>
        </is>
      </c>
    </row>
    <row r="20" ht="10" customHeight="1">
      <c r="A20" s="84" t="n">
        <v>15</v>
      </c>
      <c r="B20" s="84" t="inlineStr">
        <is>
          <t>SAIC</t>
        </is>
      </c>
      <c r="C20" s="80" t="inlineStr">
        <is>
          <t>SAIC</t>
        </is>
      </c>
      <c r="D20" s="85" t="n">
        <v>200</v>
      </c>
      <c r="E20" s="80" t="inlineStr">
        <is>
          <t>DDG-1000 engineering, SSTD Nixie, torpedo defense</t>
        </is>
      </c>
    </row>
    <row r="21" ht="10" customHeight="1">
      <c r="A21" s="84" t="n">
        <v>16</v>
      </c>
      <c r="B21" s="84" t="inlineStr">
        <is>
          <t>Marine Hydraulics International</t>
        </is>
      </c>
      <c r="C21" s="80" t="inlineStr">
        <is>
          <t>--</t>
        </is>
      </c>
      <c r="D21" s="85" t="n">
        <v>200</v>
      </c>
      <c r="E21" s="80" t="inlineStr">
        <is>
          <t>DDG/LSD depot + sub-prime on LHD primes</t>
        </is>
      </c>
    </row>
    <row r="22" ht="10" customHeight="1">
      <c r="A22" s="84" t="n">
        <v>17</v>
      </c>
      <c r="B22" s="84" t="inlineStr">
        <is>
          <t>Bollinger Shipyards</t>
        </is>
      </c>
      <c r="C22" s="80" t="inlineStr">
        <is>
          <t>Bollinger</t>
        </is>
      </c>
      <c r="D22" s="85" t="n">
        <v>116</v>
      </c>
      <c r="E22" s="80" t="inlineStr">
        <is>
          <t>MCM USV production</t>
        </is>
      </c>
    </row>
    <row r="23" ht="10" customHeight="1">
      <c r="A23" s="84" t="n">
        <v>18</v>
      </c>
      <c r="B23" s="84" t="inlineStr">
        <is>
          <t>Ultra Electronics Ocean Systems</t>
        </is>
      </c>
      <c r="C23" s="80" t="inlineStr">
        <is>
          <t>Ultra</t>
        </is>
      </c>
      <c r="D23" s="85" t="n">
        <v>68</v>
      </c>
      <c r="E23" s="80" t="inlineStr">
        <is>
          <t>MK 54 MOD 0 array kits + Nixie production</t>
        </is>
      </c>
    </row>
    <row r="24" ht="10" customHeight="1">
      <c r="A24" s="84" t="n">
        <v>19</v>
      </c>
      <c r="B24" s="84" t="inlineStr">
        <is>
          <t>Penn State Applied Research Lab</t>
        </is>
      </c>
      <c r="C24" s="80" t="inlineStr">
        <is>
          <t>Penn State</t>
        </is>
      </c>
      <c r="D24" s="85" t="n">
        <v>60</v>
      </c>
      <c r="E24" s="80" t="inlineStr">
        <is>
          <t>MK-54 MOD 2 engineering, HEL development</t>
        </is>
      </c>
    </row>
    <row r="25" ht="10" customHeight="1">
      <c r="A25" s="86" t="inlineStr"/>
      <c r="B25" s="86" t="inlineStr"/>
      <c r="C25" s="86" t="inlineStr">
        <is>
          <t>Total (top 19)</t>
        </is>
      </c>
      <c r="D25" s="87">
        <f>SUM(D6:D24)</f>
        <v/>
      </c>
      <c r="E25" s="88" t="n"/>
    </row>
    <row r="26" ht="10" customHeight="1"/>
    <row r="27" ht="10" customHeight="1"/>
    <row r="28" ht="10" customHeight="1">
      <c r="A28" s="81" t="inlineStr">
        <is>
          <t>(B) Top Subcontractors — Hidden Supply Chain</t>
        </is>
      </c>
      <c r="B28" s="82" t="n"/>
      <c r="C28" s="82" t="n"/>
      <c r="D28" s="82" t="n"/>
      <c r="E28" s="82" t="n"/>
      <c r="F28" s="82" t="n"/>
    </row>
    <row r="29" ht="10" customHeight="1">
      <c r="A29" s="83" t="inlineStr">
        <is>
          <t>Rank</t>
        </is>
      </c>
      <c r="B29" s="83" t="inlineStr">
        <is>
          <t>Parent Company</t>
        </is>
      </c>
      <c r="C29" s="83" t="inlineStr">
        <is>
          <t>Sub Total ($M)</t>
        </is>
      </c>
      <c r="D29" s="83" t="inlineStr">
        <is>
          <t># Primes</t>
        </is>
      </c>
      <c r="E29" s="83" t="inlineStr">
        <is>
          <t># PIIDs</t>
        </is>
      </c>
      <c r="F29" s="83" t="inlineStr">
        <is>
          <t>Primary Programs</t>
        </is>
      </c>
    </row>
    <row r="30" ht="10" customHeight="1">
      <c r="A30" s="84" t="n">
        <v>1</v>
      </c>
      <c r="B30" s="84" t="inlineStr">
        <is>
          <t>Fincantieri (Marinette Marine)</t>
        </is>
      </c>
      <c r="C30" s="85" t="n">
        <v>2487</v>
      </c>
      <c r="D30" s="85" t="n">
        <v>2</v>
      </c>
      <c r="E30" s="85" t="n">
        <v>1</v>
      </c>
      <c r="F30" s="80" t="inlineStr">
        <is>
          <t>LCS Freedom hull builder — actual constructor under LM prime</t>
        </is>
      </c>
    </row>
    <row r="31" ht="10" customHeight="1">
      <c r="A31" s="84" t="n">
        <v>2</v>
      </c>
      <c r="B31" s="84" t="inlineStr">
        <is>
          <t>Timken Gears &amp; Services</t>
        </is>
      </c>
      <c r="C31" s="85" t="n">
        <v>516</v>
      </c>
      <c r="D31" s="85" t="n">
        <v>22</v>
      </c>
      <c r="E31" s="85" t="n">
        <v>20</v>
      </c>
      <c r="F31" s="80" t="inlineStr">
        <is>
          <t>DDG/LHD/CG propulsion gearing</t>
        </is>
      </c>
    </row>
    <row r="32" ht="10" customHeight="1">
      <c r="A32" s="84" t="n">
        <v>3</v>
      </c>
      <c r="B32" s="84" t="inlineStr">
        <is>
          <t>General Dynamics (rolled up)</t>
        </is>
      </c>
      <c r="C32" s="85" t="n">
        <v>432</v>
      </c>
      <c r="D32" s="85" t="n">
        <v>23</v>
      </c>
      <c r="E32" s="85" t="n">
        <v>14</v>
      </c>
      <c r="F32" s="80" t="inlineStr">
        <is>
          <t>GD Mission Systems $359M on SPY-6, GD-OTS, GDIT</t>
        </is>
      </c>
    </row>
    <row r="33" ht="10" customHeight="1">
      <c r="A33" s="84" t="n">
        <v>4</v>
      </c>
      <c r="B33" s="84" t="inlineStr">
        <is>
          <t>L3Harris (Aerojet Rocketdyne)</t>
        </is>
      </c>
      <c r="C33" s="85" t="n">
        <v>378</v>
      </c>
      <c r="D33" s="85" t="n">
        <v>4</v>
      </c>
      <c r="E33" s="85" t="n">
        <v>4</v>
      </c>
      <c r="F33" s="80" t="inlineStr">
        <is>
          <t>Solid rocket motors for Standard Missile family</t>
        </is>
      </c>
    </row>
    <row r="34" ht="10" customHeight="1">
      <c r="A34" s="84" t="n">
        <v>5</v>
      </c>
      <c r="B34" s="84" t="inlineStr">
        <is>
          <t>Rolls-Royce</t>
        </is>
      </c>
      <c r="C34" s="85" t="n">
        <v>313</v>
      </c>
      <c r="D34" s="85" t="n">
        <v>25</v>
      </c>
      <c r="E34" s="85" t="n">
        <v>25</v>
      </c>
      <c r="F34" s="80" t="inlineStr">
        <is>
          <t>Gas turbines, waterjets, gearing — DDG/LCS/LPD/LHA + depot</t>
        </is>
      </c>
    </row>
    <row r="35" ht="10" customHeight="1">
      <c r="A35" s="84" t="n">
        <v>6</v>
      </c>
      <c r="B35" s="84" t="inlineStr">
        <is>
          <t>CAES (Cobham)</t>
        </is>
      </c>
      <c r="C35" s="85" t="n">
        <v>217</v>
      </c>
      <c r="D35" s="85" t="n">
        <v>10</v>
      </c>
      <c r="E35" s="85" t="n">
        <v>8</v>
      </c>
      <c r="F35" s="80" t="inlineStr">
        <is>
          <t>RF assemblies on SPY-6 $170M, SEWIP $110M, SLQ-32 $95M</t>
        </is>
      </c>
    </row>
    <row r="36" ht="10" customHeight="1">
      <c r="A36" s="84" t="n">
        <v>7</v>
      </c>
      <c r="B36" s="84" t="inlineStr">
        <is>
          <t>Northrop Grumman (as sub)</t>
        </is>
      </c>
      <c r="C36" s="85" t="n">
        <v>215</v>
      </c>
      <c r="D36" s="85" t="n">
        <v>10</v>
      </c>
      <c r="E36" s="85" t="n">
        <v>9</v>
      </c>
      <c r="F36" s="80" t="inlineStr">
        <is>
          <t>SPY-6 RF $114M, CIWS, LPD/LHA construction</t>
        </is>
      </c>
    </row>
    <row r="37" ht="10" customHeight="1">
      <c r="A37" s="84" t="n">
        <v>8</v>
      </c>
      <c r="B37" s="84" t="inlineStr">
        <is>
          <t>IMIA</t>
        </is>
      </c>
      <c r="C37" s="85" t="n">
        <v>204</v>
      </c>
      <c r="D37" s="85" t="n">
        <v>28</v>
      </c>
      <c r="E37" s="85" t="n">
        <v>28</v>
      </c>
      <c r="F37" s="80" t="inlineStr">
        <is>
          <t>Hull coatings / paint across 28 depot availabilities</t>
        </is>
      </c>
    </row>
    <row r="38" ht="10" customHeight="1">
      <c r="A38" s="84" t="n">
        <v>9</v>
      </c>
      <c r="B38" s="84" t="inlineStr">
        <is>
          <t>L3Harris (excl. Aerojet)</t>
        </is>
      </c>
      <c r="C38" s="85" t="n">
        <v>203</v>
      </c>
      <c r="D38" s="85" t="n">
        <v>53</v>
      </c>
      <c r="E38" s="85" t="n">
        <v>45</v>
      </c>
      <c r="F38" s="80" t="inlineStr">
        <is>
          <t>Maritime Power, Cincinnati Electronics, Fuzing — broadest footprint</t>
        </is>
      </c>
    </row>
    <row r="39" ht="10" customHeight="1">
      <c r="A39" s="84" t="n">
        <v>10</v>
      </c>
      <c r="B39" s="84" t="inlineStr">
        <is>
          <t>Johnson Controls (incl. York)</t>
        </is>
      </c>
      <c r="C39" s="85" t="n">
        <v>172</v>
      </c>
      <c r="D39" s="85" t="n">
        <v>31</v>
      </c>
      <c r="E39" s="85" t="n">
        <v>24</v>
      </c>
      <c r="F39" s="80" t="inlineStr">
        <is>
          <t>HVAC / chilled water on DDG/LPD/LHA + depot</t>
        </is>
      </c>
    </row>
    <row r="40" ht="10" customHeight="1">
      <c r="A40" s="84" t="n">
        <v>11</v>
      </c>
      <c r="B40" s="84" t="inlineStr">
        <is>
          <t>GE Aerospace</t>
        </is>
      </c>
      <c r="C40" s="85" t="n">
        <v>166</v>
      </c>
      <c r="D40" s="85" t="n">
        <v>16</v>
      </c>
      <c r="E40" s="85" t="n">
        <v>14</v>
      </c>
      <c r="F40" s="80" t="inlineStr">
        <is>
          <t>LM2500 gas turbines on DDG-51 + GE Power Conversion LHA 9</t>
        </is>
      </c>
    </row>
    <row r="41" ht="10" customHeight="1">
      <c r="A41" s="84" t="n">
        <v>12</v>
      </c>
      <c r="B41" s="84" t="inlineStr">
        <is>
          <t>Fairbanks Morse Defense</t>
        </is>
      </c>
      <c r="C41" s="85" t="n">
        <v>161</v>
      </c>
      <c r="D41" s="85" t="n">
        <v>25</v>
      </c>
      <c r="E41" s="85" t="n">
        <v>18</v>
      </c>
      <c r="F41" s="80" t="inlineStr">
        <is>
          <t>Diesel generators / propulsion on LPD/LHA + depot rebuilds</t>
        </is>
      </c>
    </row>
    <row r="42" ht="10" customHeight="1">
      <c r="A42" s="84" t="n">
        <v>13</v>
      </c>
      <c r="B42" s="84" t="inlineStr">
        <is>
          <t>Leonardo DRS</t>
        </is>
      </c>
      <c r="C42" s="85" t="n">
        <v>134</v>
      </c>
      <c r="D42" s="85" t="n">
        <v>18</v>
      </c>
      <c r="E42" s="85" t="n">
        <v>15</v>
      </c>
      <c r="F42" s="80" t="inlineStr">
        <is>
          <t>Naval Power Systems, Network &amp; Imaging, Laurel Technologies</t>
        </is>
      </c>
    </row>
    <row r="43" ht="10" customHeight="1">
      <c r="A43" s="84" t="n">
        <v>14</v>
      </c>
      <c r="B43" s="84" t="inlineStr">
        <is>
          <t>Sparton DeLeon Springs</t>
        </is>
      </c>
      <c r="C43" s="85" t="n">
        <v>108</v>
      </c>
      <c r="D43" s="85" t="n">
        <v>2</v>
      </c>
      <c r="E43" s="85" t="n">
        <v>2</v>
      </c>
      <c r="F43" s="80" t="inlineStr">
        <is>
          <t>ASW sensors / payload on Raytheon Barracuda</t>
        </is>
      </c>
    </row>
    <row r="44" ht="10" customHeight="1">
      <c r="A44" s="84" t="n">
        <v>15</v>
      </c>
      <c r="B44" s="84" t="inlineStr">
        <is>
          <t>RAM-System GmbH</t>
        </is>
      </c>
      <c r="C44" s="85" t="n">
        <v>98</v>
      </c>
      <c r="D44" s="85" t="n">
        <v>1</v>
      </c>
      <c r="E44" s="85" t="n">
        <v>1</v>
      </c>
      <c r="F44" s="80" t="inlineStr">
        <is>
          <t>RAM missile co-development with Raytheon (Germany)</t>
        </is>
      </c>
    </row>
    <row r="45" ht="10" customHeight="1">
      <c r="A45" s="84" t="n">
        <v>16</v>
      </c>
      <c r="B45" s="84" t="inlineStr">
        <is>
          <t>Bay Metals &amp; Fabrication</t>
        </is>
      </c>
      <c r="C45" s="85" t="n">
        <v>93</v>
      </c>
      <c r="D45" s="85" t="n">
        <v>9</v>
      </c>
      <c r="E45" s="85" t="n">
        <v>9</v>
      </c>
      <c r="F45" s="80" t="inlineStr">
        <is>
          <t>Norfolk metal fab serving 9 depot availabilities</t>
        </is>
      </c>
    </row>
    <row r="46" ht="10" customHeight="1">
      <c r="A46" s="84" t="n">
        <v>17</v>
      </c>
      <c r="B46" s="84" t="inlineStr">
        <is>
          <t>US Joiner LLC</t>
        </is>
      </c>
      <c r="C46" s="85" t="n">
        <v>88</v>
      </c>
      <c r="D46" s="85" t="n">
        <v>12</v>
      </c>
      <c r="E46" s="85" t="n">
        <v>12</v>
      </c>
      <c r="F46" s="80" t="inlineStr">
        <is>
          <t>Interior outfitting — LPD construction + depot</t>
        </is>
      </c>
    </row>
    <row r="47" ht="10" customHeight="1">
      <c r="A47" s="84" t="n">
        <v>18</v>
      </c>
      <c r="B47" s="84" t="inlineStr">
        <is>
          <t>United Rentals</t>
        </is>
      </c>
      <c r="C47" s="85" t="n">
        <v>77</v>
      </c>
      <c r="D47" s="85" t="n">
        <v>29</v>
      </c>
      <c r="E47" s="85" t="n">
        <v>29</v>
      </c>
      <c r="F47" s="80" t="inlineStr">
        <is>
          <t>Equipment rental across 29 depot availabilities</t>
        </is>
      </c>
    </row>
    <row r="48" ht="10" customHeight="1">
      <c r="A48" s="84" t="n">
        <v>19</v>
      </c>
      <c r="B48" s="84" t="inlineStr">
        <is>
          <t>Honeywell</t>
        </is>
      </c>
      <c r="C48" s="85" t="n">
        <v>71</v>
      </c>
      <c r="D48" s="85" t="n">
        <v>12</v>
      </c>
      <c r="E48" s="85" t="n">
        <v>12</v>
      </c>
      <c r="F48" s="80" t="inlineStr">
        <is>
          <t>IMUs / IRUs on Standard Missile + CIWS</t>
        </is>
      </c>
    </row>
    <row r="49" ht="10" customHeight="1">
      <c r="A49" s="84" t="n">
        <v>20</v>
      </c>
      <c r="B49" s="84" t="inlineStr">
        <is>
          <t>Anaren</t>
        </is>
      </c>
      <c r="C49" s="85" t="n">
        <v>64</v>
      </c>
      <c r="D49" s="85" t="n">
        <v>7</v>
      </c>
      <c r="E49" s="85" t="n">
        <v>7</v>
      </c>
      <c r="F49" s="80" t="inlineStr">
        <is>
          <t>RF combiners/dividers on SPY-6</t>
        </is>
      </c>
    </row>
    <row r="50" ht="10" customHeight="1">
      <c r="A50" s="86" t="inlineStr"/>
      <c r="B50" s="86" t="inlineStr">
        <is>
          <t>Total (top 20)</t>
        </is>
      </c>
      <c r="C50" s="87">
        <f>SUM(C30:C49)</f>
        <v/>
      </c>
      <c r="D50" s="88" t="n"/>
      <c r="E50" s="88" t="n"/>
      <c r="F50" s="88" t="n"/>
    </row>
    <row r="51" ht="10" customHeight="1"/>
    <row r="52" ht="10" customHeight="1"/>
    <row r="53" ht="10" customHeight="1">
      <c r="A53" s="81" t="inlineStr">
        <is>
          <t>(C) Per-Program Subaward Summary</t>
        </is>
      </c>
      <c r="B53" s="82" t="n"/>
      <c r="C53" s="82" t="n"/>
      <c r="D53" s="82" t="n"/>
      <c r="E53" s="82" t="n"/>
    </row>
    <row r="54" ht="10" customHeight="1">
      <c r="A54" s="83" t="inlineStr">
        <is>
          <t>Program</t>
        </is>
      </c>
      <c r="B54" s="83" t="inlineStr">
        <is>
          <t>Total Subs ($M)</t>
        </is>
      </c>
      <c r="C54" s="83" t="inlineStr">
        <is>
          <t>Top Sub 1</t>
        </is>
      </c>
      <c r="D54" s="83" t="inlineStr">
        <is>
          <t>Top Sub 2</t>
        </is>
      </c>
      <c r="E54" s="83" t="inlineStr">
        <is>
          <t>Top Sub 3</t>
        </is>
      </c>
    </row>
    <row r="55" ht="10" customHeight="1">
      <c r="A55" s="84" t="inlineStr">
        <is>
          <t>DDG-51 New Construction</t>
        </is>
      </c>
      <c r="B55" s="85" t="n">
        <v>530</v>
      </c>
      <c r="C55" s="80" t="inlineStr">
        <is>
          <t>GE Aerospace $88M</t>
        </is>
      </c>
      <c r="D55" s="80" t="inlineStr">
        <is>
          <t>Johnson Controls $76M</t>
        </is>
      </c>
      <c r="E55" s="80" t="inlineStr">
        <is>
          <t>Timken Gears $41M</t>
        </is>
      </c>
    </row>
    <row r="56" ht="10" customHeight="1">
      <c r="A56" s="84" t="inlineStr">
        <is>
          <t>DDG Mod — SPY-6</t>
        </is>
      </c>
      <c r="B56" s="85" t="n">
        <v>1220</v>
      </c>
      <c r="C56" s="80" t="inlineStr">
        <is>
          <t>GD Mission Systems $359M</t>
        </is>
      </c>
      <c r="D56" s="80" t="inlineStr">
        <is>
          <t>CAES $170M</t>
        </is>
      </c>
      <c r="E56" s="80" t="inlineStr">
        <is>
          <t>Northrop Grumman $114M</t>
        </is>
      </c>
    </row>
    <row r="57" ht="10" customHeight="1">
      <c r="A57" s="84" t="inlineStr">
        <is>
          <t>DDG Mod — CIWS/RAM/SeaRAM</t>
        </is>
      </c>
      <c r="B57" s="85" t="n">
        <v>560</v>
      </c>
      <c r="C57" s="80" t="inlineStr">
        <is>
          <t>RAM-System GmbH $98M</t>
        </is>
      </c>
      <c r="D57" s="80" t="inlineStr">
        <is>
          <t>L3Harris $39M</t>
        </is>
      </c>
      <c r="E57" s="80" t="inlineStr">
        <is>
          <t>GD $35M</t>
        </is>
      </c>
    </row>
    <row r="58" ht="10" customHeight="1">
      <c r="A58" s="84" t="inlineStr">
        <is>
          <t>LCS Freedom Construction</t>
        </is>
      </c>
      <c r="B58" s="85" t="n">
        <v>2910</v>
      </c>
      <c r="C58" s="80" t="inlineStr">
        <is>
          <t>Marinette Marine $2,487M</t>
        </is>
      </c>
      <c r="D58" s="80" t="inlineStr">
        <is>
          <t>Rolls-Royce $196M</t>
        </is>
      </c>
      <c r="E58" s="80" t="inlineStr">
        <is>
          <t>Airbus US $56M</t>
        </is>
      </c>
    </row>
    <row r="59" ht="10" customHeight="1">
      <c r="A59" s="84" t="inlineStr">
        <is>
          <t>LCS MCM Mission Modules</t>
        </is>
      </c>
      <c r="B59" s="85" t="n">
        <v>1230</v>
      </c>
      <c r="C59" s="80" t="inlineStr">
        <is>
          <t>Trident Sensors $215M</t>
        </is>
      </c>
      <c r="D59" s="80" t="inlineStr">
        <is>
          <t>Teledyne $55M</t>
        </is>
      </c>
      <c r="E59" s="80" t="inlineStr">
        <is>
          <t>GD $13M</t>
        </is>
      </c>
    </row>
    <row r="60" ht="10" customHeight="1">
      <c r="A60" s="84" t="inlineStr">
        <is>
          <t>LHA New Construction</t>
        </is>
      </c>
      <c r="B60" s="85" t="n">
        <v>340</v>
      </c>
      <c r="C60" s="80" t="inlineStr">
        <is>
          <t>Fairbanks Morse $40M</t>
        </is>
      </c>
      <c r="D60" s="80" t="inlineStr">
        <is>
          <t>L3Harris $39M</t>
        </is>
      </c>
      <c r="E60" s="80" t="inlineStr">
        <is>
          <t>Leonardo DRS $34M</t>
        </is>
      </c>
    </row>
    <row r="61" ht="10" customHeight="1">
      <c r="A61" s="84" t="inlineStr">
        <is>
          <t>LPD Flight II New Construction</t>
        </is>
      </c>
      <c r="B61" s="85" t="n">
        <v>340</v>
      </c>
      <c r="C61" s="80" t="inlineStr">
        <is>
          <t>Fairbanks Morse $65M</t>
        </is>
      </c>
      <c r="D61" s="80" t="inlineStr">
        <is>
          <t>US Joiner $36M</t>
        </is>
      </c>
      <c r="E61" s="80" t="inlineStr">
        <is>
          <t>Caterpillar $20M</t>
        </is>
      </c>
    </row>
    <row r="62" ht="10" customHeight="1">
      <c r="A62" s="84" t="inlineStr">
        <is>
          <t>Standard Missile Family</t>
        </is>
      </c>
      <c r="B62" s="85" t="n">
        <v>930</v>
      </c>
      <c r="C62" s="80" t="inlineStr">
        <is>
          <t>L3Harris (Aerojet) $390M</t>
        </is>
      </c>
      <c r="D62" s="80" t="inlineStr">
        <is>
          <t>Honeywell $43M</t>
        </is>
      </c>
      <c r="E62" s="80" t="inlineStr">
        <is>
          <t>Goodrich $32M</t>
        </is>
      </c>
    </row>
    <row r="63" ht="10" customHeight="1">
      <c r="A63" s="84" t="inlineStr">
        <is>
          <t>DDG-1000</t>
        </is>
      </c>
      <c r="B63" s="85" t="n">
        <v>130</v>
      </c>
      <c r="C63" s="80" t="inlineStr">
        <is>
          <t>Red River Technology $61M</t>
        </is>
      </c>
      <c r="D63" s="80" t="inlineStr">
        <is>
          <t>Air Masters $6M</t>
        </is>
      </c>
      <c r="E63" s="80" t="inlineStr">
        <is>
          <t>--</t>
        </is>
      </c>
    </row>
    <row r="64" ht="10" customHeight="1">
      <c r="A64" s="84" t="inlineStr">
        <is>
          <t>DDG Mod — CEC</t>
        </is>
      </c>
      <c r="B64" s="85" t="n">
        <v>30</v>
      </c>
      <c r="C64" s="80" t="inlineStr">
        <is>
          <t>Sechan Electronics $7M</t>
        </is>
      </c>
      <c r="D64" s="80" t="inlineStr">
        <is>
          <t>Action Electronics $5M</t>
        </is>
      </c>
      <c r="E64" s="80" t="inlineStr">
        <is>
          <t>--</t>
        </is>
      </c>
    </row>
    <row r="65" ht="10" customHeight="1">
      <c r="A65" s="84" t="inlineStr">
        <is>
          <t>DDG Mod — SSDS</t>
        </is>
      </c>
      <c r="B65" s="85" t="n">
        <v>40</v>
      </c>
      <c r="C65" s="80" t="inlineStr">
        <is>
          <t>Mission Solutions $14M</t>
        </is>
      </c>
      <c r="D65" s="80" t="inlineStr">
        <is>
          <t>PMAT $6M</t>
        </is>
      </c>
      <c r="E65" s="80" t="inlineStr">
        <is>
          <t>--</t>
        </is>
      </c>
    </row>
    <row r="66" ht="10" customHeight="1">
      <c r="A66" s="84" t="inlineStr">
        <is>
          <t>DDG Mod — HELIOS</t>
        </is>
      </c>
      <c r="B66" s="85" t="n">
        <v>60</v>
      </c>
      <c r="C66" s="80" t="inlineStr">
        <is>
          <t>MZA Associates $25M</t>
        </is>
      </c>
      <c r="D66" s="80" t="inlineStr">
        <is>
          <t>L3 Technologies $22M</t>
        </is>
      </c>
      <c r="E66" s="80" t="inlineStr">
        <is>
          <t>--</t>
        </is>
      </c>
    </row>
    <row r="67" ht="10" customHeight="1">
      <c r="A67" s="84" t="inlineStr">
        <is>
          <t>Airborne MCM</t>
        </is>
      </c>
      <c r="B67" s="85" t="n">
        <v>150</v>
      </c>
      <c r="C67" s="80" t="inlineStr">
        <is>
          <t>Sparton $108M</t>
        </is>
      </c>
      <c r="D67" s="80" t="inlineStr">
        <is>
          <t>Teledyne $17M</t>
        </is>
      </c>
      <c r="E67" s="80" t="inlineStr">
        <is>
          <t>--</t>
        </is>
      </c>
    </row>
    <row r="68" ht="10" customHeight="1">
      <c r="A68" s="84" t="inlineStr">
        <is>
          <t>MK-54 Torpedo</t>
        </is>
      </c>
      <c r="B68" s="85" t="n">
        <v>30</v>
      </c>
      <c r="C68" s="80" t="inlineStr">
        <is>
          <t>L3Harris (Aerojet) $25M</t>
        </is>
      </c>
      <c r="D68" s="80" t="inlineStr">
        <is>
          <t>J&amp;E Precision Tool $3M</t>
        </is>
      </c>
      <c r="E68" s="80" t="inlineStr">
        <is>
          <t>--</t>
        </is>
      </c>
    </row>
    <row r="69" ht="10" customHeight="1">
      <c r="A69" s="84" t="inlineStr">
        <is>
          <t>Depot Maintenance</t>
        </is>
      </c>
      <c r="B69" s="85" t="n">
        <v>1500</v>
      </c>
      <c r="C69" s="80" t="inlineStr">
        <is>
          <t>IMIA $204M</t>
        </is>
      </c>
      <c r="D69" s="80" t="inlineStr">
        <is>
          <t>Bay Metals $93M</t>
        </is>
      </c>
      <c r="E69" s="80" t="inlineStr">
        <is>
          <t>US Joiner $88M</t>
        </is>
      </c>
    </row>
    <row r="70" ht="10" customHeight="1">
      <c r="A70" s="86" t="inlineStr">
        <is>
          <t>Total</t>
        </is>
      </c>
      <c r="B70" s="87">
        <f>SUM(B55:B69)</f>
        <v/>
      </c>
      <c r="C70" s="88" t="n"/>
      <c r="D70" s="88" t="n"/>
      <c r="E70" s="88" t="n"/>
    </row>
    <row r="71" ht="10" customHeight="1"/>
    <row r="72" ht="10" customHeight="1"/>
    <row r="73" ht="10" customHeight="1">
      <c r="A73" s="81" t="inlineStr">
        <is>
          <t>(D) FY2026 SAM Line Item to Contract Vehicle Crosswalk</t>
        </is>
      </c>
      <c r="B73" s="82" t="n"/>
      <c r="C73" s="82" t="n"/>
    </row>
    <row r="74" ht="10" customHeight="1"/>
    <row r="75" ht="10" customHeight="1">
      <c r="A75" s="100" t="inlineStr">
        <is>
          <t>LHD</t>
        </is>
      </c>
      <c r="B75" s="100" t="inlineStr">
        <is>
          <t>FY26 Total: 1,101,686 ($K)</t>
        </is>
      </c>
      <c r="C75" s="93" t="n"/>
    </row>
    <row r="76" ht="10" customHeight="1">
      <c r="A76" s="83" t="inlineStr">
        <is>
          <t>FY26 SAM Line</t>
        </is>
      </c>
      <c r="B76" s="83" t="inlineStr">
        <is>
          <t>FY26 ($K)</t>
        </is>
      </c>
      <c r="C76" s="83" t="inlineStr">
        <is>
          <t>Contract Vehicle / Prime</t>
        </is>
      </c>
    </row>
    <row r="77" ht="10" customHeight="1">
      <c r="A77" s="84" t="inlineStr">
        <is>
          <t>OMN_Vol2 LHD/AMPHIBS depot</t>
        </is>
      </c>
      <c r="B77" s="85" t="n">
        <v>346443</v>
      </c>
      <c r="C77" s="80" t="inlineStr">
        <is>
          <t>BAE Norfolk/SD, Metro Machine, NASSCO</t>
        </is>
      </c>
    </row>
    <row r="78" ht="10" customHeight="1">
      <c r="A78" s="84" t="inlineStr">
        <is>
          <t>OMN_Vol2 LHD/AMPHIBS modernization</t>
        </is>
      </c>
      <c r="B78" s="85" t="n">
        <v>631859</v>
      </c>
      <c r="C78" s="80" t="inlineStr">
        <is>
          <t>BAE Norfolk/SD, Metro Machine</t>
        </is>
      </c>
    </row>
    <row r="79" ht="10" customHeight="1">
      <c r="A79" s="84" t="inlineStr">
        <is>
          <t>OPN BA1 Line 8 LHA/LHD Midlife</t>
        </is>
      </c>
      <c r="B79" s="85" t="n">
        <v>123384</v>
      </c>
      <c r="C79" s="80" t="inlineStr">
        <is>
          <t>BAE / Metro / Gibbs &amp; Cox</t>
        </is>
      </c>
    </row>
    <row r="80" ht="10" customHeight="1">
      <c r="A80" s="86" t="inlineStr">
        <is>
          <t>LHD Total</t>
        </is>
      </c>
      <c r="B80" s="87">
        <f>SUM(B77:B79)</f>
        <v/>
      </c>
      <c r="C80" s="88" t="n"/>
    </row>
    <row r="81" ht="10" customHeight="1"/>
    <row r="82" ht="10" customHeight="1">
      <c r="A82" s="100" t="inlineStr">
        <is>
          <t>LPD</t>
        </is>
      </c>
      <c r="B82" s="100" t="inlineStr">
        <is>
          <t>FY26 Total: 1,385,174 ($K)</t>
        </is>
      </c>
      <c r="C82" s="93" t="n"/>
    </row>
    <row r="83" ht="10" customHeight="1">
      <c r="A83" s="83" t="inlineStr">
        <is>
          <t>FY26 SAM Line</t>
        </is>
      </c>
      <c r="B83" s="83" t="inlineStr">
        <is>
          <t>FY26 ($K)</t>
        </is>
      </c>
      <c r="C83" s="83" t="inlineStr">
        <is>
          <t>Contract Vehicle / Prime</t>
        </is>
      </c>
    </row>
    <row r="84" ht="10" customHeight="1">
      <c r="A84" s="84" t="inlineStr">
        <is>
          <t>SCN 3010 LPD Flight II procurement</t>
        </is>
      </c>
      <c r="B84" s="85" t="n">
        <v>835037</v>
      </c>
      <c r="C84" s="80" t="inlineStr">
        <is>
          <t>HII — N0002424C2473 ($5.80B ceiling)</t>
        </is>
      </c>
    </row>
    <row r="85" ht="10" customHeight="1">
      <c r="A85" s="84" t="inlineStr">
        <is>
          <t>SCN 3010 LPD Flight II AP</t>
        </is>
      </c>
      <c r="B85" s="85" t="n">
        <v>275000</v>
      </c>
      <c r="C85" s="80" t="inlineStr">
        <is>
          <t>HII — N0002424C2473 AP scope</t>
        </is>
      </c>
    </row>
    <row r="86" ht="10" customHeight="1">
      <c r="A86" s="84" t="inlineStr">
        <is>
          <t>OMN_Vol2 LPD depot</t>
        </is>
      </c>
      <c r="B86" s="85" t="n">
        <v>149595</v>
      </c>
      <c r="C86" s="80" t="inlineStr">
        <is>
          <t>BAE Norfolk/SD</t>
        </is>
      </c>
    </row>
    <row r="87" ht="10" customHeight="1">
      <c r="A87" s="84" t="inlineStr">
        <is>
          <t>OPN BA1 Line 15 LPD Class Support</t>
        </is>
      </c>
      <c r="B87" s="85" t="n">
        <v>125542</v>
      </c>
      <c r="C87" s="80" t="inlineStr">
        <is>
          <t>HII Class Eng ($225M) + Raytheon LCE&amp;S ($485M)</t>
        </is>
      </c>
    </row>
    <row r="88" ht="10" customHeight="1">
      <c r="A88" s="86" t="inlineStr">
        <is>
          <t>LPD Total</t>
        </is>
      </c>
      <c r="B88" s="87">
        <f>SUM(B84:B87)</f>
        <v/>
      </c>
      <c r="C88" s="88" t="n"/>
    </row>
    <row r="89" ht="10" customHeight="1"/>
    <row r="90" ht="10" customHeight="1">
      <c r="A90" s="100" t="inlineStr">
        <is>
          <t>LSD</t>
        </is>
      </c>
      <c r="B90" s="100" t="inlineStr">
        <is>
          <t>FY26 Total: 120,352 ($K)</t>
        </is>
      </c>
      <c r="C90" s="93" t="n"/>
    </row>
    <row r="91" ht="10" customHeight="1">
      <c r="A91" s="83" t="inlineStr">
        <is>
          <t>FY26 SAM Line</t>
        </is>
      </c>
      <c r="B91" s="83" t="inlineStr">
        <is>
          <t>FY26 ($K)</t>
        </is>
      </c>
      <c r="C91" s="83" t="inlineStr">
        <is>
          <t>Contract Vehicle / Prime</t>
        </is>
      </c>
    </row>
    <row r="92" ht="10" customHeight="1">
      <c r="A92" s="84" t="inlineStr">
        <is>
          <t>OMN_Vol2 LSD depot</t>
        </is>
      </c>
      <c r="B92" s="85" t="n">
        <v>94421</v>
      </c>
      <c r="C92" s="80" t="inlineStr">
        <is>
          <t>NASSCO, BAE, Metro Machine</t>
        </is>
      </c>
    </row>
    <row r="93" ht="10" customHeight="1">
      <c r="A93" s="84" t="inlineStr">
        <is>
          <t>OMN_Vol2 LSD modernization</t>
        </is>
      </c>
      <c r="B93" s="85" t="n">
        <v>25931</v>
      </c>
      <c r="C93" s="80" t="inlineStr">
        <is>
          <t>Alteration installation (small)</t>
        </is>
      </c>
    </row>
    <row r="94" ht="10" customHeight="1">
      <c r="A94" s="86" t="inlineStr">
        <is>
          <t>LSD Total</t>
        </is>
      </c>
      <c r="B94" s="87">
        <f>SUM(B92:B93)</f>
        <v/>
      </c>
      <c r="C94" s="88" t="n"/>
    </row>
    <row r="95" ht="10" customHeight="1"/>
    <row r="96" ht="10" customHeight="1">
      <c r="A96" s="100" t="inlineStr">
        <is>
          <t>LHA</t>
        </is>
      </c>
      <c r="B96" s="100" t="inlineStr">
        <is>
          <t>FY26 Total: 679,975 ($K)</t>
        </is>
      </c>
      <c r="C96" s="93" t="n"/>
    </row>
    <row r="97" ht="10" customHeight="1">
      <c r="A97" s="83" t="inlineStr">
        <is>
          <t>FY26 SAM Line</t>
        </is>
      </c>
      <c r="B97" s="83" t="inlineStr">
        <is>
          <t>FY26 ($K)</t>
        </is>
      </c>
      <c r="C97" s="83" t="inlineStr">
        <is>
          <t>Contract Vehicle / Prime</t>
        </is>
      </c>
    </row>
    <row r="98" ht="10" customHeight="1">
      <c r="A98" s="84" t="inlineStr">
        <is>
          <t>SCN 3041 LHA Replacement</t>
        </is>
      </c>
      <c r="B98" s="85" t="n">
        <v>634963</v>
      </c>
      <c r="C98" s="80" t="inlineStr">
        <is>
          <t>HII — N0002420C2437 LHA 9 ($3.14B ceiling)</t>
        </is>
      </c>
    </row>
    <row r="99" ht="10" customHeight="1">
      <c r="A99" s="84" t="inlineStr">
        <is>
          <t>OMN_Vol2 LHA depot</t>
        </is>
      </c>
      <c r="B99" s="85" t="n">
        <v>45012</v>
      </c>
      <c r="C99" s="80" t="inlineStr">
        <is>
          <t>NASSCO — LHA 6 DSRA ($198M ceiling)</t>
        </is>
      </c>
    </row>
    <row r="100" ht="10" customHeight="1">
      <c r="A100" s="86" t="inlineStr">
        <is>
          <t>LHA Total</t>
        </is>
      </c>
      <c r="B100" s="87">
        <f>SUM(B98:B99)</f>
        <v/>
      </c>
      <c r="C100" s="88" t="n"/>
    </row>
    <row r="101" ht="10" customHeight="1"/>
    <row r="102" ht="10" customHeight="1">
      <c r="A102" s="100" t="inlineStr">
        <is>
          <t>DDG</t>
        </is>
      </c>
      <c r="B102" s="100" t="inlineStr">
        <is>
          <t>FY26 Total: 11,579,185 ($K)</t>
        </is>
      </c>
      <c r="C102" s="93" t="n"/>
    </row>
    <row r="103" ht="10" customHeight="1">
      <c r="A103" s="83" t="inlineStr">
        <is>
          <t>FY26 SAM Line</t>
        </is>
      </c>
      <c r="B103" s="83" t="inlineStr">
        <is>
          <t>FY26 ($K)</t>
        </is>
      </c>
      <c r="C103" s="83" t="inlineStr">
        <is>
          <t>Contract Vehicle / Prime</t>
        </is>
      </c>
    </row>
    <row r="104" ht="10" customHeight="1">
      <c r="A104" s="84" t="inlineStr">
        <is>
          <t>SCN 2122 DDG-51 procurement</t>
        </is>
      </c>
      <c r="B104" s="85" t="n">
        <v>5410773</v>
      </c>
      <c r="C104" s="80" t="inlineStr">
        <is>
          <t>HII FY23-27 MYP + BIW FY23-27 MYP</t>
        </is>
      </c>
    </row>
    <row r="105" ht="10" customHeight="1">
      <c r="A105" s="84" t="inlineStr">
        <is>
          <t>SCN 2122 DDG-51 AP</t>
        </is>
      </c>
      <c r="B105" s="85" t="n">
        <v>1750000</v>
      </c>
      <c r="C105" s="80" t="inlineStr">
        <is>
          <t>HII + BIW — AP against FY23-27 MYPs</t>
        </is>
      </c>
    </row>
    <row r="106" ht="10" customHeight="1">
      <c r="A106" s="84" t="inlineStr">
        <is>
          <t>SCN 2119 DDG-1000</t>
        </is>
      </c>
      <c r="B106" s="85" t="n">
        <v>52358</v>
      </c>
      <c r="C106" s="80" t="inlineStr">
        <is>
          <t>HII Mod Planning + BIW Planning Yard</t>
        </is>
      </c>
    </row>
    <row r="107" ht="10" customHeight="1">
      <c r="A107" s="84" t="inlineStr">
        <is>
          <t>OMN_Vol2 DDG depot</t>
        </is>
      </c>
      <c r="B107" s="85" t="n">
        <v>952000</v>
      </c>
      <c r="C107" s="80" t="inlineStr">
        <is>
          <t>BAE / NASSCO / Continental / Vigor / MHI / Metro</t>
        </is>
      </c>
    </row>
    <row r="108" ht="10" customHeight="1">
      <c r="A108" s="84" t="inlineStr">
        <is>
          <t>OMN_Vol2 DDG modernization</t>
        </is>
      </c>
      <c r="B108" s="85" t="n">
        <v>1282612</v>
      </c>
      <c r="C108" s="80" t="inlineStr">
        <is>
          <t>Cross-vehicle alteration installation</t>
        </is>
      </c>
    </row>
    <row r="109" ht="10" customHeight="1">
      <c r="A109" s="84" t="inlineStr">
        <is>
          <t>WPN 2234 Standard Missile</t>
        </is>
      </c>
      <c r="B109" s="85" t="n">
        <v>1008875</v>
      </c>
      <c r="C109" s="80" t="inlineStr">
        <is>
          <t>Raytheon SM production vehicles</t>
        </is>
      </c>
    </row>
    <row r="110" ht="10" customHeight="1">
      <c r="A110" s="84" t="inlineStr">
        <is>
          <t>OPN BA1 Line 5 DDG Mod</t>
        </is>
      </c>
      <c r="B110" s="85" t="n">
        <v>878787</v>
      </c>
      <c r="C110" s="80" t="inlineStr">
        <is>
          <t>SPY-6, SEWIP, SSDS, CEC, CIWS, HELIOS, Aegis kits</t>
        </is>
      </c>
    </row>
    <row r="111" ht="10" customHeight="1">
      <c r="A111" s="84" t="inlineStr">
        <is>
          <t>WPN 3215 MK-54 Torpedo Mods</t>
        </is>
      </c>
      <c r="B111" s="85" t="n">
        <v>128513</v>
      </c>
      <c r="C111" s="80" t="inlineStr">
        <is>
          <t>GDMS MK 54 MOD 1 + Ultra MK 54 MOD 0 + ATI OTAs</t>
        </is>
      </c>
    </row>
    <row r="112" ht="10" customHeight="1">
      <c r="A112" s="84" t="inlineStr">
        <is>
          <t>OPN BA1 Line 16 DDG-1000 Support</t>
        </is>
      </c>
      <c r="B112" s="85" t="n">
        <v>115267</v>
      </c>
      <c r="C112" s="80" t="inlineStr">
        <is>
          <t>Raytheon DDG-1000 mission sys + BIW Planning Yard</t>
        </is>
      </c>
    </row>
    <row r="113" ht="10" customHeight="1">
      <c r="A113" s="86" t="inlineStr">
        <is>
          <t>DDG Total</t>
        </is>
      </c>
      <c r="B113" s="87">
        <f>SUM(B104:B112)</f>
        <v/>
      </c>
      <c r="C113" s="88" t="n"/>
    </row>
    <row r="114" ht="10" customHeight="1"/>
    <row r="115" ht="10" customHeight="1">
      <c r="A115" s="100" t="inlineStr">
        <is>
          <t>LCS</t>
        </is>
      </c>
      <c r="B115" s="100" t="inlineStr">
        <is>
          <t>FY26 Total: 1,272,818 ($K)</t>
        </is>
      </c>
      <c r="C115" s="93" t="n"/>
    </row>
    <row r="116" ht="10" customHeight="1">
      <c r="A116" s="83" t="inlineStr">
        <is>
          <t>FY26 SAM Line</t>
        </is>
      </c>
      <c r="B116" s="83" t="inlineStr">
        <is>
          <t>FY26 ($K)</t>
        </is>
      </c>
      <c r="C116" s="83" t="inlineStr">
        <is>
          <t>Contract Vehicle / Prime</t>
        </is>
      </c>
    </row>
    <row r="117" ht="10" customHeight="1">
      <c r="A117" s="84" t="inlineStr">
        <is>
          <t>OMN_Vol2 LCS depot</t>
        </is>
      </c>
      <c r="B117" s="85" t="n">
        <v>576389</v>
      </c>
      <c r="C117" s="80" t="inlineStr">
        <is>
          <t>LM Freedom ISEA + GDMS Independence ISEA + avails</t>
        </is>
      </c>
    </row>
    <row r="118" ht="10" customHeight="1">
      <c r="A118" s="84" t="inlineStr">
        <is>
          <t>OMN_Vol2 LCS modernization</t>
        </is>
      </c>
      <c r="B118" s="85" t="n">
        <v>383361</v>
      </c>
      <c r="C118" s="80" t="inlineStr">
        <is>
          <t>LM + GDMS combat system ISEA + ITT-2A</t>
        </is>
      </c>
    </row>
    <row r="119" ht="10" customHeight="1">
      <c r="A119" s="84" t="inlineStr">
        <is>
          <t>OPN BA1 Line 37 LCS In-Service Mod</t>
        </is>
      </c>
      <c r="B119" s="85" t="n">
        <v>189458</v>
      </c>
      <c r="C119" s="80" t="inlineStr">
        <is>
          <t>LM, GDMS, Textron, BAH PEO LCS support</t>
        </is>
      </c>
    </row>
    <row r="120" ht="10" customHeight="1">
      <c r="A120" s="84" t="inlineStr">
        <is>
          <t>OPN BA1 Line 34 LCS MCM Modules</t>
        </is>
      </c>
      <c r="B120" s="85" t="n">
        <v>91372</v>
      </c>
      <c r="C120" s="80" t="inlineStr">
        <is>
          <t>UISS (Textron), Knifefish (GDMS/NG), MCM USV (Bollinger)</t>
        </is>
      </c>
    </row>
    <row r="121" ht="10" customHeight="1">
      <c r="A121" s="84" t="inlineStr">
        <is>
          <t>WPN 2292 Naval Strike Missile</t>
        </is>
      </c>
      <c r="B121" s="85" t="n">
        <v>32238</v>
      </c>
      <c r="C121" s="80" t="inlineStr">
        <is>
          <t>Raytheon NSM integration + Kongsberg OEM via FMS</t>
        </is>
      </c>
    </row>
    <row r="122" ht="10" customHeight="1">
      <c r="A122" s="86" t="inlineStr">
        <is>
          <t>LCS Total</t>
        </is>
      </c>
      <c r="B122" s="87">
        <f>SUM(B117:B121)</f>
        <v/>
      </c>
      <c r="C122" s="88" t="n"/>
    </row>
    <row r="123" ht="10" customHeight="1"/>
    <row r="124" ht="10" customHeight="1">
      <c r="A124" s="100" t="inlineStr">
        <is>
          <t>CG</t>
        </is>
      </c>
      <c r="B124" s="100" t="inlineStr">
        <is>
          <t>FY26 Total: 160,441 ($K)</t>
        </is>
      </c>
      <c r="C124" s="93" t="n"/>
    </row>
    <row r="125" ht="10" customHeight="1">
      <c r="A125" s="83" t="inlineStr">
        <is>
          <t>FY26 SAM Line</t>
        </is>
      </c>
      <c r="B125" s="83" t="inlineStr">
        <is>
          <t>FY26 ($K)</t>
        </is>
      </c>
      <c r="C125" s="83" t="inlineStr">
        <is>
          <t>Contract Vehicle / Prime</t>
        </is>
      </c>
    </row>
    <row r="126" ht="10" customHeight="1">
      <c r="A126" s="84" t="inlineStr">
        <is>
          <t>OMN_Vol2 CG depot</t>
        </is>
      </c>
      <c r="B126" s="85" t="n">
        <v>115501</v>
      </c>
      <c r="C126" s="80" t="inlineStr">
        <is>
          <t>Vigor, BAE Norfolk, NASSCO, HII CG planning</t>
        </is>
      </c>
    </row>
    <row r="127" ht="10" customHeight="1">
      <c r="A127" s="84" t="inlineStr">
        <is>
          <t>OMN_Vol2 CG modernization</t>
        </is>
      </c>
      <c r="B127" s="85" t="n">
        <v>44940</v>
      </c>
      <c r="C127" s="80" t="inlineStr">
        <is>
          <t>Same vendor pool — alteration installation</t>
        </is>
      </c>
    </row>
    <row r="128" ht="10" customHeight="1">
      <c r="A128" s="86" t="inlineStr">
        <is>
          <t>CG Total</t>
        </is>
      </c>
      <c r="B128" s="87">
        <f>SUM(B126:B127)</f>
        <v/>
      </c>
      <c r="C128" s="88" t="n"/>
    </row>
  </sheetData>
  <pageMargins left="0.75" right="0.75" top="1" bottom="1" header="0.5" footer="0.5"/>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2026-04-12T23:11:31Z</dcterms:modified>
  <cp:lastModifiedBy>Brendan Toole</cp:lastModifiedBy>
  <cp:revision>0</cp:revision>
</cp:coreProperties>
</file>