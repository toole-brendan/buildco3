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15</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($17.5B</a:t>
          </a:r>
        </a:p>
        <a:p>
          <a:r>
            <a:rPr lang="en-US" sz="800">
              <a:solidFill>
                <a:srgbClr val="333333"/>
              </a:solidFill>
              <a:latin typeface="Arial"/>
            </a:rPr>
            <a:t>across 8 hulls) are larger than net budget</a:t>
          </a:r>
        </a:p>
        <a:p>
          <a:r>
            <a:rPr lang="en-US" sz="800">
              <a:solidFill>
                <a:srgbClr val="333333"/>
              </a:solidFill>
              <a:latin typeface="Arial"/>
            </a:rPr>
            <a:t>authority ($11.8B) because they include money</a:t>
          </a:r>
        </a:p>
        <a:p>
          <a:r>
            <a:rPr lang="en-US" sz="800">
              <a:solidFill>
                <a:srgbClr val="333333"/>
              </a:solidFill>
              <a:latin typeface="Arial"/>
            </a:rPr>
            <a:t>that was funded through advance procurement</a:t>
          </a:r>
        </a:p>
        <a:p>
          <a:r>
            <a:rPr lang="en-US" sz="800">
              <a:solidFill>
                <a:srgbClr val="333333"/>
              </a:solidFill>
              <a:latin typeface="Arial"/>
            </a:rPr>
            <a:t>in prior fiscal years.</a:t>
          </a:r>
        </a:p>
        <a:p>
          <a:endParaRPr lang="en-US" sz="800"/>
        </a:p>
        <a:p>
          <a:r>
            <a:rPr lang="en-US" sz="800" i="1">
              <a:solidFill>
                <a:srgbClr val="808080"/>
              </a:solidFill>
              <a:latin typeface="Arial"/>
            </a:rPr>
            <a:t>Section (F)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General Auxiliary</t>
        </is>
      </c>
      <c r="B27" s="30" t="inlineStr">
        <is>
          <t>USN</t>
        </is>
      </c>
      <c r="C27" s="31">
        <f>SUMIFS(JB_26BV,JB_B,1,JB_W,"General Auxiliary",JB_RC,"ADD")</f>
        <v/>
      </c>
      <c r="D27" s="37">
        <f>IFERROR(C27/C$44,0)</f>
        <v/>
      </c>
    </row>
    <row r="28" ht="10" customHeight="1">
      <c r="A28" s="30" t="inlineStr">
        <is>
          <t>Mine Warfare</t>
        </is>
      </c>
      <c r="B28" s="30" t="inlineStr">
        <is>
          <t>USN</t>
        </is>
      </c>
      <c r="C28" s="31">
        <f>SUMIFS(JB_26BV,JB_B,1,JB_W,"Mine Warfare",JB_RC,"ADD")</f>
        <v/>
      </c>
      <c r="D28" s="37">
        <f>IFERROR(C28/C$44,0)</f>
        <v/>
      </c>
    </row>
    <row r="29" ht="10" customHeight="1">
      <c r="A29" s="30" t="inlineStr">
        <is>
          <t>Crane Ship</t>
        </is>
      </c>
      <c r="B29" s="30" t="inlineStr">
        <is>
          <t>USN</t>
        </is>
      </c>
      <c r="C29" s="31">
        <f>SUMIFS(JB_26BV,JB_B,1,JB_W,"Crane Ship",JB_RC,"ADD")</f>
        <v/>
      </c>
      <c r="D29" s="37">
        <f>IFERROR(C29/C$44,0)</f>
        <v/>
      </c>
    </row>
    <row r="30" ht="10" customHeight="1">
      <c r="A30" s="30" t="inlineStr">
        <is>
          <t>Command Ships</t>
        </is>
      </c>
      <c r="B30" s="30" t="inlineStr">
        <is>
          <t>USN</t>
        </is>
      </c>
      <c r="C30" s="31">
        <f>SUMIFS(JB_26BV,JB_B,1,JB_W,"Command Ships",JB_RC,"ADD")</f>
        <v/>
      </c>
      <c r="D30" s="37">
        <f>IFERROR(C30/C$44,0)</f>
        <v/>
      </c>
    </row>
    <row r="31" ht="10" customHeight="1">
      <c r="A31" s="30" t="inlineStr">
        <is>
          <t>Hospital Ship</t>
        </is>
      </c>
      <c r="B31" s="30" t="inlineStr">
        <is>
          <t>MSC</t>
        </is>
      </c>
      <c r="C31" s="31">
        <f>SUMIFS(JB_26BV,JB_B,1,JB_W,"Hospital Ship",JB_RC,"ADD")</f>
        <v/>
      </c>
      <c r="D31" s="37">
        <f>IFERROR(C31/C$44,0)</f>
        <v/>
      </c>
    </row>
    <row r="32" ht="10" customHeight="1">
      <c r="A32" s="30" t="inlineStr">
        <is>
          <t>Aviation Logistics Support Ship</t>
        </is>
      </c>
      <c r="B32" s="30" t="inlineStr">
        <is>
          <t>USN</t>
        </is>
      </c>
      <c r="C32" s="31">
        <f>SUMIFS(JB_26BV,JB_B,1,JB_W,"Aviation Logistics Support Ship",JB_RC,"ADD")</f>
        <v/>
      </c>
      <c r="D32" s="37">
        <f>IFERROR(C32/C$44,0)</f>
        <v/>
      </c>
    </row>
    <row r="33" ht="10" customHeight="1">
      <c r="A33" s="30" t="inlineStr">
        <is>
          <t>Research, Survey &amp; Instrumentation Ships</t>
        </is>
      </c>
      <c r="B33" s="30" t="inlineStr">
        <is>
          <t>MSC</t>
        </is>
      </c>
      <c r="C33" s="31">
        <f>SUMIFS(JB_26BV,JB_B,1,JB_W,"Research, Survey &amp; Instrumentation Ships",JB_RC,"ADD")</f>
        <v/>
      </c>
      <c r="D33" s="37">
        <f>IFERROR(C33/C$44,0)</f>
        <v/>
      </c>
    </row>
    <row r="34" ht="10" customHeight="1">
      <c r="A34" s="30" t="inlineStr">
        <is>
          <t>Material Support Ships</t>
        </is>
      </c>
      <c r="B34" s="30" t="inlineStr">
        <is>
          <t>USN</t>
        </is>
      </c>
      <c r="C34" s="31">
        <f>SUMIFS(JB_26BV,JB_B,1,JB_W,"Material Support Ships",JB_RC,"ADD")</f>
        <v/>
      </c>
      <c r="D34" s="37">
        <f>IFERROR(C34/C$44,0)</f>
        <v/>
      </c>
    </row>
    <row r="35" ht="10" customHeight="1">
      <c r="A35" s="30" t="inlineStr">
        <is>
          <t>Submarine Escort Ship</t>
        </is>
      </c>
      <c r="B35" s="30" t="inlineStr">
        <is>
          <t>USN</t>
        </is>
      </c>
      <c r="C35" s="31">
        <f>SUMIFS(JB_26BV,JB_B,1,JB_W,"Submarine Escort Ship",JB_RC,"ADD")</f>
        <v/>
      </c>
      <c r="D35" s="37">
        <f>IFERROR(C35/C$44,0)</f>
        <v/>
      </c>
    </row>
    <row r="36" ht="10" customHeight="1">
      <c r="A36" s="30" t="inlineStr">
        <is>
          <t>High Speed Transport</t>
        </is>
      </c>
      <c r="B36" s="30" t="inlineStr">
        <is>
          <t>USN</t>
        </is>
      </c>
      <c r="C36" s="31">
        <f>SUMIFS(JB_26BV,JB_B,1,JB_W,"High Speed Transport",JB_RC,"ADD")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0" customHeight="1">
      <c r="A1" s="24" t="inlineStr">
        <is>
          <t>Newbuild SAM — FY2026 ($K)</t>
        </is>
      </c>
      <c r="B1" s="25" t="n"/>
      <c r="C1" s="25" t="n"/>
      <c r="D1" s="25" t="n"/>
      <c r="E1" s="25" t="n"/>
      <c r="F1" s="25" t="n"/>
      <c r="G1" s="25" t="n"/>
      <c r="H1" s="25" t="n"/>
      <c r="I1" s="25" t="n"/>
      <c r="J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Service</t>
        </is>
      </c>
      <c r="C31" s="29" t="inlineStr">
        <is>
          <t>DD&amp;C</t>
        </is>
      </c>
      <c r="D31" s="29" t="inlineStr">
        <is>
          <t>AP/LLTM</t>
        </is>
      </c>
      <c r="E31" s="29" t="inlineStr">
        <is>
          <t>RCOH</t>
        </is>
      </c>
      <c r="F31" s="29" t="inlineStr">
        <is>
          <t>SLEP</t>
        </is>
      </c>
      <c r="G31" s="29" t="inlineStr">
        <is>
          <t>Total</t>
        </is>
      </c>
      <c r="H31" s="29" t="inlineStr">
        <is>
          <t>% of Total</t>
        </is>
      </c>
    </row>
    <row r="32" ht="10" customHeight="1">
      <c r="A32" s="30" t="inlineStr">
        <is>
          <t>DDG (Surface Combatants)</t>
        </is>
      </c>
      <c r="B32" s="30" t="inlineStr">
        <is>
          <t>USN</t>
        </is>
      </c>
      <c r="C32" s="31">
        <f>SUMIFS(JB_26BV,JB_B,1,JB_H,"DDG",JB_F,"Full ship DD&amp;C",JB_RC,"ADD")+SUMIFS(JB_26BV,JB_B,1,JB_H,"DDG",JB_F,"Full ship DD&amp;C / LLTM",JB_RC,"ADD")+SUMIFS(JB_26BV,JB_B,1,JB_H,"DDG",JB_F,"Full vessel procurement",JB_RC,"ADD")</f>
        <v/>
      </c>
      <c r="D32" s="31">
        <f>SUMIFS(JB_26BV,JB_B,1,JB_H,"DDG",JB_F,"Advance procurement / LLTM",JB_RC,"ADD")</f>
        <v/>
      </c>
      <c r="E32" s="31">
        <f>SUMIFS(JB_26BV,JB_B,1,JB_H,"DDG",JB_F,"RCOH",JB_RC,"ADD")</f>
        <v/>
      </c>
      <c r="F32" s="31">
        <f>SUMIFS(JB_26BV,JB_B,1,JB_H,"DDG",JB_F,"SLEP",JB_RC,"ADD")</f>
        <v/>
      </c>
      <c r="G32" s="31">
        <f>SUMIFS(JB_26BV,JB_B,1,JB_H,"DDG",JB_RC,"ADD")</f>
        <v/>
      </c>
      <c r="H32" s="37">
        <f>IFERROR(G32/G$46,0)</f>
        <v/>
      </c>
    </row>
    <row r="33" ht="10" customHeight="1">
      <c r="A33" s="30" t="inlineStr">
        <is>
          <t>LSM (Expeditionary &amp; Seabasing Ships)</t>
        </is>
      </c>
      <c r="B33" s="30" t="inlineStr">
        <is>
          <t>USN</t>
        </is>
      </c>
      <c r="C33" s="31">
        <f>SUMIFS(JB_26BV,JB_B,1,JB_H,"LSM",JB_F,"Full ship DD&amp;C",JB_RC,"ADD")+SUMIFS(JB_26BV,JB_B,1,JB_H,"LSM",JB_F,"Full ship DD&amp;C / LLTM",JB_RC,"ADD")+SUMIFS(JB_26BV,JB_B,1,JB_H,"LSM",JB_F,"Full vessel procurement",JB_RC,"ADD")</f>
        <v/>
      </c>
      <c r="D33" s="31">
        <f>SUMIFS(JB_26BV,JB_B,1,JB_H,"LSM",JB_F,"Advance procurement / LLTM",JB_RC,"ADD")</f>
        <v/>
      </c>
      <c r="E33" s="31">
        <f>SUMIFS(JB_26BV,JB_B,1,JB_H,"LSM",JB_F,"RCOH",JB_RC,"ADD")</f>
        <v/>
      </c>
      <c r="F33" s="31">
        <f>SUMIFS(JB_26BV,JB_B,1,JB_H,"LSM",JB_F,"SLEP",JB_RC,"ADD")</f>
        <v/>
      </c>
      <c r="G33" s="31">
        <f>SUMIFS(JB_26BV,JB_B,1,JB_H,"LSM",JB_RC,"ADD")</f>
        <v/>
      </c>
      <c r="H33" s="37">
        <f>IFERROR(G33/G$46,0)</f>
        <v/>
      </c>
    </row>
    <row r="34" ht="10" customHeight="1">
      <c r="A34" s="30" t="inlineStr">
        <is>
          <t>T-AO (Combat Logistics Ships)</t>
        </is>
      </c>
      <c r="B34" s="30" t="inlineStr">
        <is>
          <t>MSC</t>
        </is>
      </c>
      <c r="C34" s="31">
        <f>SUMIFS(JB_26BV,JB_B,1,JB_H,"T-AO",JB_F,"Full ship DD&amp;C",JB_RC,"ADD")+SUMIFS(JB_26BV,JB_B,1,JB_H,"T-AO",JB_F,"Full ship DD&amp;C / LLTM",JB_RC,"ADD")+SUMIFS(JB_26BV,JB_B,1,JB_H,"T-AO",JB_F,"Full vessel procurement",JB_RC,"ADD")</f>
        <v/>
      </c>
      <c r="D34" s="31">
        <f>SUMIFS(JB_26BV,JB_B,1,JB_H,"T-AO",JB_F,"Advance procurement / LLTM",JB_RC,"ADD")</f>
        <v/>
      </c>
      <c r="E34" s="31">
        <f>SUMIFS(JB_26BV,JB_B,1,JB_H,"T-AO",JB_F,"RCOH",JB_RC,"ADD")</f>
        <v/>
      </c>
      <c r="F34" s="31">
        <f>SUMIFS(JB_26BV,JB_B,1,JB_H,"T-AO",JB_F,"SLEP",JB_RC,"ADD")</f>
        <v/>
      </c>
      <c r="G34" s="31">
        <f>SUMIFS(JB_26BV,JB_B,1,JB_H,"T-AO",JB_RC,"ADD")</f>
        <v/>
      </c>
      <c r="H34" s="37">
        <f>IFERROR(G34/G$46,0)</f>
        <v/>
      </c>
    </row>
    <row r="35" ht="10" customHeight="1">
      <c r="A35" s="30" t="inlineStr">
        <is>
          <t>MUSV (Unmanned Surface Vehicles)</t>
        </is>
      </c>
      <c r="B35" s="30" t="inlineStr">
        <is>
          <t>USN</t>
        </is>
      </c>
      <c r="C35" s="31">
        <f>SUMIFS(JB_26BV,JB_B,1,JB_H,"MUSV",JB_F,"Full ship DD&amp;C",JB_RC,"ADD")+SUMIFS(JB_26BV,JB_B,1,JB_H,"MUSV",JB_F,"Full ship DD&amp;C / LLTM",JB_RC,"ADD")+SUMIFS(JB_26BV,JB_B,1,JB_H,"MUSV",JB_F,"Full vessel procurement",JB_RC,"ADD")</f>
        <v/>
      </c>
      <c r="D35" s="31">
        <f>SUMIFS(JB_26BV,JB_B,1,JB_H,"MUSV",JB_F,"Advance procurement / LLTM",JB_RC,"ADD")</f>
        <v/>
      </c>
      <c r="E35" s="31">
        <f>SUMIFS(JB_26BV,JB_B,1,JB_H,"MUSV",JB_F,"RCOH",JB_RC,"ADD")</f>
        <v/>
      </c>
      <c r="F35" s="31">
        <f>SUMIFS(JB_26BV,JB_B,1,JB_H,"MUSV",JB_F,"SLEP",JB_RC,"ADD")</f>
        <v/>
      </c>
      <c r="G35" s="31">
        <f>SUMIFS(JB_26BV,JB_B,1,JB_H,"MUSV",JB_RC,"ADD")</f>
        <v/>
      </c>
      <c r="H35" s="37">
        <f>IFERROR(G35/G$46,0)</f>
        <v/>
      </c>
    </row>
    <row r="36" ht="10" customHeight="1">
      <c r="A36" s="30" t="inlineStr">
        <is>
          <t>LPD (Amphibious Warfare Ships)</t>
        </is>
      </c>
      <c r="B36" s="30" t="inlineStr">
        <is>
          <t>USN</t>
        </is>
      </c>
      <c r="C36" s="31">
        <f>SUMIFS(JB_26BV,JB_B,1,JB_H,"LPD",JB_F,"Full ship DD&amp;C",JB_RC,"ADD")+SUMIFS(JB_26BV,JB_B,1,JB_H,"LPD",JB_F,"Full ship DD&amp;C / LLTM",JB_RC,"ADD")+SUMIFS(JB_26BV,JB_B,1,JB_H,"LPD",JB_F,"Full vessel procurement",JB_RC,"ADD")</f>
        <v/>
      </c>
      <c r="D36" s="31">
        <f>SUMIFS(JB_26BV,JB_B,1,JB_H,"LPD",JB_F,"Advance procurement / LLTM",JB_RC,"ADD")</f>
        <v/>
      </c>
      <c r="E36" s="31">
        <f>SUMIFS(JB_26BV,JB_B,1,JB_H,"LPD",JB_F,"RCOH",JB_RC,"ADD")</f>
        <v/>
      </c>
      <c r="F36" s="31">
        <f>SUMIFS(JB_26BV,JB_B,1,JB_H,"LPD",JB_F,"SLEP",JB_RC,"ADD")</f>
        <v/>
      </c>
      <c r="G36" s="31">
        <f>SUMIFS(JB_26BV,JB_B,1,JB_H,"LPD",JB_RC,"ADD")</f>
        <v/>
      </c>
      <c r="H36" s="37">
        <f>IFERROR(G36/G$46,0)</f>
        <v/>
      </c>
    </row>
    <row r="37" ht="10" customHeight="1">
      <c r="A37" s="30" t="inlineStr">
        <is>
          <t>T-AKR (Cargo &amp; Vehicle Cargo Ships)</t>
        </is>
      </c>
      <c r="B37" s="30" t="inlineStr">
        <is>
          <t>MSC</t>
        </is>
      </c>
      <c r="C37" s="31">
        <f>SUMIFS(JB_26BV,JB_B,1,JB_H,"T-AKR",JB_F,"Full ship DD&amp;C",JB_RC,"ADD")+SUMIFS(JB_26BV,JB_B,1,JB_H,"T-AKR",JB_F,"Full ship DD&amp;C / LLTM",JB_RC,"ADD")+SUMIFS(JB_26BV,JB_B,1,JB_H,"T-AKR",JB_F,"Full vessel procurement",JB_RC,"ADD")</f>
        <v/>
      </c>
      <c r="D37" s="31">
        <f>SUMIFS(JB_26BV,JB_B,1,JB_H,"T-AKR",JB_F,"Advance procurement / LLTM",JB_RC,"ADD")</f>
        <v/>
      </c>
      <c r="E37" s="31">
        <f>SUMIFS(JB_26BV,JB_B,1,JB_H,"T-AKR",JB_F,"RCOH",JB_RC,"ADD")</f>
        <v/>
      </c>
      <c r="F37" s="31">
        <f>SUMIFS(JB_26BV,JB_B,1,JB_H,"T-AKR",JB_F,"SLEP",JB_RC,"ADD")</f>
        <v/>
      </c>
      <c r="G37" s="31">
        <f>SUMIFS(JB_26BV,JB_B,1,JB_H,"T-AKR",JB_RC,"ADD")</f>
        <v/>
      </c>
      <c r="H37" s="37">
        <f>IFERROR(G37/G$46,0)</f>
        <v/>
      </c>
    </row>
    <row r="38" ht="10" customHeight="1">
      <c r="A38" s="30" t="inlineStr">
        <is>
          <t>LHA (Amphibious Warfare Ships)</t>
        </is>
      </c>
      <c r="B38" s="30" t="inlineStr">
        <is>
          <t>USN</t>
        </is>
      </c>
      <c r="C38" s="31">
        <f>SUMIFS(JB_26BV,JB_B,1,JB_H,"LHA",JB_F,"Full ship DD&amp;C",JB_RC,"ADD")+SUMIFS(JB_26BV,JB_B,1,JB_H,"LHA",JB_F,"Full ship DD&amp;C / LLTM",JB_RC,"ADD")+SUMIFS(JB_26BV,JB_B,1,JB_H,"LHA",JB_F,"Full vessel procurement",JB_RC,"ADD")</f>
        <v/>
      </c>
      <c r="D38" s="31">
        <f>SUMIFS(JB_26BV,JB_B,1,JB_H,"LHA",JB_F,"Advance procurement / LLTM",JB_RC,"ADD")</f>
        <v/>
      </c>
      <c r="E38" s="31">
        <f>SUMIFS(JB_26BV,JB_B,1,JB_H,"LHA",JB_F,"RCOH",JB_RC,"ADD")</f>
        <v/>
      </c>
      <c r="F38" s="31">
        <f>SUMIFS(JB_26BV,JB_B,1,JB_H,"LHA",JB_F,"SLEP",JB_RC,"ADD")</f>
        <v/>
      </c>
      <c r="G38" s="31">
        <f>SUMIFS(JB_26BV,JB_B,1,JB_H,"LHA",JB_RC,"ADD")</f>
        <v/>
      </c>
      <c r="H38" s="37">
        <f>IFERROR(G38/G$46,0)</f>
        <v/>
      </c>
    </row>
    <row r="39" ht="10" customHeight="1">
      <c r="A39" s="30" t="inlineStr">
        <is>
          <t>T-AGOS (Surveillance Ships)</t>
        </is>
      </c>
      <c r="B39" s="30" t="inlineStr">
        <is>
          <t>MSC</t>
        </is>
      </c>
      <c r="C39" s="31">
        <f>SUMIFS(JB_26BV,JB_B,1,JB_H,"T-AGOS",JB_F,"Full ship DD&amp;C",JB_RC,"ADD")+SUMIFS(JB_26BV,JB_B,1,JB_H,"T-AGOS",JB_F,"Full ship DD&amp;C / LLTM",JB_RC,"ADD")+SUMIFS(JB_26BV,JB_B,1,JB_H,"T-AGOS",JB_F,"Full vessel procurement",JB_RC,"ADD")</f>
        <v/>
      </c>
      <c r="D39" s="31">
        <f>SUMIFS(JB_26BV,JB_B,1,JB_H,"T-AGOS",JB_F,"Advance procurement / LLTM",JB_RC,"ADD")</f>
        <v/>
      </c>
      <c r="E39" s="31">
        <f>SUMIFS(JB_26BV,JB_B,1,JB_H,"T-AGOS",JB_F,"RCOH",JB_RC,"ADD")</f>
        <v/>
      </c>
      <c r="F39" s="31">
        <f>SUMIFS(JB_26BV,JB_B,1,JB_H,"T-AGOS",JB_F,"SLEP",JB_RC,"ADD")</f>
        <v/>
      </c>
      <c r="G39" s="31">
        <f>SUMIFS(JB_26BV,JB_B,1,JB_H,"T-AGOS",JB_RC,"ADD")</f>
        <v/>
      </c>
      <c r="H39" s="37">
        <f>IFERROR(G39/G$46,0)</f>
        <v/>
      </c>
    </row>
    <row r="40" ht="10" customHeight="1">
      <c r="A40" s="30" t="inlineStr">
        <is>
          <t>FFG (Surface Combatants)</t>
        </is>
      </c>
      <c r="B40" s="30" t="inlineStr">
        <is>
          <t>USN</t>
        </is>
      </c>
      <c r="C40" s="31">
        <f>SUMIFS(JB_26BV,JB_B,1,JB_H,"FFG",JB_F,"Full ship DD&amp;C",JB_RC,"ADD")+SUMIFS(JB_26BV,JB_B,1,JB_H,"FFG",JB_F,"Full ship DD&amp;C / LLTM",JB_RC,"ADD")+SUMIFS(JB_26BV,JB_B,1,JB_H,"FFG",JB_F,"Full vessel procurement",JB_RC,"ADD")</f>
        <v/>
      </c>
      <c r="D40" s="31">
        <f>SUMIFS(JB_26BV,JB_B,1,JB_H,"FFG",JB_F,"Advance procurement / LLTM",JB_RC,"ADD")</f>
        <v/>
      </c>
      <c r="E40" s="31">
        <f>SUMIFS(JB_26BV,JB_B,1,JB_H,"FFG",JB_F,"RCOH",JB_RC,"ADD")</f>
        <v/>
      </c>
      <c r="F40" s="31">
        <f>SUMIFS(JB_26BV,JB_B,1,JB_H,"FFG",JB_F,"SLEP",JB_RC,"ADD")</f>
        <v/>
      </c>
      <c r="G40" s="31">
        <f>SUMIFS(JB_26BV,JB_B,1,JB_H,"FFG",JB_RC,"ADD")</f>
        <v/>
      </c>
      <c r="H40" s="37">
        <f>IFERROR(G40/G$46,0)</f>
        <v/>
      </c>
    </row>
    <row r="41" ht="10" customHeight="1">
      <c r="A41" s="30" t="inlineStr">
        <is>
          <t>T-ATS (Salvage Ships &amp; Fleet Ocean Tugs)</t>
        </is>
      </c>
      <c r="B41" s="30" t="inlineStr">
        <is>
          <t>MSC</t>
        </is>
      </c>
      <c r="C41" s="31">
        <f>SUMIFS(JB_26BV,JB_B,1,JB_H,"T-ATS",JB_F,"Full ship DD&amp;C",JB_RC,"ADD")+SUMIFS(JB_26BV,JB_B,1,JB_H,"T-ATS",JB_F,"Full ship DD&amp;C / LLTM",JB_RC,"ADD")+SUMIFS(JB_26BV,JB_B,1,JB_H,"T-ATS",JB_F,"Full vessel procurement",JB_RC,"ADD")</f>
        <v/>
      </c>
      <c r="D41" s="31">
        <f>SUMIFS(JB_26BV,JB_B,1,JB_H,"T-ATS",JB_F,"Advance procurement / LLTM",JB_RC,"ADD")</f>
        <v/>
      </c>
      <c r="E41" s="31">
        <f>SUMIFS(JB_26BV,JB_B,1,JB_H,"T-ATS",JB_F,"RCOH",JB_RC,"ADD")</f>
        <v/>
      </c>
      <c r="F41" s="31">
        <f>SUMIFS(JB_26BV,JB_B,1,JB_H,"T-ATS",JB_F,"SLEP",JB_RC,"ADD")</f>
        <v/>
      </c>
      <c r="G41" s="31">
        <f>SUMIFS(JB_26BV,JB_B,1,JB_H,"T-ATS",JB_RC,"ADD")</f>
        <v/>
      </c>
      <c r="H41" s="37">
        <f>IFERROR(G41/G$46,0)</f>
        <v/>
      </c>
    </row>
    <row r="42" ht="10" customHeight="1">
      <c r="A42" s="30" t="inlineStr">
        <is>
          <t>WMSM (Offshore Patrol Cutter)</t>
        </is>
      </c>
      <c r="B42" s="30" t="inlineStr">
        <is>
          <t>USCG</t>
        </is>
      </c>
      <c r="C42" s="31">
        <f>SUMIFS(JB_26BV,JB_B,1,JB_H,"WMSM",JB_F,"Full ship DD&amp;C",JB_RC,"ADD")+SUMIFS(JB_26BV,JB_B,1,JB_H,"WMSM",JB_F,"Full ship DD&amp;C / LLTM",JB_RC,"ADD")+SUMIFS(JB_26BV,JB_B,1,JB_H,"WMSM",JB_F,"Full vessel procurement",JB_RC,"ADD")</f>
        <v/>
      </c>
      <c r="D42" s="31">
        <f>SUMIFS(JB_26BV,JB_B,1,JB_H,"WMSM",JB_F,"Advance procurement / LLTM",JB_RC,"ADD")</f>
        <v/>
      </c>
      <c r="E42" s="31">
        <f>SUMIFS(JB_26BV,JB_B,1,JB_H,"WMSM",JB_F,"RCOH",JB_RC,"ADD")</f>
        <v/>
      </c>
      <c r="F42" s="31">
        <f>SUMIFS(JB_26BV,JB_B,1,JB_H,"WMSM",JB_F,"SLEP",JB_RC,"ADD")</f>
        <v/>
      </c>
      <c r="G42" s="31">
        <f>SUMIFS(JB_26BV,JB_B,1,JB_H,"WMSM",JB_RC,"ADD")</f>
        <v/>
      </c>
      <c r="H42" s="37">
        <f>IFERROR(G42/G$46,0)</f>
        <v/>
      </c>
    </row>
    <row r="43" ht="10" customHeight="1">
      <c r="A43" s="30" t="inlineStr">
        <is>
          <t>WPC (Fast Response Cutters)</t>
        </is>
      </c>
      <c r="B43" s="30" t="inlineStr">
        <is>
          <t>USCG</t>
        </is>
      </c>
      <c r="C43" s="31">
        <f>SUMIFS(JB_26BV,JB_B,1,JB_H,"WPC",JB_F,"Full ship DD&amp;C",JB_RC,"ADD")+SUMIFS(JB_26BV,JB_B,1,JB_H,"WPC",JB_F,"Full ship DD&amp;C / LLTM",JB_RC,"ADD")+SUMIFS(JB_26BV,JB_B,1,JB_H,"WPC",JB_F,"Full vessel procurement",JB_RC,"ADD")</f>
        <v/>
      </c>
      <c r="D43" s="31">
        <f>SUMIFS(JB_26BV,JB_B,1,JB_H,"WPC",JB_F,"Advance procurement / LLTM",JB_RC,"ADD")</f>
        <v/>
      </c>
      <c r="E43" s="31">
        <f>SUMIFS(JB_26BV,JB_B,1,JB_H,"WPC",JB_F,"RCOH",JB_RC,"ADD")</f>
        <v/>
      </c>
      <c r="F43" s="31">
        <f>SUMIFS(JB_26BV,JB_B,1,JB_H,"WPC",JB_F,"SLEP",JB_RC,"ADD")</f>
        <v/>
      </c>
      <c r="G43" s="31">
        <f>SUMIFS(JB_26BV,JB_B,1,JB_H,"WPC",JB_RC,"ADD")</f>
        <v/>
      </c>
      <c r="H43" s="37">
        <f>IFERROR(G43/G$46,0)</f>
        <v/>
      </c>
    </row>
    <row r="44" ht="10" customHeight="1">
      <c r="A44" s="30" t="inlineStr">
        <is>
          <t>WAGB (Icebreakers, Oceangoing)</t>
        </is>
      </c>
      <c r="B44" s="30" t="inlineStr">
        <is>
          <t>USCG</t>
        </is>
      </c>
      <c r="C44" s="31">
        <f>SUMIFS(JB_26BV,JB_B,1,JB_H,"WAGB",JB_F,"Full ship DD&amp;C",JB_RC,"ADD")+SUMIFS(JB_26BV,JB_B,1,JB_H,"WAGB",JB_F,"Full ship DD&amp;C / LLTM",JB_RC,"ADD")+SUMIFS(JB_26BV,JB_B,1,JB_H,"WAGB",JB_F,"Full vessel procurement",JB_RC,"ADD")</f>
        <v/>
      </c>
      <c r="D44" s="31">
        <f>SUMIFS(JB_26BV,JB_B,1,JB_H,"WAGB",JB_F,"Advance procurement / LLTM",JB_RC,"ADD")</f>
        <v/>
      </c>
      <c r="E44" s="31">
        <f>SUMIFS(JB_26BV,JB_B,1,JB_H,"WAGB",JB_F,"RCOH",JB_RC,"ADD")</f>
        <v/>
      </c>
      <c r="F44" s="31">
        <f>SUMIFS(JB_26BV,JB_B,1,JB_H,"WAGB",JB_F,"SLEP",JB_RC,"ADD")</f>
        <v/>
      </c>
      <c r="G44" s="31">
        <f>SUMIFS(JB_26BV,JB_B,1,JB_H,"WAGB",JB_RC,"ADD")</f>
        <v/>
      </c>
      <c r="H44" s="37">
        <f>IFERROR(G44/G$46,0)</f>
        <v/>
      </c>
    </row>
    <row r="45" ht="10" customHeight="1">
      <c r="A45" s="30" t="inlineStr">
        <is>
          <t>WCC (Waterways Commerce Cutters)</t>
        </is>
      </c>
      <c r="B45" s="30" t="inlineStr">
        <is>
          <t>USCG</t>
        </is>
      </c>
      <c r="C45" s="31">
        <f>SUMIFS(JB_26BV,JB_B,1,JB_H,"WCC",JB_F,"Full ship DD&amp;C",JB_RC,"ADD")+SUMIFS(JB_26BV,JB_B,1,JB_H,"WCC",JB_F,"Full ship DD&amp;C / LLTM",JB_RC,"ADD")+SUMIFS(JB_26BV,JB_B,1,JB_H,"WCC",JB_F,"Full vessel procurement",JB_RC,"ADD")</f>
        <v/>
      </c>
      <c r="D45" s="31">
        <f>SUMIFS(JB_26BV,JB_B,1,JB_H,"WCC",JB_F,"Advance procurement / LLTM",JB_RC,"ADD")</f>
        <v/>
      </c>
      <c r="E45" s="31">
        <f>SUMIFS(JB_26BV,JB_B,1,JB_H,"WCC",JB_F,"RCOH",JB_RC,"ADD")</f>
        <v/>
      </c>
      <c r="F45" s="31">
        <f>SUMIFS(JB_26BV,JB_B,1,JB_H,"WCC",JB_F,"SLEP",JB_RC,"ADD")</f>
        <v/>
      </c>
      <c r="G45" s="31">
        <f>SUMIFS(JB_26BV,JB_B,1,JB_H,"WCC",JB_RC,"ADD")</f>
        <v/>
      </c>
      <c r="H45" s="37">
        <f>IFERROR(G45/G$46,0)</f>
        <v/>
      </c>
    </row>
    <row r="46" ht="10" customHeight="1">
      <c r="A46" s="32" t="inlineStr">
        <is>
          <t>Newbuild SAM (all programs)</t>
        </is>
      </c>
      <c r="B46" s="32" t="inlineStr"/>
      <c r="C46" s="33">
        <f>SUM(C32:C45)</f>
        <v/>
      </c>
      <c r="D46" s="33">
        <f>SUM(D32:D45)</f>
        <v/>
      </c>
      <c r="E46" s="33">
        <f>SUM(E32:E45)</f>
        <v/>
      </c>
      <c r="F46" s="33">
        <f>SUM(F32:F45)</f>
        <v/>
      </c>
      <c r="G46" s="33">
        <f>SUM(G32:G45)</f>
        <v/>
      </c>
      <c r="H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G46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c r="J61" s="28" t="n"/>
    </row>
    <row r="62" ht="10" customHeight="1">
      <c r="A62" s="26" t="inlineStr">
        <is>
          <t>Gross total-ship-estimate costs from Exhibit P-5c. These are pre-AP/SFF and will NOT match SAM net totals.</t>
        </is>
      </c>
    </row>
    <row r="63" ht="10" customHeight="1">
      <c r="A63" s="39" t="n"/>
      <c r="B63" s="40" t="inlineStr">
        <is>
          <t>USN</t>
        </is>
      </c>
      <c r="C63" s="39" t="n"/>
      <c r="D63" s="39" t="n"/>
      <c r="E63" s="39" t="n"/>
      <c r="F63" s="39" t="n"/>
      <c r="G63" s="39" t="n"/>
      <c r="H63" s="39" t="n"/>
      <c r="I63" s="39" t="n"/>
      <c r="J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T-EPF</t>
        </is>
      </c>
      <c r="H64" s="29" t="inlineStr">
        <is>
          <t>T-AO</t>
        </is>
      </c>
      <c r="I64" s="29" t="inlineStr">
        <is>
          <t>T-ATS</t>
        </is>
      </c>
      <c r="J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Costs",JB_H,"T-EPF",JB_RC,"ALT")</f>
        <v/>
      </c>
      <c r="H65" s="31">
        <f>SUMIFS(JB_26BV,JB_B,1,JB_EX,"P-5c",JB_CC,"Plan Costs",JB_H,"T-AO",JB_RC,"ALT")</f>
        <v/>
      </c>
      <c r="I65" s="31">
        <f>SUMIFS(JB_26BV,JB_B,1,JB_EX,"P-5c",JB_CC,"Plan Costs",JB_H,"T-ATS",JB_RC,"ALT")</f>
        <v/>
      </c>
      <c r="J65" s="45">
        <f>SUM(B65:I65)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Construction",JB_H,"T-EPF",JB_RC,"ALT")</f>
        <v/>
      </c>
      <c r="H66" s="31">
        <f>SUMIFS(JB_26BV,JB_B,1,JB_EX,"P-5c",JB_CC,"Basic Construction",JB_H,"T-AO",JB_RC,"ALT")</f>
        <v/>
      </c>
      <c r="I66" s="31">
        <f>SUMIFS(JB_26BV,JB_B,1,JB_EX,"P-5c",JB_CC,"Basic Construction",JB_H,"T-ATS",JB_RC,"ALT")</f>
        <v/>
      </c>
      <c r="J66" s="45">
        <f>SUM(B66:I66)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Orders",JB_H,"T-EPF",JB_RC,"ALT")</f>
        <v/>
      </c>
      <c r="H67" s="31">
        <f>SUMIFS(JB_26BV,JB_B,1,JB_EX,"P-5c",JB_CC,"Change Orders",JB_H,"T-AO",JB_RC,"ALT")</f>
        <v/>
      </c>
      <c r="I67" s="31">
        <f>SUMIFS(JB_26BV,JB_B,1,JB_EX,"P-5c",JB_CC,"Change Orders",JB_H,"T-ATS",JB_RC,"ALT")</f>
        <v/>
      </c>
      <c r="J67" s="45">
        <f>SUM(B67:I67)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SUMIFS(JB_26BV,JB_B,1,JB_EX,"P-5c",JB_CC,"Electronics",JB_H,"T-EPF",JB_RC,"ALT")</f>
        <v/>
      </c>
      <c r="H68" s="31">
        <f>SUMIFS(JB_26BV,JB_B,1,JB_EX,"P-5c",JB_CC,"Electronics",JB_H,"T-AO",JB_RC,"ALT")</f>
        <v/>
      </c>
      <c r="I68" s="31">
        <f>SUMIFS(JB_26BV,JB_B,1,JB_EX,"P-5c",JB_CC,"Electronics",JB_H,"T-ATS",JB_RC,"ALT")</f>
        <v/>
      </c>
      <c r="J68" s="45">
        <f>SUM(B68:I68)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Electrical",JB_H,"T-EPF",JB_RC,"ALT")</f>
        <v/>
      </c>
      <c r="H69" s="31">
        <f>SUMIFS(JB_26BV,JB_B,1,JB_EX,"P-5c",JB_CC,"Hull, Mechanical, and Electrical",JB_H,"T-AO",JB_RC,"ALT")</f>
        <v/>
      </c>
      <c r="I69" s="31">
        <f>SUMIFS(JB_26BV,JB_B,1,JB_EX,"P-5c",JB_CC,"Hull, Mechanical, and Electrical",JB_H,"T-ATS",JB_RC,"ALT")</f>
        <v/>
      </c>
      <c r="J69" s="45">
        <f>SUM(B69:I69)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SUMIFS(JB_26BV,JB_B,1,JB_EX,"P-5c",JB_CC,"Ordnance",JB_H,"T-EPF",JB_RC,"ALT")</f>
        <v/>
      </c>
      <c r="H70" s="31">
        <f>SUMIFS(JB_26BV,JB_B,1,JB_EX,"P-5c",JB_CC,"Ordnance",JB_H,"T-AO",JB_RC,"ALT")</f>
        <v/>
      </c>
      <c r="I70" s="31">
        <f>SUMIFS(JB_26BV,JB_B,1,JB_EX,"P-5c",JB_CC,"Ordnance",JB_H,"T-ATS",JB_RC,"ALT")</f>
        <v/>
      </c>
      <c r="J70" s="45">
        <f>SUM(B70:I70)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Cost",JB_H,"T-EPF",JB_RC,"ALT")</f>
        <v/>
      </c>
      <c r="H71" s="31">
        <f>SUMIFS(JB_26BV,JB_B,1,JB_EX,"P-5c",JB_CC,"Other Cost",JB_H,"T-AO",JB_RC,"ALT")</f>
        <v/>
      </c>
      <c r="I71" s="31">
        <f>SUMIFS(JB_26BV,JB_B,1,JB_EX,"P-5c",JB_CC,"Other Cost",JB_H,"T-ATS",JB_RC,"ALT")</f>
        <v/>
      </c>
      <c r="J71" s="45">
        <f>SUM(B71:I71)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33">
        <f>SUM(I65:I71)</f>
        <v/>
      </c>
      <c r="J72" s="44">
        <f>SUM(J65:J71)</f>
        <v/>
      </c>
    </row>
    <row r="73" ht="10" customHeight="1"/>
    <row r="74" ht="10" customHeight="1">
      <c r="A74" s="46" t="inlineStr">
        <is>
          <t>Cost category mix (% of gross total per hull program)</t>
        </is>
      </c>
      <c r="B74" s="41" t="n"/>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37">
        <f>IFERROR(I65/I$72,0)</f>
        <v/>
      </c>
      <c r="J76" s="43">
        <f>IFERROR(J65/J$72,0)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37">
        <f>IFERROR(I66/I$72,0)</f>
        <v/>
      </c>
      <c r="J77" s="43">
        <f>IFERROR(J66/J$72,0)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37">
        <f>IFERROR(I67/I$72,0)</f>
        <v/>
      </c>
      <c r="J78" s="43">
        <f>IFERROR(J67/J$72,0)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37">
        <f>IFERROR(I68/I$72,0)</f>
        <v/>
      </c>
      <c r="J79" s="43">
        <f>IFERROR(J68/J$72,0)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37">
        <f>IFERROR(I69/I$72,0)</f>
        <v/>
      </c>
      <c r="J80" s="43">
        <f>IFERROR(J69/J$72,0)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37">
        <f>IFERROR(I70/I$72,0)</f>
        <v/>
      </c>
      <c r="J81" s="43">
        <f>IFERROR(J70/J$72,0)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37">
        <f>IFERROR(I71/I$72,0)</f>
        <v/>
      </c>
      <c r="J82" s="43">
        <f>IFERROR(J71/J$72,0)</f>
        <v/>
      </c>
    </row>
    <row r="83" ht="10" customHeight="1">
      <c r="A83" s="32" t="inlineStr">
        <is>
          <t>Total</t>
        </is>
      </c>
      <c r="B83" s="47" t="n">
        <v>1</v>
      </c>
      <c r="C83" s="38" t="n">
        <v>1</v>
      </c>
      <c r="D83" s="38" t="n">
        <v>1</v>
      </c>
      <c r="E83" s="38" t="n">
        <v>1</v>
      </c>
      <c r="F83" s="38" t="n">
        <v>1</v>
      </c>
      <c r="G83" s="38" t="n">
        <v>1</v>
      </c>
      <c r="H83" s="38" t="n">
        <v>1</v>
      </c>
      <c r="I83" s="38" t="n">
        <v>1</v>
      </c>
      <c r="J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c r="J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39" t="n"/>
      <c r="J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29" t="inlineStr">
        <is>
          <t>T-EPF</t>
        </is>
      </c>
      <c r="J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36">
        <f>SUMIFS(JB_26BV,JB_B,1,JB_H,"T-EPF",JB_RC,"ADD")</f>
        <v/>
      </c>
      <c r="J90" s="48">
        <f>SUM(B90:I90)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31">
        <f>IFERROR(I$90*(SUMIFS(JB_26BV,JB_B,1,JB_EX,"P-5c",JB_CC,"Plan Costs",JB_H,"T-EPF",JB_RC,"ALT"))/(SUMIFS(JB_26BV,JB_B,1,JB_EX,"P-5c",JB_H,"T-EPF",JB_RC,"ALT")),0)</f>
        <v/>
      </c>
      <c r="J91" s="45">
        <f>SUM(B91:I91)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31">
        <f>IFERROR(I$90*(SUMIFS(JB_26BV,JB_B,1,JB_EX,"P-5c",JB_CC,"Basic Construction",JB_H,"T-EPF",JB_RC,"ALT"))/(SUMIFS(JB_26BV,JB_B,1,JB_EX,"P-5c",JB_H,"T-EPF",JB_RC,"ALT")),0)</f>
        <v/>
      </c>
      <c r="J92" s="45">
        <f>SUM(B92:I92)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31">
        <f>IFERROR(I$90*(SUMIFS(JB_26BV,JB_B,1,JB_EX,"P-5c",JB_CC,"Change Orders",JB_H,"T-EPF",JB_RC,"ALT"))/(SUMIFS(JB_26BV,JB_B,1,JB_EX,"P-5c",JB_H,"T-EPF",JB_RC,"ALT")),0)</f>
        <v/>
      </c>
      <c r="J93" s="45">
        <f>SUM(B93:I93)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31">
        <f>IFERROR(I$90*(SUMIFS(JB_26BV,JB_B,1,JB_EX,"P-5c",JB_CC,"Electronics",JB_H,"T-EPF",JB_RC,"ALT"))/(SUMIFS(JB_26BV,JB_B,1,JB_EX,"P-5c",JB_H,"T-EPF",JB_RC,"ALT")),0)</f>
        <v/>
      </c>
      <c r="J94" s="45">
        <f>SUM(B94:I94)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31">
        <f>IFERROR(I$90*(SUMIFS(JB_26BV,JB_B,1,JB_EX,"P-5c",JB_CC,"Hull, Mechanical, and Electrical",JB_H,"T-EPF",JB_RC,"ALT"))/(SUMIFS(JB_26BV,JB_B,1,JB_EX,"P-5c",JB_H,"T-EPF",JB_RC,"ALT")),0)</f>
        <v/>
      </c>
      <c r="J95" s="45">
        <f>SUM(B95:I95)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31">
        <f>IFERROR(I$90*(SUMIFS(JB_26BV,JB_B,1,JB_EX,"P-5c",JB_CC,"Ordnance",JB_H,"T-EPF",JB_RC,"ALT"))/(SUMIFS(JB_26BV,JB_B,1,JB_EX,"P-5c",JB_H,"T-EPF",JB_RC,"ALT")),0)</f>
        <v/>
      </c>
      <c r="J96" s="45">
        <f>SUM(B96:I96)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31">
        <f>IFERROR(I$90*(SUMIFS(JB_26BV,JB_B,1,JB_EX,"P-5c",JB_CC,"Other Cost",JB_H,"T-EPF",JB_RC,"ALT"))/(SUMIFS(JB_26BV,JB_B,1,JB_EX,"P-5c",JB_H,"T-EPF",JB_RC,"ALT")),0)</f>
        <v/>
      </c>
      <c r="J97" s="45">
        <f>SUM(B97:I97)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33">
        <f>SUM(I91:I97)</f>
        <v/>
      </c>
      <c r="J98" s="44">
        <f>SUM(J91:J97)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c r="J101" s="28" t="n"/>
    </row>
    <row r="102" ht="10" customHeight="1">
      <c r="A102" s="39" t="n"/>
      <c r="B102" s="40" t="inlineStr">
        <is>
          <t>USN</t>
        </is>
      </c>
      <c r="C102" s="39" t="n"/>
      <c r="D102" s="39" t="n"/>
      <c r="E102" s="39" t="n"/>
      <c r="F102" s="39" t="n"/>
      <c r="G102" s="39" t="n"/>
      <c r="H102" s="39" t="n"/>
      <c r="I102" s="39" t="n"/>
      <c r="J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29" t="inlineStr">
        <is>
          <t>T-EPF</t>
        </is>
      </c>
      <c r="J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37">
        <f>IFERROR((SUMIFS(JB_26BV,JB_B,1,JB_EX,"P-5c",JB_CC,"Plan Costs",JB_H,"T-EPF",JB_RC,"ALT"))/(SUMIFS(JB_26BV,JB_B,1,JB_EX,"P-5c",JB_H,"T-EPF",JB_RC,"ALT")),0)</f>
        <v/>
      </c>
      <c r="J104" s="43">
        <f>IFERROR(SUMPRODUCT(B104:I104,B$111:I$111)/J$111,0)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37">
        <f>IFERROR((SUMIFS(JB_26BV,JB_B,1,JB_EX,"P-5c",JB_CC,"Basic Construction",JB_H,"T-EPF",JB_RC,"ALT"))/(SUMIFS(JB_26BV,JB_B,1,JB_EX,"P-5c",JB_H,"T-EPF",JB_RC,"ALT")),0)</f>
        <v/>
      </c>
      <c r="J105" s="43">
        <f>IFERROR(SUMPRODUCT(B105:I105,B$111:I$111)/J$111,0)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37">
        <f>IFERROR((SUMIFS(JB_26BV,JB_B,1,JB_EX,"P-5c",JB_CC,"Change Orders",JB_H,"T-EPF",JB_RC,"ALT"))/(SUMIFS(JB_26BV,JB_B,1,JB_EX,"P-5c",JB_H,"T-EPF",JB_RC,"ALT")),0)</f>
        <v/>
      </c>
      <c r="J106" s="43">
        <f>IFERROR(SUMPRODUCT(B106:I106,B$111:I$111)/J$111,0)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37">
        <f>IFERROR((SUMIFS(JB_26BV,JB_B,1,JB_EX,"P-5c",JB_CC,"Electronics",JB_H,"T-EPF",JB_RC,"ALT"))/(SUMIFS(JB_26BV,JB_B,1,JB_EX,"P-5c",JB_H,"T-EPF",JB_RC,"ALT")),0)</f>
        <v/>
      </c>
      <c r="J107" s="43">
        <f>IFERROR(SUMPRODUCT(B107:I107,B$111:I$111)/J$111,0)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37">
        <f>IFERROR((SUMIFS(JB_26BV,JB_B,1,JB_EX,"P-5c",JB_CC,"Hull, Mechanical, and Electrical",JB_H,"T-EPF",JB_RC,"ALT"))/(SUMIFS(JB_26BV,JB_B,1,JB_EX,"P-5c",JB_H,"T-EPF",JB_RC,"ALT")),0)</f>
        <v/>
      </c>
      <c r="J108" s="43">
        <f>IFERROR(SUMPRODUCT(B108:I108,B$111:I$111)/J$111,0)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37">
        <f>IFERROR((SUMIFS(JB_26BV,JB_B,1,JB_EX,"P-5c",JB_CC,"Ordnance",JB_H,"T-EPF",JB_RC,"ALT"))/(SUMIFS(JB_26BV,JB_B,1,JB_EX,"P-5c",JB_H,"T-EPF",JB_RC,"ALT")),0)</f>
        <v/>
      </c>
      <c r="J109" s="43">
        <f>IFERROR(SUMPRODUCT(B109:I109,B$111:I$111)/J$111,0)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37">
        <f>IFERROR((SUMIFS(JB_26BV,JB_B,1,JB_EX,"P-5c",JB_CC,"Other Cost",JB_H,"T-EPF",JB_RC,"ALT"))/(SUMIFS(JB_26BV,JB_B,1,JB_EX,"P-5c",JB_H,"T-EPF",JB_RC,"ALT")),0)</f>
        <v/>
      </c>
      <c r="J110" s="43">
        <f>IFERROR(SUMPRODUCT(B110:I110,B$111:I$111)/J$111,0)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33">
        <f>SUMIFS(JB_26BV,JB_B,1,JB_H,"T-EPF",JB_RC,"ADD")</f>
        <v/>
      </c>
      <c r="J111" s="44">
        <f>SUM(B111:I111)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MISC. HM&amp;E</t>
        </is>
      </c>
      <c r="B38" s="26" t="inlineStr">
        <is>
          <t>Hull, Mechanical, and Electrical</t>
        </is>
      </c>
      <c r="C38" s="49">
        <f>SUMIFS(JB_26BV,JB_B,1,JB_EX,"P-8a",JB_CC,"Hull, Mechanical, and Electrical",JB_H,"DDG",JB_CE,"MISC. HM&amp;E",JB_RC,"ALT")</f>
        <v/>
      </c>
      <c r="D38" s="37">
        <f>IFERROR(C38/C$80,0)</f>
        <v/>
      </c>
    </row>
    <row r="39" ht="10" customHeight="1">
      <c r="A39" s="30" t="inlineStr">
        <is>
          <t>MAIN TURBINE GENERATOR (MTG)</t>
        </is>
      </c>
      <c r="B39" s="26" t="inlineStr">
        <is>
          <t>Hull, Mechanical, and Electrical</t>
        </is>
      </c>
      <c r="C39" s="49">
        <f>SUMIFS(JB_26BV,JB_B,1,JB_EX,"P-8a",JB_CC,"Hull, Mechanical, and Electrical",JB_H,"DDG",JB_CE,"MAIN TURBINE GENERATOR (MTG)",JB_RC,"ALT")</f>
        <v/>
      </c>
      <c r="D39" s="37">
        <f>IFERROR(C39/C$80,0)</f>
        <v/>
      </c>
    </row>
    <row r="40" ht="10" customHeight="1">
      <c r="A40" s="30" t="inlineStr">
        <is>
          <t>Integrated Bridge Navigation System</t>
        </is>
      </c>
      <c r="B40" s="26" t="inlineStr">
        <is>
          <t>Hull, Mechanical, and Electrical</t>
        </is>
      </c>
      <c r="C40" s="49">
        <f>SUMIFS(JB_26BV,JB_B,1,JB_EX,"P-8a",JB_CC,"Hull, Mechanical, and Electrical",JB_H,"DDG",JB_CE,"Integrated Bridge Navigation System",JB_RC,"ALT")</f>
        <v/>
      </c>
      <c r="D40" s="37">
        <f>IFERROR(C40/C$80,0)</f>
        <v/>
      </c>
    </row>
    <row r="41" ht="10" customHeight="1">
      <c r="A41" s="30" t="inlineStr">
        <is>
          <t>STC 3 IVCS</t>
        </is>
      </c>
      <c r="B41" s="26" t="inlineStr">
        <is>
          <t>Hull, Mechanical, and Electrical</t>
        </is>
      </c>
      <c r="C41" s="49">
        <f>SUMIFS(JB_26BV,JB_B,1,JB_EX,"P-8a",JB_CC,"Hull, Mechanical, and Electrical",JB_H,"DDG",JB_CE,"STC 3 IVCS",JB_RC,"ALT")</f>
        <v/>
      </c>
      <c r="D41" s="37">
        <f>IFERROR(C41/C$80,0)</f>
        <v/>
      </c>
    </row>
    <row r="42" ht="10" customHeight="1">
      <c r="A42" s="30" t="inlineStr">
        <is>
          <t>Machinery Control System</t>
        </is>
      </c>
      <c r="B42" s="26" t="inlineStr">
        <is>
          <t>Hull, Mechanical, and Electrical</t>
        </is>
      </c>
      <c r="C42" s="49">
        <f>SUMIFS(JB_26BV,JB_B,1,JB_EX,"P-8a",JB_CC,"Hull, Mechanical, and Electrical",JB_H,"DDG",JB_CE,"Machinery Control System",JB_RC,"ALT")</f>
        <v/>
      </c>
      <c r="D42" s="37">
        <f>IFERROR(C42/C$80,0)</f>
        <v/>
      </c>
    </row>
    <row r="43" ht="10" customHeight="1">
      <c r="A43" s="30" t="inlineStr">
        <is>
          <t>CYBER BDC</t>
        </is>
      </c>
      <c r="B43" s="26" t="inlineStr">
        <is>
          <t>Hull, Mechanical, and Electrical</t>
        </is>
      </c>
      <c r="C43" s="49">
        <f>SUMIFS(JB_26BV,JB_B,1,JB_EX,"P-8a",JB_CC,"Hull, Mechanical, and Electrical",JB_H,"DDG",JB_CE,"CYBER BDC",JB_RC,"ALT")</f>
        <v/>
      </c>
      <c r="D43" s="37">
        <f>IFERROR(C43/C$80,0)</f>
        <v/>
      </c>
    </row>
    <row r="44" ht="10" customHeight="1">
      <c r="A44" s="30" t="inlineStr">
        <is>
          <t>WSN 12</t>
        </is>
      </c>
      <c r="B44" s="26" t="inlineStr">
        <is>
          <t>Hull, Mechanical, and Electrical</t>
        </is>
      </c>
      <c r="C44" s="49">
        <f>SUMIFS(JB_26BV,JB_B,1,JB_EX,"P-8a",JB_CC,"Hull, Mechanical, and Electrical",JB_H,"DDG",JB_CE,"WSN 12",JB_RC,"ALT")</f>
        <v/>
      </c>
      <c r="D44" s="37">
        <f>IFERROR(C44/C$80,0)</f>
        <v/>
      </c>
    </row>
    <row r="45" ht="10" customHeight="1">
      <c r="A45" s="30" t="inlineStr">
        <is>
          <t>HM&amp;E (NGVLA, Moriah Wind Measurement System (WMS), Aviation Integration)</t>
        </is>
      </c>
      <c r="B45" s="26" t="inlineStr">
        <is>
          <t>Hull, Mechanical, and Electrical</t>
        </is>
      </c>
      <c r="C45" s="49">
        <f>SUMIFS(JB_26BV,JB_B,1,JB_EX,"P-8a",JB_CC,"Hull, Mechanical, and Electrical",JB_H,"DDG",JB_CE,"HM&amp;E (NGVLA, Moriah Wind Measurement System (WMS), Aviation Integration)",JB_RC,"ALT")</f>
        <v/>
      </c>
      <c r="D45" s="37">
        <f>IFERROR(C45/C$80,0)</f>
        <v/>
      </c>
    </row>
    <row r="46" ht="10" customHeight="1">
      <c r="A46" s="30" t="inlineStr">
        <is>
          <t>INTERIM SPARES</t>
        </is>
      </c>
      <c r="B46" s="26" t="inlineStr">
        <is>
          <t>Hull, Mechanical, and Electrical</t>
        </is>
      </c>
      <c r="C46" s="49">
        <f>SUMIFS(JB_26BV,JB_B,1,JB_EX,"P-8a",JB_CC,"Hull, Mechanical, and Electrical",JB_H,"DDG",JB_CE,"INTERIM SPARES",JB_RC,"ALT")</f>
        <v/>
      </c>
      <c r="D46" s="37">
        <f>IFERROR(C46/C$80,0)</f>
        <v/>
      </c>
    </row>
    <row r="47" ht="10" customHeight="1">
      <c r="A47" s="30" t="inlineStr">
        <is>
          <t>RIGID HULL INFLATABLE BOAT (RHIB)</t>
        </is>
      </c>
      <c r="B47" s="26" t="inlineStr">
        <is>
          <t>Hull, Mechanical, and Electrical</t>
        </is>
      </c>
      <c r="C47" s="49">
        <f>SUMIFS(JB_26BV,JB_B,1,JB_EX,"P-8a",JB_CC,"Hull, Mechanical, and Electrical",JB_H,"DDG",JB_CE,"RIGID HULL INFLATABLE BOAT (RHIB)",JB_RC,"ALT")</f>
        <v/>
      </c>
      <c r="D47" s="37">
        <f>IFERROR(C47/C$80,0)</f>
        <v/>
      </c>
    </row>
    <row r="48" ht="10" customHeight="1">
      <c r="A48" s="30" t="inlineStr">
        <is>
          <t>VERTICAL LAUNCHING SYSTEM (VLS) MK 57 4-CELL MODULES</t>
        </is>
      </c>
      <c r="B48" s="26" t="inlineStr">
        <is>
          <t>Electronics</t>
        </is>
      </c>
      <c r="C48" s="49">
        <f>SUMIFS(JB_26BV,JB_B,1,JB_EX,"P-8a",JB_CC,"Electronics",JB_H,"DDG",JB_CE,"VERTICAL LAUNCHING SYSTEM (VLS) MK 57 4-CELL MODULES",JB_RC,"ALT")</f>
        <v/>
      </c>
      <c r="D48" s="37">
        <f>IFERROR(C48/C$80,0)</f>
        <v/>
      </c>
    </row>
    <row r="49" ht="10" customHeight="1">
      <c r="A49" s="30" t="inlineStr">
        <is>
          <t>MULTI FUNCTION RADAR (MFR)</t>
        </is>
      </c>
      <c r="B49" s="26" t="inlineStr">
        <is>
          <t>Electronics</t>
        </is>
      </c>
      <c r="C49" s="49">
        <f>SUMIFS(JB_26BV,JB_B,1,JB_EX,"P-8a",JB_CC,"Electronics",JB_H,"DDG",JB_CE,"MULTI FUNCTION RADAR (MFR)",JB_RC,"ALT")</f>
        <v/>
      </c>
      <c r="D49" s="37">
        <f>IFERROR(C49/C$80,0)</f>
        <v/>
      </c>
    </row>
    <row r="50" ht="10" customHeight="1">
      <c r="A50" s="30" t="inlineStr">
        <is>
          <t>TOTAL SHIP COMPUTING ENVIRONMENT (TSCE)</t>
        </is>
      </c>
      <c r="B50" s="26" t="inlineStr">
        <is>
          <t>Electronics</t>
        </is>
      </c>
      <c r="C50" s="49">
        <f>SUMIFS(JB_26BV,JB_B,1,JB_EX,"P-8a",JB_CC,"Electronics",JB_H,"DDG",JB_CE,"TOTAL SHIP COMPUTING ENVIRONMENT (TSCE)",JB_RC,"ALT")</f>
        <v/>
      </c>
      <c r="D50" s="37">
        <f>IFERROR(C50/C$80,0)</f>
        <v/>
      </c>
    </row>
    <row r="51" ht="10" customHeight="1">
      <c r="A51" s="30" t="inlineStr">
        <is>
          <t>AN/SLQ-32 SEWIP V(7)</t>
        </is>
      </c>
      <c r="B51" s="26" t="inlineStr">
        <is>
          <t>Electronics</t>
        </is>
      </c>
      <c r="C51" s="49">
        <f>SUMIFS(JB_26BV,JB_B,1,JB_EX,"P-8a",JB_CC,"Electronics",JB_H,"DDG",JB_CE,"AN/SLQ-32 SEWIP V(7)",JB_RC,"ALT")</f>
        <v/>
      </c>
      <c r="D51" s="37">
        <f>IFERROR(C51/C$80,0)</f>
        <v/>
      </c>
    </row>
    <row r="52" ht="10" customHeight="1">
      <c r="A52" s="30" t="inlineStr">
        <is>
          <t>EXCOMM</t>
        </is>
      </c>
      <c r="B52" s="26" t="inlineStr">
        <is>
          <t>Electronics</t>
        </is>
      </c>
      <c r="C52" s="49">
        <f>SUMIFS(JB_26BV,JB_B,1,JB_EX,"P-8a",JB_CC,"Electronics",JB_H,"DDG",JB_CE,"EXCOMM",JB_RC,"ALT")</f>
        <v/>
      </c>
      <c r="D52" s="37">
        <f>IFERROR(C52/C$80,0)</f>
        <v/>
      </c>
    </row>
    <row r="53" ht="10" customHeight="1">
      <c r="A53" s="30" t="inlineStr">
        <is>
          <t>SQQ 89 ASW</t>
        </is>
      </c>
      <c r="B53" s="26" t="inlineStr">
        <is>
          <t>Electronics</t>
        </is>
      </c>
      <c r="C53" s="49">
        <f>SUMIFS(JB_26BV,JB_B,1,JB_EX,"P-8a",JB_CC,"Electronics",JB_H,"DDG",JB_CE,"SQQ 89 ASW",JB_RC,"ALT")</f>
        <v/>
      </c>
      <c r="D53" s="37">
        <f>IFERROR(C53/C$80,0)</f>
        <v/>
      </c>
    </row>
    <row r="54" ht="10" customHeight="1">
      <c r="A54" s="30" t="inlineStr">
        <is>
          <t>MISSION SYSTEM ENGR INTEGR &amp; TEST (MSEIT)</t>
        </is>
      </c>
      <c r="B54" s="26" t="inlineStr">
        <is>
          <t>Electronics</t>
        </is>
      </c>
      <c r="C54" s="49">
        <f>SUMIFS(JB_26BV,JB_B,1,JB_EX,"P-8a",JB_CC,"Electronics",JB_H,"DDG",JB_CE,"MISSION SYSTEM ENGR INTEGR &amp; TEST (MSEIT)",JB_RC,"ALT")</f>
        <v/>
      </c>
      <c r="D54" s="37">
        <f>IFERROR(C54/C$80,0)</f>
        <v/>
      </c>
    </row>
    <row r="55" ht="10" customHeight="1">
      <c r="A55" s="30" t="inlineStr">
        <is>
          <t>MISSION SYSTEM ACTIVATION</t>
        </is>
      </c>
      <c r="B55" s="26" t="inlineStr">
        <is>
          <t>Electronics</t>
        </is>
      </c>
      <c r="C55" s="49">
        <f>SUMIFS(JB_26BV,JB_B,1,JB_EX,"P-8a",JB_CC,"Electronics",JB_H,"DDG",JB_CE,"MISSION SYSTEM ACTIVATION",JB_RC,"ALT")</f>
        <v/>
      </c>
      <c r="D55" s="37">
        <f>IFERROR(C55/C$80,0)</f>
        <v/>
      </c>
    </row>
    <row r="56" ht="10" customHeight="1">
      <c r="A56" s="30" t="inlineStr">
        <is>
          <t>SHIP CONTROL SYSTEM (SCS)</t>
        </is>
      </c>
      <c r="B56" s="26" t="inlineStr">
        <is>
          <t>Electronics</t>
        </is>
      </c>
      <c r="C56" s="49">
        <f>SUMIFS(JB_26BV,JB_B,1,JB_EX,"P-8a",JB_CC,"Electronics",JB_H,"DDG",JB_CE,"SHIP CONTROL SYSTEM (SCS)",JB_RC,"ALT")</f>
        <v/>
      </c>
      <c r="D56" s="37">
        <f>IFERROR(C56/C$80,0)</f>
        <v/>
      </c>
    </row>
    <row r="57" ht="10" customHeight="1">
      <c r="A57" s="30" t="inlineStr">
        <is>
          <t>INTEGRATED UNDERSEA WARFARE (IUSW) SYSTEM</t>
        </is>
      </c>
      <c r="B57" s="26" t="inlineStr">
        <is>
          <t>Electronics</t>
        </is>
      </c>
      <c r="C57" s="49">
        <f>SUMIFS(JB_26BV,JB_B,1,JB_EX,"P-8a",JB_CC,"Electronics",JB_H,"DDG",JB_CE,"INTEGRATED UNDERSEA WARFARE (IUSW) SYSTEM",JB_RC,"ALT")</f>
        <v/>
      </c>
      <c r="D57" s="37">
        <f>IFERROR(C57/C$80,0)</f>
        <v/>
      </c>
    </row>
    <row r="58" ht="10" customHeight="1">
      <c r="A58" s="30" t="inlineStr">
        <is>
          <t>MISC. ELECTRONICS</t>
        </is>
      </c>
      <c r="B58" s="26" t="inlineStr">
        <is>
          <t>Electronics</t>
        </is>
      </c>
      <c r="C58" s="49">
        <f>SUMIFS(JB_26BV,JB_B,1,JB_EX,"P-8a",JB_CC,"Electronics",JB_H,"DDG",JB_CE,"MISC. ELECTRONICS",JB_RC,"ALT")</f>
        <v/>
      </c>
      <c r="D58" s="37">
        <f>IFERROR(C58/C$80,0)</f>
        <v/>
      </c>
    </row>
    <row r="59" ht="10" customHeight="1">
      <c r="A59" s="30" t="inlineStr">
        <is>
          <t>EXTERIOR COMMUNICATIONS (EXCOMMS)</t>
        </is>
      </c>
      <c r="B59" s="26" t="inlineStr">
        <is>
          <t>Electronics</t>
        </is>
      </c>
      <c r="C59" s="49">
        <f>SUMIFS(JB_26BV,JB_B,1,JB_EX,"P-8a",JB_CC,"Electronics",JB_H,"DDG",JB_CE,"EXTERIOR COMMUNICATIONS (EXCOMMS)",JB_RC,"ALT")</f>
        <v/>
      </c>
      <c r="D59" s="37">
        <f>IFERROR(C59/C$80,0)</f>
        <v/>
      </c>
    </row>
    <row r="60" ht="10" customHeight="1">
      <c r="A60" s="30" t="inlineStr">
        <is>
          <t>SPECTRAL</t>
        </is>
      </c>
      <c r="B60" s="26" t="inlineStr">
        <is>
          <t>Electronics</t>
        </is>
      </c>
      <c r="C60" s="49">
        <f>SUMIFS(JB_26BV,JB_B,1,JB_EX,"P-8a",JB_CC,"Electronics",JB_H,"DDG",JB_CE,"SPECTRAL",JB_RC,"ALT")</f>
        <v/>
      </c>
      <c r="D60" s="37">
        <f>IFERROR(C60/C$80,0)</f>
        <v/>
      </c>
    </row>
    <row r="61" ht="10" customHeight="1">
      <c r="A61" s="30" t="inlineStr">
        <is>
          <t>DDG 1002 TSCE MODERNIZATION</t>
        </is>
      </c>
      <c r="B61" s="26" t="inlineStr">
        <is>
          <t>Electronics</t>
        </is>
      </c>
      <c r="C61" s="49">
        <f>SUMIFS(JB_26BV,JB_B,1,JB_EX,"P-8a",JB_CC,"Electronics",JB_H,"DDG",JB_CE,"DDG 1002 TSCE MODERNIZATION",JB_RC,"ALT")</f>
        <v/>
      </c>
      <c r="D61" s="37">
        <f>IFERROR(C61/C$80,0)</f>
        <v/>
      </c>
    </row>
    <row r="62" ht="10" customHeight="1">
      <c r="A62" s="30" t="inlineStr">
        <is>
          <t>USQ 82(V) GEDMS</t>
        </is>
      </c>
      <c r="B62" s="26" t="inlineStr">
        <is>
          <t>Electronics</t>
        </is>
      </c>
      <c r="C62" s="49">
        <f>SUMIFS(JB_26BV,JB_B,1,JB_EX,"P-8a",JB_CC,"Electronics",JB_H,"DDG",JB_CE,"USQ 82(V) GEDMS",JB_RC,"ALT")</f>
        <v/>
      </c>
      <c r="D62" s="37">
        <f>IFERROR(C62/C$80,0)</f>
        <v/>
      </c>
    </row>
    <row r="63" ht="10" customHeight="1">
      <c r="A63" s="30" t="inlineStr">
        <is>
          <t>ELECTRO-OPTICAL / INFRARED (EO/IR)</t>
        </is>
      </c>
      <c r="B63" s="26" t="inlineStr">
        <is>
          <t>Electronics</t>
        </is>
      </c>
      <c r="C63" s="49">
        <f>SUMIFS(JB_26BV,JB_B,1,JB_EX,"P-8a",JB_CC,"Electronics",JB_H,"DDG",JB_CE,"ELECTRO-OPTICAL / INFRARED (EO/IR)",JB_RC,"ALT")</f>
        <v/>
      </c>
      <c r="D63" s="37">
        <f>IFERROR(C63/C$80,0)</f>
        <v/>
      </c>
    </row>
    <row r="64" ht="10" customHeight="1">
      <c r="A64" s="30" t="inlineStr">
        <is>
          <t>IDENTIFICATION FRIEND OR FOE (IFF)</t>
        </is>
      </c>
      <c r="B64" s="26" t="inlineStr">
        <is>
          <t>Electronics</t>
        </is>
      </c>
      <c r="C64" s="49">
        <f>SUMIFS(JB_26BV,JB_B,1,JB_EX,"P-8a",JB_CC,"Electronics",JB_H,"DDG",JB_CE,"IDENTIFICATION FRIEND OR FOE (IFF)",JB_RC,"ALT")</f>
        <v/>
      </c>
      <c r="D64" s="37">
        <f>IFERROR(C64/C$80,0)</f>
        <v/>
      </c>
    </row>
    <row r="65" ht="10" customHeight="1">
      <c r="A65" s="30" t="inlineStr">
        <is>
          <t>DDG 1002 UNIVERSAL CANISTER ELECTRICAL UNITS (UCEU)</t>
        </is>
      </c>
      <c r="B65" s="26" t="inlineStr">
        <is>
          <t>Electronics</t>
        </is>
      </c>
      <c r="C65" s="49">
        <f>SUMIFS(JB_26BV,JB_B,1,JB_EX,"P-8a",JB_CC,"Electronics",JB_H,"DDG",JB_CE,"DDG 1002 UNIVERSAL CANISTER ELECTRICAL UNITS (UCEU)",JB_RC,"ALT")</f>
        <v/>
      </c>
      <c r="D65" s="37">
        <f>IFERROR(C65/C$80,0)</f>
        <v/>
      </c>
    </row>
    <row r="66" ht="10" customHeight="1">
      <c r="A66" s="30" t="inlineStr">
        <is>
          <t>AN/UPX 29(V) IFF and TACAN</t>
        </is>
      </c>
      <c r="B66" s="26" t="inlineStr">
        <is>
          <t>Electronics</t>
        </is>
      </c>
      <c r="C66" s="49">
        <f>SUMIFS(JB_26BV,JB_B,1,JB_EX,"P-8a",JB_CC,"Electronics",JB_H,"DDG",JB_CE,"AN/UPX 29(V) IFF and TACAN",JB_RC,"ALT")</f>
        <v/>
      </c>
      <c r="D66" s="37">
        <f>IFERROR(C66/C$80,0)</f>
        <v/>
      </c>
    </row>
    <row r="67" ht="10" customHeight="1">
      <c r="A67" s="30" t="inlineStr">
        <is>
          <t>SRQ 4 LAMPS III</t>
        </is>
      </c>
      <c r="B67" s="26" t="inlineStr">
        <is>
          <t>Electronics</t>
        </is>
      </c>
      <c r="C67" s="49">
        <f>SUMIFS(JB_26BV,JB_B,1,JB_EX,"P-8a",JB_CC,"Electronics",JB_H,"DDG",JB_CE,"SRQ 4 LAMPS III",JB_RC,"ALT")</f>
        <v/>
      </c>
      <c r="D67" s="37">
        <f>IFERROR(C67/C$80,0)</f>
        <v/>
      </c>
    </row>
    <row r="68" ht="10" customHeight="1">
      <c r="A68" s="30" t="inlineStr">
        <is>
          <t>CEC</t>
        </is>
      </c>
      <c r="B68" s="26" t="inlineStr">
        <is>
          <t>Electronics</t>
        </is>
      </c>
      <c r="C68" s="49">
        <f>SUMIFS(JB_26BV,JB_B,1,JB_EX,"P-8a",JB_CC,"Electronics",JB_H,"DDG",JB_CE,"CEC",JB_RC,"ALT")</f>
        <v/>
      </c>
      <c r="D68" s="37">
        <f>IFERROR(C68/C$80,0)</f>
        <v/>
      </c>
    </row>
    <row r="69" ht="10" customHeight="1">
      <c r="A69" s="30" t="inlineStr">
        <is>
          <t>SURFACE ELECTRONIC WARFARE IMPROVEMENT PROGRAM (SEWIP)</t>
        </is>
      </c>
      <c r="B69" s="26" t="inlineStr">
        <is>
          <t>Electronics</t>
        </is>
      </c>
      <c r="C69" s="49">
        <f>SUMIFS(JB_26BV,JB_B,1,JB_EX,"P-8a",JB_CC,"Electronics",JB_H,"DDG",JB_CE,"SURFACE ELECTRONIC WARFARE IMPROVEMENT PROGRAM (SEWIP)",JB_RC,"ALT")</f>
        <v/>
      </c>
      <c r="D69" s="37">
        <f>IFERROR(C69/C$80,0)</f>
        <v/>
      </c>
    </row>
    <row r="70" ht="10" customHeight="1">
      <c r="A70" s="30" t="inlineStr">
        <is>
          <t>COMMON ARRAY POWER SYSTEM (CAPS)</t>
        </is>
      </c>
      <c r="B70" s="26" t="inlineStr">
        <is>
          <t>Electronics</t>
        </is>
      </c>
      <c r="C70" s="49">
        <f>SUMIFS(JB_26BV,JB_B,1,JB_EX,"P-8a",JB_CC,"Electronics",JB_H,"DDG",JB_CE,"COMMON ARRAY POWER SYSTEM (CAPS)",JB_RC,"ALT")</f>
        <v/>
      </c>
      <c r="D70" s="37">
        <f>IFERROR(C70/C$80,0)</f>
        <v/>
      </c>
    </row>
    <row r="71" ht="10" customHeight="1">
      <c r="A71" s="30" t="inlineStr">
        <is>
          <t>NAVIGATION SYSTEM</t>
        </is>
      </c>
      <c r="B71" s="26" t="inlineStr">
        <is>
          <t>Electronics</t>
        </is>
      </c>
      <c r="C71" s="49">
        <f>SUMIFS(JB_26BV,JB_B,1,JB_EX,"P-8a",JB_CC,"Electronics",JB_H,"DDG",JB_CE,"NAVIGATION SYSTEM",JB_RC,"ALT")</f>
        <v/>
      </c>
      <c r="D71" s="37">
        <f>IFERROR(C71/C$80,0)</f>
        <v/>
      </c>
    </row>
    <row r="72" ht="10" customHeight="1">
      <c r="A72" s="30" t="inlineStr">
        <is>
          <t>MIDS</t>
        </is>
      </c>
      <c r="B72" s="26" t="inlineStr">
        <is>
          <t>Electronics</t>
        </is>
      </c>
      <c r="C72" s="49">
        <f>SUMIFS(JB_26BV,JB_B,1,JB_EX,"P-8a",JB_CC,"Electronics",JB_H,"DDG",JB_CE,"MIDS",JB_RC,"ALT")</f>
        <v/>
      </c>
      <c r="D72" s="37">
        <f>IFERROR(C72/C$80,0)</f>
        <v/>
      </c>
    </row>
    <row r="73" ht="10" customHeight="1">
      <c r="A73" s="30" t="inlineStr">
        <is>
          <t>SLQ 25 NIXIE</t>
        </is>
      </c>
      <c r="B73" s="26" t="inlineStr">
        <is>
          <t>Electronics</t>
        </is>
      </c>
      <c r="C73" s="49">
        <f>SUMIFS(JB_26BV,JB_B,1,JB_EX,"P-8a",JB_CC,"Electronics",JB_H,"DDG",JB_CE,"SLQ 25 NIXIE",JB_RC,"ALT")</f>
        <v/>
      </c>
      <c r="D73" s="37">
        <f>IFERROR(C73/C$80,0)</f>
        <v/>
      </c>
    </row>
    <row r="74" ht="10" customHeight="1">
      <c r="A74" s="30" t="inlineStr">
        <is>
          <t>NGSSR</t>
        </is>
      </c>
      <c r="B74" s="26" t="inlineStr">
        <is>
          <t>Electronics</t>
        </is>
      </c>
      <c r="C74" s="49">
        <f>SUMIFS(JB_26BV,JB_B,1,JB_EX,"P-8a",JB_CC,"Electronics",JB_H,"DDG",JB_CE,"NGSSR",JB_RC,"ALT")</f>
        <v/>
      </c>
      <c r="D74" s="37">
        <f>IFERROR(C74/C$80,0)</f>
        <v/>
      </c>
    </row>
    <row r="75" ht="10" customHeight="1">
      <c r="A75" s="30" t="inlineStr">
        <is>
          <t>COOPERATIVE ENGAGEMENT CAPABILITY (CEC)</t>
        </is>
      </c>
      <c r="B75" s="26" t="inlineStr">
        <is>
          <t>Electronics</t>
        </is>
      </c>
      <c r="C75" s="49">
        <f>SUMIFS(JB_26BV,JB_B,1,JB_EX,"P-8a",JB_CC,"Electronics",JB_H,"DDG",JB_CE,"COOPERATIVE ENGAGEMENT CAPABILITY (CEC)",JB_RC,"ALT")</f>
        <v/>
      </c>
      <c r="D75" s="37">
        <f>IFERROR(C75/C$80,0)</f>
        <v/>
      </c>
    </row>
    <row r="76" ht="10" customHeight="1">
      <c r="A76" s="30" t="inlineStr">
        <is>
          <t>MK 53 NULKA</t>
        </is>
      </c>
      <c r="B76" s="26" t="inlineStr">
        <is>
          <t>Electronics</t>
        </is>
      </c>
      <c r="C76" s="49">
        <f>SUMIFS(JB_26BV,JB_B,1,JB_EX,"P-8a",JB_CC,"Electronics",JB_H,"DDG",JB_CE,"MK 53 NULKA",JB_RC,"ALT")</f>
        <v/>
      </c>
      <c r="D76" s="37">
        <f>IFERROR(C76/C$80,0)</f>
        <v/>
      </c>
    </row>
    <row r="77" ht="10" customHeight="1">
      <c r="A77" s="30" t="inlineStr">
        <is>
          <t>TSA ANTENNA</t>
        </is>
      </c>
      <c r="B77" s="26" t="inlineStr">
        <is>
          <t>Electronics</t>
        </is>
      </c>
      <c r="C77" s="49">
        <f>SUMIFS(JB_26BV,JB_B,1,JB_EX,"P-8a",JB_CC,"Electronics",JB_H,"DDG",JB_CE,"TSA ANTENNA",JB_RC,"ALT")</f>
        <v/>
      </c>
      <c r="D77" s="37">
        <f>IFERROR(C77/C$80,0)</f>
        <v/>
      </c>
    </row>
    <row r="78" ht="10" customHeight="1">
      <c r="A78" s="30" t="inlineStr">
        <is>
          <t>SPARES</t>
        </is>
      </c>
      <c r="B78" s="26" t="inlineStr">
        <is>
          <t>Electronics</t>
        </is>
      </c>
      <c r="C78" s="49">
        <f>SUMIFS(JB_26BV,JB_B,1,JB_EX,"P-8a",JB_CC,"Electronics",JB_H,"DDG",JB_CE,"SPARES",JB_RC,"ALT")</f>
        <v/>
      </c>
      <c r="D78" s="37">
        <f>IFERROR(C78/C$80,0)</f>
        <v/>
      </c>
    </row>
    <row r="79" ht="10" customHeight="1">
      <c r="A79" s="30" t="inlineStr">
        <is>
          <t>COMMON ARRAY COOLING SYSTEM (CACS)</t>
        </is>
      </c>
      <c r="B79" s="26" t="inlineStr">
        <is>
          <t>Electronics</t>
        </is>
      </c>
      <c r="C79" s="49">
        <f>SUMIFS(JB_26BV,JB_B,1,JB_EX,"P-8a",JB_CC,"Electronics",JB_H,"DDG",JB_CE,"COMMON ARRAY COOLING SYSTEM (CACS)",JB_RC,"ALT")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Equipment &amp; Engineering</t>
        </is>
      </c>
      <c r="B95" s="26" t="inlineStr">
        <is>
          <t>Hull, Mechanical, and Electrical</t>
        </is>
      </c>
      <c r="C95" s="49">
        <f>SUMIFS(JB_26BV,JB_B,1,JB_EX,"P-8a",JB_CC,"Hull, Mechanical, and Electrical",JB_H,"LHA",JB_CE,"Equipment &amp; Engineering",JB_RC,"ALT")</f>
        <v/>
      </c>
      <c r="D95" s="37">
        <f>IFERROR(C95/C$123,0)</f>
        <v/>
      </c>
    </row>
    <row r="96" ht="10" customHeight="1">
      <c r="A96" s="30" t="inlineStr">
        <is>
          <t>Test &amp; Instrumentation</t>
        </is>
      </c>
      <c r="B96" s="26" t="inlineStr">
        <is>
          <t>Hull, Mechanical, and Electrical</t>
        </is>
      </c>
      <c r="C96" s="49">
        <f>SUMIFS(JB_26BV,JB_B,1,JB_EX,"P-8a",JB_CC,"Hull, Mechanical, and Electrical",JB_H,"LHA",JB_CE,"Test &amp; Instrumentation",JB_RC,"ALT")</f>
        <v/>
      </c>
      <c r="D96" s="37">
        <f>IFERROR(C96/C$123,0)</f>
        <v/>
      </c>
    </row>
    <row r="97" ht="10" customHeight="1">
      <c r="A97" s="30" t="inlineStr">
        <is>
          <t>SUPSHIP Material/Services</t>
        </is>
      </c>
      <c r="B97" s="26" t="inlineStr">
        <is>
          <t>Hull, Mechanical, and Electrical</t>
        </is>
      </c>
      <c r="C97" s="49">
        <f>SUMIFS(JB_26BV,JB_B,1,JB_EX,"P-8a",JB_CC,"Hull, Mechanical, and Electrical",JB_H,"LHA",JB_CE,"SUPSHIP Material/Services",JB_RC,"ALT")</f>
        <v/>
      </c>
      <c r="D97" s="37">
        <f>IFERROR(C97/C$123,0)</f>
        <v/>
      </c>
    </row>
    <row r="98" ht="10" customHeight="1">
      <c r="A98" s="30" t="inlineStr">
        <is>
          <t>Command, Control, Communication, Computer Intelligence Surveillance and Reconnaissance (C4ISR)</t>
        </is>
      </c>
      <c r="B98" s="26" t="inlineStr">
        <is>
          <t>Electronics</t>
        </is>
      </c>
      <c r="C98" s="49">
        <f>SUMIFS(JB_26BV,JB_B,1,JB_EX,"P-8a",JB_CC,"Electronics",JB_H,"LHA",JB_CE,"Command, Control, Communication, Computer Intelligence Surveillance and Reconnaissance (C4ISR)",JB_RC,"ALT")</f>
        <v/>
      </c>
      <c r="D98" s="37">
        <f>IFERROR(C98/C$123,0)</f>
        <v/>
      </c>
    </row>
    <row r="99" ht="10" customHeight="1">
      <c r="A99" s="30" t="inlineStr">
        <is>
          <t>MK 2 MOD 4E Ship Self Defense System (SSDS)</t>
        </is>
      </c>
      <c r="B99" s="26" t="inlineStr">
        <is>
          <t>Electronics</t>
        </is>
      </c>
      <c r="C99" s="49">
        <f>SUMIFS(JB_26BV,JB_B,1,JB_EX,"P-8a",JB_CC,"Electronics",JB_H,"LHA",JB_CE,"MK 2 MOD 4E Ship Self Defense System (SSDS)",JB_RC,"ALT")</f>
        <v/>
      </c>
      <c r="D99" s="37">
        <f>IFERROR(C99/C$123,0)</f>
        <v/>
      </c>
    </row>
    <row r="100" ht="10" customHeight="1">
      <c r="A100" s="30" t="inlineStr">
        <is>
          <t>AN/SPN-50 (V)1</t>
        </is>
      </c>
      <c r="B100" s="26" t="inlineStr">
        <is>
          <t>Electronics</t>
        </is>
      </c>
      <c r="C100" s="49">
        <f>SUMIFS(JB_26BV,JB_B,1,JB_EX,"P-8a",JB_CC,"Electronics",JB_H,"LHA",JB_CE,"AN/SPN-50 (V)1",JB_RC,"ALT")</f>
        <v/>
      </c>
      <c r="D100" s="37">
        <f>IFERROR(C100/C$123,0)</f>
        <v/>
      </c>
    </row>
    <row r="101" ht="10" customHeight="1">
      <c r="A101" s="30" t="inlineStr">
        <is>
          <t>AN/SLQ-32(V), Surface Warfare Improvement Program (SEWIP)</t>
        </is>
      </c>
      <c r="B101" s="26" t="inlineStr">
        <is>
          <t>Electronics</t>
        </is>
      </c>
      <c r="C101" s="49">
        <f>SUMIFS(JB_26BV,JB_B,1,JB_EX,"P-8a",JB_CC,"Electronics",JB_H,"LHA",JB_CE,"AN/SLQ-32(V), Surface Warfare Improvement Program (SEWIP)",JB_RC,"ALT")</f>
        <v/>
      </c>
      <c r="D101" s="37">
        <f>IFERROR(C101/C$123,0)</f>
        <v/>
      </c>
    </row>
    <row r="102" ht="10" customHeight="1">
      <c r="A102" s="30" t="inlineStr">
        <is>
          <t>Miscellaneous Electronics</t>
        </is>
      </c>
      <c r="B102" s="26" t="inlineStr">
        <is>
          <t>Electronics</t>
        </is>
      </c>
      <c r="C102" s="49">
        <f>SUMIFS(JB_26BV,JB_B,1,JB_EX,"P-8a",JB_CC,"Electronics",JB_H,"LHA",JB_CE,"Miscellaneous Electronics",JB_RC,"ALT")</f>
        <v/>
      </c>
      <c r="D102" s="37">
        <f>IFERROR(C102/C$123,0)</f>
        <v/>
      </c>
    </row>
    <row r="103" ht="10" customHeight="1">
      <c r="A103" s="30" t="inlineStr">
        <is>
          <t>Integrated Voice Network (IVN)</t>
        </is>
      </c>
      <c r="B103" s="26" t="inlineStr">
        <is>
          <t>Electronics</t>
        </is>
      </c>
      <c r="C103" s="49">
        <f>SUMIFS(JB_26BV,JB_B,1,JB_EX,"P-8a",JB_CC,"Electronics",JB_H,"LHA",JB_CE,"Integrated Voice Network (IVN)",JB_RC,"ALT")</f>
        <v/>
      </c>
      <c r="D103" s="37">
        <f>IFERROR(C103/C$123,0)</f>
        <v/>
      </c>
    </row>
    <row r="104" ht="10" customHeight="1">
      <c r="A104" s="30" t="inlineStr">
        <is>
          <t>AN/UPX-29(V), Identification Friend or Foe (IFF) MK12</t>
        </is>
      </c>
      <c r="B104" s="26" t="inlineStr">
        <is>
          <t>Electronics</t>
        </is>
      </c>
      <c r="C104" s="49">
        <f>SUMIFS(JB_26BV,JB_B,1,JB_EX,"P-8a",JB_CC,"Electronics",JB_H,"LHA",JB_CE,"AN/UPX-29(V), Identification Friend or Foe (IFF) MK12",JB_RC,"ALT")</f>
        <v/>
      </c>
      <c r="D104" s="37">
        <f>IFERROR(C104/C$123,0)</f>
        <v/>
      </c>
    </row>
    <row r="105" ht="10" customHeight="1">
      <c r="A105" s="30" t="inlineStr">
        <is>
          <t>AN/USG-2, Cooperative Engagement Transmission Processing Set (CETPS)</t>
        </is>
      </c>
      <c r="B105" s="26" t="inlineStr">
        <is>
          <t>Electronics</t>
        </is>
      </c>
      <c r="C105" s="49">
        <f>SUMIFS(JB_26BV,JB_B,1,JB_EX,"P-8a",JB_CC,"Electronics",JB_H,"LHA",JB_CE,"AN/USG-2, Cooperative Engagement Transmission Processing Set (CETPS)",JB_RC,"ALT")</f>
        <v/>
      </c>
      <c r="D105" s="37">
        <f>IFERROR(C105/C$123,0)</f>
        <v/>
      </c>
    </row>
    <row r="106" ht="10" customHeight="1">
      <c r="A106" s="30" t="inlineStr">
        <is>
          <t>Joint Precision Approach and Landing System (JPALS) (AN/USN-3(V)1, SSLS)</t>
        </is>
      </c>
      <c r="B106" s="26" t="inlineStr">
        <is>
          <t>Electronics</t>
        </is>
      </c>
      <c r="C106" s="49">
        <f>SUMIFS(JB_26BV,JB_B,1,JB_EX,"P-8a",JB_CC,"Electronics",JB_H,"LHA",JB_CE,"Joint Precision Approach and Landing System (JPALS) (AN/USN-3(V)1, SSLS)",JB_RC,"ALT")</f>
        <v/>
      </c>
      <c r="D106" s="37">
        <f>IFERROR(C106/C$123,0)</f>
        <v/>
      </c>
    </row>
    <row r="107" ht="10" customHeight="1">
      <c r="A107" s="30" t="inlineStr">
        <is>
          <t>USQ-82, Gigabit Ethernet Data Multiplex System (GEDMS)</t>
        </is>
      </c>
      <c r="B107" s="26" t="inlineStr">
        <is>
          <t>Electronics</t>
        </is>
      </c>
      <c r="C107" s="49">
        <f>SUMIFS(JB_26BV,JB_B,1,JB_EX,"P-8a",JB_CC,"Electronics",JB_H,"LHA",JB_CE,"USQ-82, Gigabit Ethernet Data Multiplex System (GEDMS)",JB_RC,"ALT")</f>
        <v/>
      </c>
      <c r="D107" s="37">
        <f>IFERROR(C107/C$123,0)</f>
        <v/>
      </c>
    </row>
    <row r="108" ht="10" customHeight="1">
      <c r="A108" s="30" t="inlineStr">
        <is>
          <t>Aircraft Control Approach Central AN/SPN-35C</t>
        </is>
      </c>
      <c r="B108" s="26" t="inlineStr">
        <is>
          <t>Electronics</t>
        </is>
      </c>
      <c r="C108" s="49">
        <f>SUMIFS(JB_26BV,JB_B,1,JB_EX,"P-8a",JB_CC,"Electronics",JB_H,"LHA",JB_CE,"Aircraft Control Approach Central AN/SPN-35C",JB_RC,"ALT")</f>
        <v/>
      </c>
      <c r="D108" s="37">
        <f>IFERROR(C108/C$123,0)</f>
        <v/>
      </c>
    </row>
    <row r="109" ht="10" customHeight="1">
      <c r="A109" s="30" t="inlineStr">
        <is>
          <t>Hierarchical Yet Dynamically Reprogrammable Architecture (HYDRA) AN/SRC-55</t>
        </is>
      </c>
      <c r="B109" s="26" t="inlineStr">
        <is>
          <t>Electronics</t>
        </is>
      </c>
      <c r="C109" s="49">
        <f>SUMIFS(JB_26BV,JB_B,1,JB_EX,"P-8a",JB_CC,"Electronics",JB_H,"LHA",JB_CE,"Hierarchical Yet Dynamically Reprogrammable Architecture (HYDRA) AN/SRC-55",JB_RC,"ALT")</f>
        <v/>
      </c>
      <c r="D109" s="37">
        <f>IFERROR(C109/C$123,0)</f>
        <v/>
      </c>
    </row>
    <row r="110" ht="10" customHeight="1">
      <c r="A110" s="30" t="inlineStr">
        <is>
          <t>AN/SLQ-25C, Torpedo Countermeasures Transmitting Set (NIXIE)</t>
        </is>
      </c>
      <c r="B110" s="26" t="inlineStr">
        <is>
          <t>Electronics</t>
        </is>
      </c>
      <c r="C110" s="49">
        <f>SUMIFS(JB_26BV,JB_B,1,JB_EX,"P-8a",JB_CC,"Electronics",JB_H,"LHA",JB_CE,"AN/SLQ-25C, Torpedo Countermeasures Transmitting Set (NIXIE)",JB_RC,"ALT")</f>
        <v/>
      </c>
      <c r="D110" s="37">
        <f>IFERROR(C110/C$123,0)</f>
        <v/>
      </c>
    </row>
    <row r="111" ht="10" customHeight="1">
      <c r="A111" s="30" t="inlineStr">
        <is>
          <t>Ring Laser Gyro Navigator (RLGN) AN/WSN-7</t>
        </is>
      </c>
      <c r="B111" s="26" t="inlineStr">
        <is>
          <t>Electronics</t>
        </is>
      </c>
      <c r="C111" s="49">
        <f>SUMIFS(JB_26BV,JB_B,1,JB_EX,"P-8a",JB_CC,"Electronics",JB_H,"LHA",JB_CE,"Ring Laser Gyro Navigator (RLGN) AN/WSN-7",JB_RC,"ALT")</f>
        <v/>
      </c>
      <c r="D111" s="37">
        <f>IFERROR(C111/C$123,0)</f>
        <v/>
      </c>
    </row>
    <row r="112" ht="10" customHeight="1">
      <c r="A112" s="30" t="inlineStr">
        <is>
          <t>Amphibious Air Traffic Control Direct Altitude and Identity Readout (AATC-DAIR)</t>
        </is>
      </c>
      <c r="B112" s="26" t="inlineStr">
        <is>
          <t>Electronics</t>
        </is>
      </c>
      <c r="C112" s="49">
        <f>SUMIFS(JB_26BV,JB_B,1,JB_EX,"P-8a",JB_CC,"Electronics",JB_H,"LHA",JB_CE,"Amphibious Air Traffic Control Direct Altitude and Identity Readout (AATC-DAIR)",JB_RC,"ALT")</f>
        <v/>
      </c>
      <c r="D112" s="37">
        <f>IFERROR(C112/C$123,0)</f>
        <v/>
      </c>
    </row>
    <row r="113" ht="10" customHeight="1">
      <c r="A113" s="30" t="inlineStr">
        <is>
          <t>Aircraft Approach Control Transmitting Set (AACTS) AN/SPN-41B</t>
        </is>
      </c>
      <c r="B113" s="26" t="inlineStr">
        <is>
          <t>Electronics</t>
        </is>
      </c>
      <c r="C113" s="49">
        <f>SUMIFS(JB_26BV,JB_B,1,JB_EX,"P-8a",JB_CC,"Electronics",JB_H,"LHA",JB_CE,"Aircraft Approach Control Transmitting Set (AACTS) AN/SPN-41B",JB_RC,"ALT")</f>
        <v/>
      </c>
      <c r="D113" s="37">
        <f>IFERROR(C113/C$123,0)</f>
        <v/>
      </c>
    </row>
    <row r="114" ht="10" customHeight="1">
      <c r="A114" s="30" t="inlineStr">
        <is>
          <t>Announcing Systems AN/SIA-127H</t>
        </is>
      </c>
      <c r="B114" s="26" t="inlineStr">
        <is>
          <t>Electronics</t>
        </is>
      </c>
      <c r="C114" s="49">
        <f>SUMIFS(JB_26BV,JB_B,1,JB_EX,"P-8a",JB_CC,"Electronics",JB_H,"LHA",JB_CE,"Announcing Systems AN/SIA-127H",JB_RC,"ALT")</f>
        <v/>
      </c>
      <c r="D114" s="37">
        <f>IFERROR(C114/C$123,0)</f>
        <v/>
      </c>
    </row>
    <row r="115" ht="10" customHeight="1">
      <c r="A115" s="30" t="inlineStr">
        <is>
          <t>SATCC</t>
        </is>
      </c>
      <c r="B115" s="26" t="inlineStr">
        <is>
          <t>Electronics</t>
        </is>
      </c>
      <c r="C115" s="49">
        <f>SUMIFS(JB_26BV,JB_B,1,JB_EX,"P-8a",JB_CC,"Electronics",JB_H,"LHA",JB_CE,"SATCC",JB_RC,"ALT")</f>
        <v/>
      </c>
      <c r="D115" s="37">
        <f>IFERROR(C115/C$123,0)</f>
        <v/>
      </c>
    </row>
    <row r="116" ht="10" customHeight="1">
      <c r="A116" s="30" t="inlineStr">
        <is>
          <t>Amphibious Assault Direction System (AADS)</t>
        </is>
      </c>
      <c r="B116" s="26" t="inlineStr">
        <is>
          <t>Electronics</t>
        </is>
      </c>
      <c r="C116" s="49">
        <f>SUMIFS(JB_26BV,JB_B,1,JB_EX,"P-8a",JB_CC,"Electronics",JB_H,"LHA",JB_CE,"Amphibious Assault Direction System (AADS)",JB_RC,"ALT")</f>
        <v/>
      </c>
      <c r="D116" s="37">
        <f>IFERROR(C116/C$123,0)</f>
        <v/>
      </c>
    </row>
    <row r="117" ht="10" customHeight="1">
      <c r="A117" s="30" t="inlineStr">
        <is>
          <t>30 TV</t>
        </is>
      </c>
      <c r="B117" s="26" t="inlineStr">
        <is>
          <t>Electronics</t>
        </is>
      </c>
      <c r="C117" s="49">
        <f>SUMIFS(JB_26BV,JB_B,1,JB_EX,"P-8a",JB_CC,"Electronics",JB_H,"LHA",JB_CE,"30 TV",JB_RC,"ALT")</f>
        <v/>
      </c>
      <c r="D117" s="37">
        <f>IFERROR(C117/C$123,0)</f>
        <v/>
      </c>
    </row>
    <row r="118" ht="10" customHeight="1">
      <c r="A118" s="30" t="inlineStr">
        <is>
          <t>MK 53 NULKA Decoy Launching System (DLS) Mod 3</t>
        </is>
      </c>
      <c r="B118" s="26" t="inlineStr">
        <is>
          <t>Electronics</t>
        </is>
      </c>
      <c r="C118" s="49">
        <f>SUMIFS(JB_26BV,JB_B,1,JB_EX,"P-8a",JB_CC,"Electronics",JB_H,"LHA",JB_CE,"MK 53 NULKA Decoy Launching System (DLS) Mod 3",JB_RC,"ALT")</f>
        <v/>
      </c>
      <c r="D118" s="37">
        <f>IFERROR(C118/C$123,0)</f>
        <v/>
      </c>
    </row>
    <row r="119" ht="10" customHeight="1">
      <c r="A119" s="30" t="inlineStr">
        <is>
          <t>Next Generation Navigational Radar</t>
        </is>
      </c>
      <c r="B119" s="26" t="inlineStr">
        <is>
          <t>Electronics</t>
        </is>
      </c>
      <c r="C119" s="49">
        <f>SUMIFS(JB_26BV,JB_B,1,JB_EX,"P-8a",JB_CC,"Electronics",JB_H,"LHA",JB_CE,"Next Generation Navigational Radar",JB_RC,"ALT")</f>
        <v/>
      </c>
      <c r="D119" s="37">
        <f>IFERROR(C119/C$123,0)</f>
        <v/>
      </c>
    </row>
    <row r="120" ht="10" customHeight="1">
      <c r="A120" s="30" t="inlineStr">
        <is>
          <t>AN/USQ-T46(V), Battle Force Tactical Training (BFTT)</t>
        </is>
      </c>
      <c r="B120" s="26" t="inlineStr">
        <is>
          <t>Electronics</t>
        </is>
      </c>
      <c r="C120" s="49">
        <f>SUMIFS(JB_26BV,JB_B,1,JB_EX,"P-8a",JB_CC,"Electronics",JB_H,"LHA",JB_CE,"AN/USQ-T46(V), Battle Force Tactical Training (BFTT)",JB_RC,"ALT")</f>
        <v/>
      </c>
      <c r="D120" s="37">
        <f>IFERROR(C120/C$123,0)</f>
        <v/>
      </c>
    </row>
    <row r="121" ht="10" customHeight="1">
      <c r="A121" s="30" t="inlineStr">
        <is>
          <t>Digital Photo Lab</t>
        </is>
      </c>
      <c r="B121" s="26" t="inlineStr">
        <is>
          <t>Electronics</t>
        </is>
      </c>
      <c r="C121" s="49">
        <f>SUMIFS(JB_26BV,JB_B,1,JB_EX,"P-8a",JB_CC,"Electronics",JB_H,"LHA",JB_CE,"Digital Photo Lab",JB_RC,"ALT")</f>
        <v/>
      </c>
      <c r="D121" s="37">
        <f>IFERROR(C121/C$123,0)</f>
        <v/>
      </c>
    </row>
    <row r="122" ht="10" customHeight="1">
      <c r="A122" s="30" t="inlineStr">
        <is>
          <t>Print Shop</t>
        </is>
      </c>
      <c r="B122" s="26" t="inlineStr">
        <is>
          <t>Electronics</t>
        </is>
      </c>
      <c r="C122" s="49">
        <f>SUMIFS(JB_26BV,JB_B,1,JB_EX,"P-8a",JB_CC,"Electronics",JB_H,"LHA",JB_CE,"Print Shop",JB_RC,"ALT")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Aircraft Ship Integrated Securing and Traversing System (ASIST)</t>
        </is>
      </c>
      <c r="B131" s="26" t="inlineStr">
        <is>
          <t>Hull, Mechanical, and Electrical</t>
        </is>
      </c>
      <c r="C131" s="49">
        <f>SUMIFS(JB_26BV,JB_B,1,JB_EX,"P-8a",JB_CC,"Hull, Mechanical, and Electrical",JB_H,"FFG",JB_CE,"Aircraft Ship Integrated Securing and Traversing System (ASIST)",JB_RC,"ALT")</f>
        <v/>
      </c>
      <c r="D131" s="37">
        <f>IFERROR(C131/C$145,0)</f>
        <v/>
      </c>
    </row>
    <row r="132" ht="10" customHeight="1">
      <c r="A132" s="30" t="inlineStr">
        <is>
          <t>Other HM&amp;E</t>
        </is>
      </c>
      <c r="B132" s="26" t="inlineStr">
        <is>
          <t>Hull, Mechanical, and Electrical</t>
        </is>
      </c>
      <c r="C132" s="49">
        <f>SUMIFS(JB_26BV,JB_B,1,JB_EX,"P-8a",JB_CC,"Hull, Mechanical, and Electrical",JB_H,"FFG",JB_CE,"Other HM&amp;E",JB_RC,"ALT")</f>
        <v/>
      </c>
      <c r="D132" s="37">
        <f>IFERROR(C132/C$145,0)</f>
        <v/>
      </c>
    </row>
    <row r="133" ht="10" customHeight="1">
      <c r="A133" s="30" t="inlineStr">
        <is>
          <t>Internal Communication (IC) Voice</t>
        </is>
      </c>
      <c r="B133" s="26" t="inlineStr">
        <is>
          <t>Hull, Mechanical, and Electrical</t>
        </is>
      </c>
      <c r="C133" s="49">
        <f>SUMIFS(JB_26BV,JB_B,1,JB_EX,"P-8a",JB_CC,"Hull, Mechanical, and Electrical",JB_H,"FFG",JB_CE,"Internal Communication (IC) Voice",JB_RC,"ALT")</f>
        <v/>
      </c>
      <c r="D133" s="37">
        <f>IFERROR(C133/C$145,0)</f>
        <v/>
      </c>
    </row>
    <row r="134" ht="10" customHeight="1">
      <c r="A134" s="30" t="inlineStr">
        <is>
          <t>Interior Wireless Communication System (IWCS)</t>
        </is>
      </c>
      <c r="B134" s="26" t="inlineStr">
        <is>
          <t>Hull, Mechanical, and Electrical</t>
        </is>
      </c>
      <c r="C134" s="49">
        <f>SUMIFS(JB_26BV,JB_B,1,JB_EX,"P-8a",JB_CC,"Hull, Mechanical, and Electrical",JB_H,"FFG",JB_CE,"Interior Wireless Communication System (IWCS)",JB_RC,"ALT")</f>
        <v/>
      </c>
      <c r="D134" s="37">
        <f>IFERROR(C134/C$145,0)</f>
        <v/>
      </c>
    </row>
    <row r="135" ht="10" customHeight="1">
      <c r="A135" s="30" t="inlineStr">
        <is>
          <t>Unclassified Video System (UVS)</t>
        </is>
      </c>
      <c r="B135" s="26" t="inlineStr">
        <is>
          <t>Hull, Mechanical, and Electrical</t>
        </is>
      </c>
      <c r="C135" s="49">
        <f>SUMIFS(JB_26BV,JB_B,1,JB_EX,"P-8a",JB_CC,"Hull, Mechanical, and Electrical",JB_H,"FFG",JB_CE,"Unclassified Video System (UVS)",JB_RC,"ALT")</f>
        <v/>
      </c>
      <c r="D135" s="37">
        <f>IFERROR(C135/C$145,0)</f>
        <v/>
      </c>
    </row>
    <row r="136" ht="10" customHeight="1">
      <c r="A136" s="30" t="inlineStr">
        <is>
          <t>Ship Control System-Government (SCS GOV)</t>
        </is>
      </c>
      <c r="B136" s="26" t="inlineStr">
        <is>
          <t>Hull, Mechanical, and Electrical</t>
        </is>
      </c>
      <c r="C136" s="49">
        <f>SUMIFS(JB_26BV,JB_B,1,JB_EX,"P-8a",JB_CC,"Hull, Mechanical, and Electrical",JB_H,"FFG",JB_CE,"Ship Control System-Government (SCS GOV)",JB_RC,"ALT")</f>
        <v/>
      </c>
      <c r="D136" s="37">
        <f>IFERROR(C136/C$145,0)</f>
        <v/>
      </c>
    </row>
    <row r="137" ht="10" customHeight="1">
      <c r="A137" s="30" t="inlineStr">
        <is>
          <t>Advanced Flight Deck Lighting System (AFDLS)</t>
        </is>
      </c>
      <c r="B137" s="26" t="inlineStr">
        <is>
          <t>Hull, Mechanical, and Electrical</t>
        </is>
      </c>
      <c r="C137" s="49">
        <f>SUMIFS(JB_26BV,JB_B,1,JB_EX,"P-8a",JB_CC,"Hull, Mechanical, and Electrical",JB_H,"FFG",JB_CE,"Advanced Flight Deck Lighting System (AFDLS)",JB_RC,"ALT")</f>
        <v/>
      </c>
      <c r="D137" s="37">
        <f>IFERROR(C137/C$145,0)</f>
        <v/>
      </c>
    </row>
    <row r="138" ht="10" customHeight="1">
      <c r="A138" s="30" t="inlineStr">
        <is>
          <t>Enterprise Air Surveillance Radar (EASR)</t>
        </is>
      </c>
      <c r="B138" s="26" t="inlineStr">
        <is>
          <t>Electronics</t>
        </is>
      </c>
      <c r="C138" s="49">
        <f>SUMIFS(JB_26BV,JB_B,1,JB_EX,"P-8a",JB_CC,"Electronics",JB_H,"FFG",JB_CE,"Enterprise Air Surveillance Radar (EASR)",JB_RC,"ALT")</f>
        <v/>
      </c>
      <c r="D138" s="37">
        <f>IFERROR(C138/C$145,0)</f>
        <v/>
      </c>
    </row>
    <row r="139" ht="10" customHeight="1">
      <c r="A139" s="30" t="inlineStr">
        <is>
          <t>AEGIS Weapon System (AWS)</t>
        </is>
      </c>
      <c r="B139" s="26" t="inlineStr">
        <is>
          <t>Electronics</t>
        </is>
      </c>
      <c r="C139" s="49">
        <f>SUMIFS(JB_26BV,JB_B,1,JB_EX,"P-8a",JB_CC,"Electronics",JB_H,"FFG",JB_CE,"AEGIS Weapon System (AWS)",JB_RC,"ALT")</f>
        <v/>
      </c>
      <c r="D139" s="37">
        <f>IFERROR(C139/C$145,0)</f>
        <v/>
      </c>
    </row>
    <row r="140" ht="10" customHeight="1">
      <c r="A140" s="30" t="inlineStr">
        <is>
          <t>Anti-Submarine Warfare (ASW) Combat Suite</t>
        </is>
      </c>
      <c r="B140" s="26" t="inlineStr">
        <is>
          <t>Electronics</t>
        </is>
      </c>
      <c r="C140" s="49">
        <f>SUMIFS(JB_26BV,JB_B,1,JB_EX,"P-8a",JB_CC,"Electronics",JB_H,"FFG",JB_CE,"Anti-Submarine Warfare (ASW) Combat Suite",JB_RC,"ALT")</f>
        <v/>
      </c>
      <c r="D140" s="37">
        <f>IFERROR(C140/C$145,0)</f>
        <v/>
      </c>
    </row>
    <row r="141" ht="10" customHeight="1">
      <c r="A141" s="30" t="inlineStr">
        <is>
          <t>Tactical COMINT System- Spectral</t>
        </is>
      </c>
      <c r="B141" s="26" t="inlineStr">
        <is>
          <t>Electronics</t>
        </is>
      </c>
      <c r="C141" s="49">
        <f>SUMIFS(JB_26BV,JB_B,1,JB_EX,"P-8a",JB_CC,"Electronics",JB_H,"FFG",JB_CE,"Tactical COMINT System- Spectral",JB_RC,"ALT")</f>
        <v/>
      </c>
      <c r="D141" s="37">
        <f>IFERROR(C141/C$145,0)</f>
        <v/>
      </c>
    </row>
    <row r="142" ht="10" customHeight="1">
      <c r="A142" s="30" t="inlineStr">
        <is>
          <t>External Communication Suite (EXCOMM)</t>
        </is>
      </c>
      <c r="B142" s="26" t="inlineStr">
        <is>
          <t>Electronics</t>
        </is>
      </c>
      <c r="C142" s="49">
        <f>SUMIFS(JB_26BV,JB_B,1,JB_EX,"P-8a",JB_CC,"Electronics",JB_H,"FFG",JB_CE,"External Communication Suite (EXCOMM)",JB_RC,"ALT")</f>
        <v/>
      </c>
      <c r="D142" s="37">
        <f>IFERROR(C142/C$145,0)</f>
        <v/>
      </c>
    </row>
    <row r="143" ht="10" customHeight="1">
      <c r="A143" s="30" t="inlineStr">
        <is>
          <t>Cooperative Engagement Capability (CEC)</t>
        </is>
      </c>
      <c r="B143" s="26" t="inlineStr">
        <is>
          <t>Electronics</t>
        </is>
      </c>
      <c r="C143" s="49">
        <f>SUMIFS(JB_26BV,JB_B,1,JB_EX,"P-8a",JB_CC,"Electronics",JB_H,"FFG",JB_CE,"Cooperative Engagement Capability (CEC)",JB_RC,"ALT")</f>
        <v/>
      </c>
      <c r="D143" s="37">
        <f>IFERROR(C143/C$145,0)</f>
        <v/>
      </c>
    </row>
    <row r="144" ht="10" customHeight="1">
      <c r="A144" s="30" t="inlineStr">
        <is>
          <t>Identification Friend or Foe (IFF) UPX-29</t>
        </is>
      </c>
      <c r="B144" s="26" t="inlineStr">
        <is>
          <t>Electronics</t>
        </is>
      </c>
      <c r="C144" s="49">
        <f>SUMIFS(JB_26BV,JB_B,1,JB_EX,"P-8a",JB_CC,"Electronics",JB_H,"FFG",JB_CE,"Identification Friend or Foe (IFF) UPX-29",JB_RC,"ALT")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Unclassified Video System (UVS)</t>
        </is>
      </c>
      <c r="B157" s="26" t="inlineStr">
        <is>
          <t>Hull, Mechanical, and Electrical</t>
        </is>
      </c>
      <c r="C157" s="49">
        <f>SUMIFS(JB_26BV,JB_B,1,JB_EX,"P-8a",JB_CC,"Hull, Mechanical, and Electrical",JB_H,"LPD",JB_CE,"Unclassified Video System (UVS)",JB_RC,"ALT")</f>
        <v/>
      </c>
      <c r="D157" s="37">
        <f>IFERROR(C157/C$182,0)</f>
        <v/>
      </c>
    </row>
    <row r="158" ht="10" customHeight="1">
      <c r="A158" s="30" t="inlineStr">
        <is>
          <t>Forklift Trucks</t>
        </is>
      </c>
      <c r="B158" s="26" t="inlineStr">
        <is>
          <t>Hull, Mechanical, and Electrical</t>
        </is>
      </c>
      <c r="C158" s="49">
        <f>SUMIFS(JB_26BV,JB_B,1,JB_EX,"P-8a",JB_CC,"Hull, Mechanical, and Electrical",JB_H,"LPD",JB_CE,"Forklift Trucks",JB_RC,"ALT")</f>
        <v/>
      </c>
      <c r="D158" s="37">
        <f>IFERROR(C158/C$182,0)</f>
        <v/>
      </c>
    </row>
    <row r="159" ht="10" customHeight="1">
      <c r="A159" s="30" t="inlineStr">
        <is>
          <t>Chemical Warfare Detectors</t>
        </is>
      </c>
      <c r="B159" s="26" t="inlineStr">
        <is>
          <t>Hull, Mechanical, and Electrical</t>
        </is>
      </c>
      <c r="C159" s="49">
        <f>SUMIFS(JB_26BV,JB_B,1,JB_EX,"P-8a",JB_CC,"Hull, Mechanical, and Electrical",JB_H,"LPD",JB_CE,"Chemical Warfare Detectors",JB_RC,"ALT")</f>
        <v/>
      </c>
      <c r="D159" s="37">
        <f>IFERROR(C159/C$182,0)</f>
        <v/>
      </c>
    </row>
    <row r="160" ht="10" customHeight="1">
      <c r="A160" s="30" t="inlineStr">
        <is>
          <t>Motor Operated Pilot Valve (MOPV)</t>
        </is>
      </c>
      <c r="B160" s="26" t="inlineStr">
        <is>
          <t>Hull, Mechanical, and Electrical</t>
        </is>
      </c>
      <c r="C160" s="49">
        <f>SUMIFS(JB_26BV,JB_B,1,JB_EX,"P-8a",JB_CC,"Hull, Mechanical, and Electrical",JB_H,"LPD",JB_CE,"Motor Operated Pilot Valve (MOPV)",JB_RC,"ALT")</f>
        <v/>
      </c>
      <c r="D160" s="37">
        <f>IFERROR(C160/C$182,0)</f>
        <v/>
      </c>
    </row>
    <row r="161" ht="10" customHeight="1">
      <c r="A161" s="30" t="inlineStr">
        <is>
          <t>Plastic Waste Processing EQP</t>
        </is>
      </c>
      <c r="B161" s="26" t="inlineStr">
        <is>
          <t>Hull, Mechanical, and Electrical</t>
        </is>
      </c>
      <c r="C161" s="49">
        <f>SUMIFS(JB_26BV,JB_B,1,JB_EX,"P-8a",JB_CC,"Hull, Mechanical, and Electrical",JB_H,"LPD",JB_CE,"Plastic Waste Processing EQP",JB_RC,"ALT")</f>
        <v/>
      </c>
      <c r="D161" s="37">
        <f>IFERROR(C161/C$182,0)</f>
        <v/>
      </c>
    </row>
    <row r="162" ht="10" customHeight="1">
      <c r="A162" s="30" t="inlineStr">
        <is>
          <t>Boats (Rigid Inflatable Boat, 7 meter)</t>
        </is>
      </c>
      <c r="B162" s="26" t="inlineStr">
        <is>
          <t>Hull, Mechanical, and Electrical</t>
        </is>
      </c>
      <c r="C162" s="49">
        <f>SUMIFS(JB_26BV,JB_B,1,JB_EX,"P-8a",JB_CC,"Hull, Mechanical, and Electrical",JB_H,"LPD",JB_CE,"Boats (Rigid Inflatable Boat, 7 meter)",JB_RC,"ALT")</f>
        <v/>
      </c>
      <c r="D162" s="37">
        <f>IFERROR(C162/C$182,0)</f>
        <v/>
      </c>
    </row>
    <row r="163" ht="10" customHeight="1">
      <c r="A163" s="30" t="inlineStr">
        <is>
          <t>Military Payroll System</t>
        </is>
      </c>
      <c r="B163" s="26" t="inlineStr">
        <is>
          <t>Hull, Mechanical, and Electrical</t>
        </is>
      </c>
      <c r="C163" s="49">
        <f>SUMIFS(JB_26BV,JB_B,1,JB_EX,"P-8a",JB_CC,"Hull, Mechanical, and Electrical",JB_H,"LPD",JB_CE,"Military Payroll System",JB_RC,"ALT")</f>
        <v/>
      </c>
      <c r="D163" s="37">
        <f>IFERROR(C163/C$182,0)</f>
        <v/>
      </c>
    </row>
    <row r="164" ht="10" customHeight="1">
      <c r="A164" s="30" t="inlineStr">
        <is>
          <t>Oily Water Separator</t>
        </is>
      </c>
      <c r="B164" s="26" t="inlineStr">
        <is>
          <t>Hull, Mechanical, and Electrical</t>
        </is>
      </c>
      <c r="C164" s="49">
        <f>SUMIFS(JB_26BV,JB_B,1,JB_EX,"P-8a",JB_CC,"Hull, Mechanical, and Electrical",JB_H,"LPD",JB_CE,"Oily Water Separator",JB_RC,"ALT")</f>
        <v/>
      </c>
      <c r="D164" s="37">
        <f>IFERROR(C164/C$182,0)</f>
        <v/>
      </c>
    </row>
    <row r="165" ht="10" customHeight="1">
      <c r="A165" s="30" t="inlineStr">
        <is>
          <t>C4ISR</t>
        </is>
      </c>
      <c r="B165" s="26" t="inlineStr">
        <is>
          <t>Electronics</t>
        </is>
      </c>
      <c r="C165" s="49">
        <f>SUMIFS(JB_26BV,JB_B,1,JB_EX,"P-8a",JB_CC,"Electronics",JB_H,"LPD",JB_CE,"C4ISR",JB_RC,"ALT")</f>
        <v/>
      </c>
      <c r="D165" s="37">
        <f>IFERROR(C165/C$182,0)</f>
        <v/>
      </c>
    </row>
    <row r="166" ht="10" customHeight="1">
      <c r="A166" s="30" t="inlineStr">
        <is>
          <t>Mission Systems</t>
        </is>
      </c>
      <c r="B166" s="26" t="inlineStr">
        <is>
          <t>Electronics</t>
        </is>
      </c>
      <c r="C166" s="49">
        <f>SUMIFS(JB_26BV,JB_B,1,JB_EX,"P-8a",JB_CC,"Electronics",JB_H,"LPD",JB_CE,"Mission Systems",JB_RC,"ALT")</f>
        <v/>
      </c>
      <c r="D166" s="37">
        <f>IFERROR(C166/C$182,0)</f>
        <v/>
      </c>
    </row>
    <row r="167" ht="10" customHeight="1">
      <c r="A167" s="30" t="inlineStr">
        <is>
          <t>Miscellaneous Electronics</t>
        </is>
      </c>
      <c r="B167" s="26" t="inlineStr">
        <is>
          <t>Electronics</t>
        </is>
      </c>
      <c r="C167" s="49">
        <f>SUMIFS(JB_26BV,JB_B,1,JB_EX,"P-8a",JB_CC,"Electronics",JB_H,"LPD",JB_CE,"Miscellaneous Electronics",JB_RC,"ALT")</f>
        <v/>
      </c>
      <c r="D167" s="37">
        <f>IFERROR(C167/C$182,0)</f>
        <v/>
      </c>
    </row>
    <row r="168" ht="10" customHeight="1">
      <c r="A168" s="30" t="inlineStr">
        <is>
          <t>Ship Self Defense System (SSDS)</t>
        </is>
      </c>
      <c r="B168" s="26" t="inlineStr">
        <is>
          <t>Electronics</t>
        </is>
      </c>
      <c r="C168" s="49">
        <f>SUMIFS(JB_26BV,JB_B,1,JB_EX,"P-8a",JB_CC,"Electronics",JB_H,"LPD",JB_CE,"Ship Self Defense System (SSDS)",JB_RC,"ALT")</f>
        <v/>
      </c>
      <c r="D168" s="37">
        <f>IFERROR(C168/C$182,0)</f>
        <v/>
      </c>
    </row>
    <row r="169" ht="10" customHeight="1">
      <c r="A169" s="30" t="inlineStr">
        <is>
          <t>AN/SLQ-32(V)6 Surface Electronic Warfare Improvement Program (SEWIP)</t>
        </is>
      </c>
      <c r="B169" s="26" t="inlineStr">
        <is>
          <t>Electronics</t>
        </is>
      </c>
      <c r="C169" s="49">
        <f>SUMIFS(JB_26BV,JB_B,1,JB_EX,"P-8a",JB_CC,"Electronics",JB_H,"LPD",JB_CE,"AN/SLQ-32(V)6 Surface Electronic Warfare Improvement Program (SEWIP)",JB_RC,"ALT")</f>
        <v/>
      </c>
      <c r="D169" s="37">
        <f>IFERROR(C169/C$182,0)</f>
        <v/>
      </c>
    </row>
    <row r="170" ht="10" customHeight="1">
      <c r="A170" s="30" t="inlineStr">
        <is>
          <t>Cooperative Engagement Capability (CEC)</t>
        </is>
      </c>
      <c r="B170" s="26" t="inlineStr">
        <is>
          <t>Electronics</t>
        </is>
      </c>
      <c r="C170" s="49">
        <f>SUMIFS(JB_26BV,JB_B,1,JB_EX,"P-8a",JB_CC,"Electronics",JB_H,"LPD",JB_CE,"Cooperative Engagement Capability (CEC)",JB_RC,"ALT")</f>
        <v/>
      </c>
      <c r="D170" s="37">
        <f>IFERROR(C170/C$182,0)</f>
        <v/>
      </c>
    </row>
    <row r="171" ht="10" customHeight="1">
      <c r="A171" s="30" t="inlineStr">
        <is>
          <t>Interrogator System IFF (Identification Friend or Foe)</t>
        </is>
      </c>
      <c r="B171" s="26" t="inlineStr">
        <is>
          <t>Electronics</t>
        </is>
      </c>
      <c r="C171" s="49">
        <f>SUMIFS(JB_26BV,JB_B,1,JB_EX,"P-8a",JB_CC,"Electronics",JB_H,"LPD",JB_CE,"Interrogator System IFF (Identification Friend or Foe)",JB_RC,"ALT")</f>
        <v/>
      </c>
      <c r="D171" s="37">
        <f>IFERROR(C171/C$182,0)</f>
        <v/>
      </c>
    </row>
    <row r="172" ht="10" customHeight="1">
      <c r="A172" s="30" t="inlineStr">
        <is>
          <t>IWS CSI</t>
        </is>
      </c>
      <c r="B172" s="26" t="inlineStr">
        <is>
          <t>Electronics</t>
        </is>
      </c>
      <c r="C172" s="49">
        <f>SUMIFS(JB_26BV,JB_B,1,JB_EX,"P-8a",JB_CC,"Electronics",JB_H,"LPD",JB_CE,"IWS CSI",JB_RC,"ALT")</f>
        <v/>
      </c>
      <c r="D172" s="37">
        <f>IFERROR(C172/C$182,0)</f>
        <v/>
      </c>
    </row>
    <row r="173" ht="10" customHeight="1">
      <c r="A173" s="30" t="inlineStr">
        <is>
          <t>AN/WSN-7(RLGN)</t>
        </is>
      </c>
      <c r="B173" s="26" t="inlineStr">
        <is>
          <t>Electronics</t>
        </is>
      </c>
      <c r="C173" s="49">
        <f>SUMIFS(JB_26BV,JB_B,1,JB_EX,"P-8a",JB_CC,"Electronics",JB_H,"LPD",JB_CE,"AN/WSN-7(RLGN)",JB_RC,"ALT")</f>
        <v/>
      </c>
      <c r="D173" s="37">
        <f>IFERROR(C173/C$182,0)</f>
        <v/>
      </c>
    </row>
    <row r="174" ht="10" customHeight="1">
      <c r="A174" s="30" t="inlineStr">
        <is>
          <t>HM&amp;E Condition System (HMECS)</t>
        </is>
      </c>
      <c r="B174" s="26" t="inlineStr">
        <is>
          <t>Electronics</t>
        </is>
      </c>
      <c r="C174" s="49">
        <f>SUMIFS(JB_26BV,JB_B,1,JB_EX,"P-8a",JB_CC,"Electronics",JB_H,"LPD",JB_CE,"HM&amp;E Condition System (HMECS)",JB_RC,"ALT")</f>
        <v/>
      </c>
      <c r="D174" s="37">
        <f>IFERROR(C174/C$182,0)</f>
        <v/>
      </c>
    </row>
    <row r="175" ht="10" customHeight="1">
      <c r="A175" s="30" t="inlineStr">
        <is>
          <t>Electronic Charting Display and Information Systems-Navy (ECDIS-N)</t>
        </is>
      </c>
      <c r="B175" s="26" t="inlineStr">
        <is>
          <t>Electronics</t>
        </is>
      </c>
      <c r="C175" s="49">
        <f>SUMIFS(JB_26BV,JB_B,1,JB_EX,"P-8a",JB_CC,"Electronics",JB_H,"LPD",JB_CE,"Electronic Charting Display and Information Systems-Navy (ECDIS-N)",JB_RC,"ALT")</f>
        <v/>
      </c>
      <c r="D175" s="37">
        <f>IFERROR(C175/C$182,0)</f>
        <v/>
      </c>
    </row>
    <row r="176" ht="10" customHeight="1">
      <c r="A176" s="30" t="inlineStr">
        <is>
          <t>Nulka Decoy Launching System (DLS)</t>
        </is>
      </c>
      <c r="B176" s="26" t="inlineStr">
        <is>
          <t>Electronics</t>
        </is>
      </c>
      <c r="C176" s="49">
        <f>SUMIFS(JB_26BV,JB_B,1,JB_EX,"P-8a",JB_CC,"Electronics",JB_H,"LPD",JB_CE,"Nulka Decoy Launching System (DLS)",JB_RC,"ALT")</f>
        <v/>
      </c>
      <c r="D176" s="37">
        <f>IFERROR(C176/C$182,0)</f>
        <v/>
      </c>
    </row>
    <row r="177" ht="10" customHeight="1">
      <c r="A177" s="30" t="inlineStr">
        <is>
          <t>Advanced Training Domain (ATD)</t>
        </is>
      </c>
      <c r="B177" s="26" t="inlineStr">
        <is>
          <t>Electronics</t>
        </is>
      </c>
      <c r="C177" s="49">
        <f>SUMIFS(JB_26BV,JB_B,1,JB_EX,"P-8a",JB_CC,"Electronics",JB_H,"LPD",JB_CE,"Advanced Training Domain (ATD)",JB_RC,"ALT")</f>
        <v/>
      </c>
      <c r="D177" s="37">
        <f>IFERROR(C177/C$182,0)</f>
        <v/>
      </c>
    </row>
    <row r="178" ht="10" customHeight="1">
      <c r="A178" s="30" t="inlineStr">
        <is>
          <t>Amphibious Assault Direction System (AADS)</t>
        </is>
      </c>
      <c r="B178" s="26" t="inlineStr">
        <is>
          <t>Electronics</t>
        </is>
      </c>
      <c r="C178" s="49">
        <f>SUMIFS(JB_26BV,JB_B,1,JB_EX,"P-8a",JB_CC,"Electronics",JB_H,"LPD",JB_CE,"Amphibious Assault Direction System (AADS)",JB_RC,"ALT")</f>
        <v/>
      </c>
      <c r="D178" s="37">
        <f>IFERROR(C178/C$182,0)</f>
        <v/>
      </c>
    </row>
    <row r="179" ht="10" customHeight="1">
      <c r="A179" s="30" t="inlineStr">
        <is>
          <t>DHYSL</t>
        </is>
      </c>
      <c r="B179" s="26" t="inlineStr">
        <is>
          <t>Electronics</t>
        </is>
      </c>
      <c r="C179" s="49">
        <f>SUMIFS(JB_26BV,JB_B,1,JB_EX,"P-8a",JB_CC,"Electronics",JB_H,"LPD",JB_CE,"DHYSL",JB_RC,"ALT")</f>
        <v/>
      </c>
      <c r="D179" s="37">
        <f>IFERROR(C179/C$182,0)</f>
        <v/>
      </c>
    </row>
    <row r="180" ht="10" customHeight="1">
      <c r="A180" s="30" t="inlineStr">
        <is>
          <t>AN/UQN-10</t>
        </is>
      </c>
      <c r="B180" s="26" t="inlineStr">
        <is>
          <t>Electronics</t>
        </is>
      </c>
      <c r="C180" s="49">
        <f>SUMIFS(JB_26BV,JB_B,1,JB_EX,"P-8a",JB_CC,"Electronics",JB_H,"LPD",JB_CE,"AN/UQN-10",JB_RC,"ALT")</f>
        <v/>
      </c>
      <c r="D180" s="37">
        <f>IFERROR(C180/C$182,0)</f>
        <v/>
      </c>
    </row>
    <row r="181" ht="10" customHeight="1">
      <c r="A181" s="30" t="inlineStr">
        <is>
          <t>RADIAC</t>
        </is>
      </c>
      <c r="B181" s="26" t="inlineStr">
        <is>
          <t>Electronics</t>
        </is>
      </c>
      <c r="C181" s="49">
        <f>SUMIFS(JB_26BV,JB_B,1,JB_EX,"P-8a",JB_CC,"Electronics",JB_H,"LPD",JB_CE,"RADIAC",JB_RC,"ALT")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Engineering Services</t>
        </is>
      </c>
      <c r="B192" s="26" t="inlineStr">
        <is>
          <t>Hull, Mechanical, and Electrical</t>
        </is>
      </c>
      <c r="C192" s="49">
        <f>SUMIFS(JB_26BV,JB_B,1,JB_EX,"P-8a",JB_CC,"Hull, Mechanical, and Electrical",JB_H,"T-AO",JB_CE,"Engineering Services",JB_RC,"ALT")</f>
        <v/>
      </c>
      <c r="D192" s="37">
        <f>IFERROR(C192/C$206,0)</f>
        <v/>
      </c>
    </row>
    <row r="193" ht="10" customHeight="1">
      <c r="A193" s="30" t="inlineStr">
        <is>
          <t>Logistics Support Services</t>
        </is>
      </c>
      <c r="B193" s="26" t="inlineStr">
        <is>
          <t>Hull, Mechanical, and Electrical</t>
        </is>
      </c>
      <c r="C193" s="49">
        <f>SUMIFS(JB_26BV,JB_B,1,JB_EX,"P-8a",JB_CC,"Hull, Mechanical, and Electrical",JB_H,"T-AO",JB_CE,"Logistics Support Services",JB_RC,"ALT")</f>
        <v/>
      </c>
      <c r="D193" s="37">
        <f>IFERROR(C193/C$206,0)</f>
        <v/>
      </c>
    </row>
    <row r="194" ht="10" customHeight="1">
      <c r="A194" s="30" t="inlineStr">
        <is>
          <t>Material Handling Equipment</t>
        </is>
      </c>
      <c r="B194" s="26" t="inlineStr">
        <is>
          <t>Hull, Mechanical, and Electrical</t>
        </is>
      </c>
      <c r="C194" s="49">
        <f>SUMIFS(JB_26BV,JB_B,1,JB_EX,"P-8a",JB_CC,"Hull, Mechanical, and Electrical",JB_H,"T-AO",JB_CE,"Material Handling Equipment",JB_RC,"ALT")</f>
        <v/>
      </c>
      <c r="D194" s="37">
        <f>IFERROR(C194/C$206,0)</f>
        <v/>
      </c>
    </row>
    <row r="195" ht="10" customHeight="1">
      <c r="A195" s="30" t="inlineStr">
        <is>
          <t>Improved Point Detection System - Lifecycle Replacement (IPDS-LR)</t>
        </is>
      </c>
      <c r="B195" s="26" t="inlineStr">
        <is>
          <t>Hull, Mechanical, and Electrical</t>
        </is>
      </c>
      <c r="C195" s="49">
        <f>SUMIFS(JB_26BV,JB_B,1,JB_EX,"P-8a",JB_CC,"Hull, Mechanical, and Electrical",JB_H,"T-AO",JB_CE,"Improved Point Detection System - Lifecycle Replacement (IPDS-LR)",JB_RC,"ALT")</f>
        <v/>
      </c>
      <c r="D195" s="37">
        <f>IFERROR(C195/C$206,0)</f>
        <v/>
      </c>
    </row>
    <row r="196" ht="10" customHeight="1">
      <c r="A196" s="30" t="inlineStr">
        <is>
          <t>Shipboard Automated Maintenance Module (SAMM)</t>
        </is>
      </c>
      <c r="B196" s="26" t="inlineStr">
        <is>
          <t>Hull, Mechanical, and Electrical</t>
        </is>
      </c>
      <c r="C196" s="49">
        <f>SUMIFS(JB_26BV,JB_B,1,JB_EX,"P-8a",JB_CC,"Hull, Mechanical, and Electrical",JB_H,"T-AO",JB_CE,"Shipboard Automated Maintenance Module (SAMM)",JB_RC,"ALT")</f>
        <v/>
      </c>
      <c r="D196" s="37">
        <f>IFERROR(C196/C$206,0)</f>
        <v/>
      </c>
    </row>
    <row r="197" ht="10" customHeight="1">
      <c r="A197" s="30" t="inlineStr">
        <is>
          <t>Network Management System (NMS) 2.0/Consolidated Afloat Networks and Enterprise Services (CANES) [T-AO 214]</t>
        </is>
      </c>
      <c r="B197" s="26" t="inlineStr">
        <is>
          <t>Electronics</t>
        </is>
      </c>
      <c r="C197" s="49">
        <f>SUMIFS(JB_26BV,JB_B,1,JB_EX,"P-8a",JB_CC,"Electronics",JB_H,"T-AO",JB_CE,"Network Management System (NMS) 2.0/Consolidated Afloat Networks and Enterprise Services (CANES) [T-AO 214]",JB_RC,"ALT")</f>
        <v/>
      </c>
      <c r="D197" s="37">
        <f>IFERROR(C197/C$206,0)</f>
        <v/>
      </c>
    </row>
    <row r="198" ht="10" customHeight="1">
      <c r="A198" s="30" t="inlineStr">
        <is>
          <t>Minor Systems</t>
        </is>
      </c>
      <c r="B198" s="26" t="inlineStr">
        <is>
          <t>Electronics</t>
        </is>
      </c>
      <c r="C198" s="49">
        <f>SUMIFS(JB_26BV,JB_B,1,JB_EX,"P-8a",JB_CC,"Electronics",JB_H,"T-AO",JB_CE,"Minor Systems",JB_RC,"ALT")</f>
        <v/>
      </c>
      <c r="D198" s="37">
        <f>IFERROR(C198/C$206,0)</f>
        <v/>
      </c>
    </row>
    <row r="199" ht="10" customHeight="1">
      <c r="A199" s="30" t="inlineStr">
        <is>
          <t>Radio Communication System (RCS) TURNKEY</t>
        </is>
      </c>
      <c r="B199" s="26" t="inlineStr">
        <is>
          <t>Electronics</t>
        </is>
      </c>
      <c r="C199" s="49">
        <f>SUMIFS(JB_26BV,JB_B,1,JB_EX,"P-8a",JB_CC,"Electronics",JB_H,"T-AO",JB_CE,"Radio Communication System (RCS) TURNKEY",JB_RC,"ALT")</f>
        <v/>
      </c>
      <c r="D199" s="37">
        <f>IFERROR(C199/C$206,0)</f>
        <v/>
      </c>
    </row>
    <row r="200" ht="10" customHeight="1">
      <c r="A200" s="30" t="inlineStr">
        <is>
          <t>AN/SLQ-25 NIXIE</t>
        </is>
      </c>
      <c r="B200" s="26" t="inlineStr">
        <is>
          <t>Electronics</t>
        </is>
      </c>
      <c r="C200" s="49">
        <f>SUMIFS(JB_26BV,JB_B,1,JB_EX,"P-8a",JB_CC,"Electronics",JB_H,"T-AO",JB_CE,"AN/SLQ-25 NIXIE",JB_RC,"ALT")</f>
        <v/>
      </c>
      <c r="D200" s="37">
        <f>IFERROR(C200/C$206,0)</f>
        <v/>
      </c>
    </row>
    <row r="201" ht="10" customHeight="1">
      <c r="A201" s="30" t="inlineStr">
        <is>
          <t>Digital Modular Radio (DMR)</t>
        </is>
      </c>
      <c r="B201" s="26" t="inlineStr">
        <is>
          <t>Electronics</t>
        </is>
      </c>
      <c r="C201" s="49">
        <f>SUMIFS(JB_26BV,JB_B,1,JB_EX,"P-8a",JB_CC,"Electronics",JB_H,"T-AO",JB_CE,"Digital Modular Radio (DMR)",JB_RC,"ALT")</f>
        <v/>
      </c>
      <c r="D201" s="37">
        <f>IFERROR(C201/C$206,0)</f>
        <v/>
      </c>
    </row>
    <row r="202" ht="10" customHeight="1">
      <c r="A202" s="30" t="inlineStr">
        <is>
          <t>Commercial Broadband Satellite Program (CBSP)</t>
        </is>
      </c>
      <c r="B202" s="26" t="inlineStr">
        <is>
          <t>Electronics</t>
        </is>
      </c>
      <c r="C202" s="49">
        <f>SUMIFS(JB_26BV,JB_B,1,JB_EX,"P-8a",JB_CC,"Electronics",JB_H,"T-AO",JB_CE,"Commercial Broadband Satellite Program (CBSP)",JB_RC,"ALT")</f>
        <v/>
      </c>
      <c r="D202" s="37">
        <f>IFERROR(C202/C$206,0)</f>
        <v/>
      </c>
    </row>
    <row r="203" ht="10" customHeight="1">
      <c r="A203" s="30" t="inlineStr">
        <is>
          <t>OA-9277A</t>
        </is>
      </c>
      <c r="B203" s="26" t="inlineStr">
        <is>
          <t>Electronics</t>
        </is>
      </c>
      <c r="C203" s="49">
        <f>SUMIFS(JB_26BV,JB_B,1,JB_EX,"P-8a",JB_CC,"Electronics",JB_H,"T-AO",JB_CE,"OA-9277A",JB_RC,"ALT")</f>
        <v/>
      </c>
      <c r="D203" s="37">
        <f>IFERROR(C203/C$206,0)</f>
        <v/>
      </c>
    </row>
    <row r="204" ht="10" customHeight="1">
      <c r="A204" s="30" t="inlineStr">
        <is>
          <t>Battle Force Tactical Network (BFTN)/BFTN Resilient Command and Control System Enhancement (BRSE)</t>
        </is>
      </c>
      <c r="B204" s="26" t="inlineStr">
        <is>
          <t>Electronics</t>
        </is>
      </c>
      <c r="C204" s="49">
        <f>SUMIFS(JB_26BV,JB_B,1,JB_EX,"P-8a",JB_CC,"Electronics",JB_H,"T-AO",JB_CE,"Battle Force Tactical Network (BFTN)/BFTN Resilient Command and Control System Enhancement (BRSE)",JB_RC,"ALT")</f>
        <v/>
      </c>
      <c r="D204" s="37">
        <f>IFERROR(C204/C$206,0)</f>
        <v/>
      </c>
    </row>
    <row r="205" ht="10" customHeight="1">
      <c r="A205" s="30" t="inlineStr">
        <is>
          <t>AN/USQ-155 Tactical Variant Switch (TVS)</t>
        </is>
      </c>
      <c r="B205" s="26" t="inlineStr">
        <is>
          <t>Electronics</t>
        </is>
      </c>
      <c r="C205" s="49">
        <f>SUMIFS(JB_26BV,JB_B,1,JB_EX,"P-8a",JB_CC,"Electronics",JB_H,"T-AO",JB_CE,"AN/USQ-155 Tactical Variant Switch (TVS)",JB_RC,"ALT")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Unmanned Surface Vehicles</t>
        </is>
      </c>
      <c r="B34" s="30" t="inlineStr">
        <is>
          <t>USN</t>
        </is>
      </c>
      <c r="C34"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4" s="37">
        <f>IFERROR(C34/C$54,0)</f>
        <v/>
      </c>
    </row>
    <row r="35" ht="10" customHeight="1">
      <c r="A35" s="30" t="inlineStr">
        <is>
          <t>Unmanned Undersea Vehicles</t>
        </is>
      </c>
      <c r="B35" s="30" t="inlineStr">
        <is>
          <t>USN</t>
        </is>
      </c>
      <c r="C3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5" s="37">
        <f>IFERROR(C35/C$54,0)</f>
        <v/>
      </c>
    </row>
    <row r="36" ht="10" customHeight="1">
      <c r="A36" s="30" t="inlineStr">
        <is>
          <t>General Auxiliary</t>
        </is>
      </c>
      <c r="B36" s="30" t="inlineStr">
        <is>
          <t>USN</t>
        </is>
      </c>
      <c r="C36"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6" s="37">
        <f>IFERROR(C36/C$54,0)</f>
        <v/>
      </c>
    </row>
    <row r="37" ht="10" customHeight="1">
      <c r="A37" s="30" t="inlineStr">
        <is>
          <t>Crane Ship</t>
        </is>
      </c>
      <c r="B37" s="30" t="inlineStr">
        <is>
          <t>USN</t>
        </is>
      </c>
      <c r="C37" s="31">
        <f>SUMIFS(JB_26BV,JB_B,2,JB_W,"Crane Ship",JB_RC,"ADD")+SUMIFS(JB_26BV,JB_B,3,JB_W,"Crane Ship",JB_RC,"ADD")+SUMIFS(JB_26BV,JB_B,4,JB_W,"Crane Ship",JB_RC,"ADD")+SUMIFS(JB_26BV,JB_B,5,JB_W,"Crane Ship",JB_RC,"ADD")+SUMIFS(JB_26BV,JB_B,6,JB_W,"Crane Ship",JB_RC,"ADD")+SUMIFS(JB_26BV,JB_B,7,JB_W,"Crane Ship",JB_RC,"ADD")</f>
        <v/>
      </c>
      <c r="D37" s="37">
        <f>IFERROR(C37/C$54,0)</f>
        <v/>
      </c>
    </row>
    <row r="38" ht="10" customHeight="1">
      <c r="A38" s="30" t="inlineStr">
        <is>
          <t>Combat Logistics Ships</t>
        </is>
      </c>
      <c r="B38" s="30" t="inlineStr">
        <is>
          <t>MSC</t>
        </is>
      </c>
      <c r="C38"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8" s="37">
        <f>IFERROR(C38/C$54,0)</f>
        <v/>
      </c>
    </row>
    <row r="39" ht="10" customHeight="1">
      <c r="A39" s="30" t="inlineStr">
        <is>
          <t>Cargo &amp; Vehicle Cargo Ships</t>
        </is>
      </c>
      <c r="B39" s="30" t="inlineStr">
        <is>
          <t>USN</t>
        </is>
      </c>
      <c r="C39"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9" s="37">
        <f>IFERROR(C39/C$54,0)</f>
        <v/>
      </c>
    </row>
    <row r="40" ht="10" customHeight="1">
      <c r="A40" s="30" t="inlineStr">
        <is>
          <t>Salvage Ships &amp; Fleet Ocean Tugs</t>
        </is>
      </c>
      <c r="B40" s="30" t="inlineStr">
        <is>
          <t>MSC</t>
        </is>
      </c>
      <c r="C40"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0" s="37">
        <f>IFERROR(C40/C$54,0)</f>
        <v/>
      </c>
    </row>
    <row r="41" ht="10" customHeight="1">
      <c r="A41" s="30" t="inlineStr">
        <is>
          <t>Hospital Ship</t>
        </is>
      </c>
      <c r="B41" s="30" t="inlineStr">
        <is>
          <t>MSC</t>
        </is>
      </c>
      <c r="C41" s="31">
        <f>SUMIFS(JB_26BV,JB_B,2,JB_W,"Hospital Ship",JB_RC,"ADD")+SUMIFS(JB_26BV,JB_B,3,JB_W,"Hospital Ship",JB_RC,"ADD")+SUMIFS(JB_26BV,JB_B,4,JB_W,"Hospital Ship",JB_RC,"ADD")+SUMIFS(JB_26BV,JB_B,5,JB_W,"Hospital Ship",JB_RC,"ADD")+SUMIFS(JB_26BV,JB_B,6,JB_W,"Hospital Ship",JB_RC,"ADD")+SUMIFS(JB_26BV,JB_B,7,JB_W,"Hospital Ship",JB_RC,"ADD")</f>
        <v/>
      </c>
      <c r="D41" s="37">
        <f>IFERROR(C41/C$54,0)</f>
        <v/>
      </c>
    </row>
    <row r="42" ht="10" customHeight="1">
      <c r="A42" s="30" t="inlineStr">
        <is>
          <t>Aviation Logistics Support Ship</t>
        </is>
      </c>
      <c r="B42" s="30" t="inlineStr">
        <is>
          <t>USN</t>
        </is>
      </c>
      <c r="C42"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2" s="37">
        <f>IFERROR(C42/C$54,0)</f>
        <v/>
      </c>
    </row>
    <row r="43" ht="10" customHeight="1">
      <c r="A43" s="30" t="inlineStr">
        <is>
          <t>Research, Survey &amp; Instrumentation Ships</t>
        </is>
      </c>
      <c r="B43" s="30" t="inlineStr">
        <is>
          <t>MSC</t>
        </is>
      </c>
      <c r="C43"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3" s="37">
        <f>IFERROR(C43/C$54,0)</f>
        <v/>
      </c>
    </row>
    <row r="44" ht="10" customHeight="1">
      <c r="A44" s="30" t="inlineStr">
        <is>
          <t>Material Support Ships</t>
        </is>
      </c>
      <c r="B44" s="30" t="inlineStr">
        <is>
          <t>USN</t>
        </is>
      </c>
      <c r="C44"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4" s="37">
        <f>IFERROR(C44/C$54,0)</f>
        <v/>
      </c>
    </row>
    <row r="45" ht="10" customHeight="1">
      <c r="A45" s="30" t="inlineStr">
        <is>
          <t>Submarine Escort Ship</t>
        </is>
      </c>
      <c r="B45" s="30" t="inlineStr">
        <is>
          <t>USN</t>
        </is>
      </c>
      <c r="C45"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5" s="37">
        <f>IFERROR(C45/C$54,0)</f>
        <v/>
      </c>
    </row>
    <row r="46" ht="10" customHeight="1">
      <c r="A46" s="30" t="inlineStr">
        <is>
          <t>High Speed Transport</t>
        </is>
      </c>
      <c r="B46" s="30" t="inlineStr">
        <is>
          <t>USN</t>
        </is>
      </c>
      <c r="C46"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Coastal Buoy Tenders</t>
        </is>
      </c>
      <c r="B48" s="30" t="inlineStr">
        <is>
          <t>USCG</t>
        </is>
      </c>
      <c r="C48"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8" s="37">
        <f>IFERROR(C48/C$54,0)</f>
        <v/>
      </c>
    </row>
    <row r="49" ht="10" customHeight="1">
      <c r="A49" s="30" t="inlineStr">
        <is>
          <t>Offshore Patrol Cutter</t>
        </is>
      </c>
      <c r="B49" s="30" t="inlineStr">
        <is>
          <t>USCG</t>
        </is>
      </c>
      <c r="C49"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9" s="37">
        <f>IFERROR(C49/C$54,0)</f>
        <v/>
      </c>
    </row>
    <row r="50" ht="10" customHeight="1">
      <c r="A50" s="30" t="inlineStr">
        <is>
          <t>Fast Response Cutters</t>
        </is>
      </c>
      <c r="B50" s="30" t="inlineStr">
        <is>
          <t>USCG</t>
        </is>
      </c>
      <c r="C50"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0" s="37">
        <f>IFERROR(C50/C$54,0)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IFERROR(C51/C$54,0)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IFERROR(C52/C$54,0)</f>
        <v/>
      </c>
    </row>
    <row r="53" ht="10" customHeight="1">
      <c r="A53" s="30" t="inlineStr">
        <is>
          <t>Icebreakers, Great Lakes</t>
        </is>
      </c>
      <c r="B53" s="30" t="inlineStr">
        <is>
          <t>USCG</t>
        </is>
      </c>
      <c r="C53"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Salvage Ships &amp; Fleet Ocean Tugs</t>
        </is>
      </c>
      <c r="B21" s="30" t="inlineStr">
        <is>
          <t>MSC</t>
        </is>
      </c>
      <c r="C21" s="31">
        <f>SUMIFS(JB_26BV,JB_B,2,JB_W,"Salvage Ships &amp; Fleet Ocean Tugs",JB_RC,"ADD")</f>
        <v/>
      </c>
      <c r="D21" s="31">
        <f>SUMIFS(JB_26BV,JB_B,4,JB_W,"Salvage Ships &amp; Fleet Ocean Tugs",JB_RC,"ADD")</f>
        <v/>
      </c>
      <c r="E21" s="31">
        <f>C21+D21</f>
        <v/>
      </c>
      <c r="F21" s="37">
        <f>IFERROR(E21/E$40,0)</f>
        <v/>
      </c>
    </row>
    <row r="22" ht="10" customHeight="1">
      <c r="A22" s="30" t="inlineStr">
        <is>
          <t>Unmanned Surface Vehicles</t>
        </is>
      </c>
      <c r="B22" s="30" t="inlineStr">
        <is>
          <t>USN</t>
        </is>
      </c>
      <c r="C22" s="31">
        <f>SUMIFS(JB_26BV,JB_B,2,JB_W,"Unmanned Surface Vehicles",JB_RC,"ADD")</f>
        <v/>
      </c>
      <c r="D22" s="31">
        <f>SUMIFS(JB_26BV,JB_B,4,JB_W,"Unmanned Surface Vehicles",JB_RC,"ADD")</f>
        <v/>
      </c>
      <c r="E22" s="31">
        <f>C22+D22</f>
        <v/>
      </c>
      <c r="F22" s="37">
        <f>IFERROR(E22/E$40,0)</f>
        <v/>
      </c>
    </row>
    <row r="23" ht="10" customHeight="1">
      <c r="A23" s="30" t="inlineStr">
        <is>
          <t>Hospital Ship</t>
        </is>
      </c>
      <c r="B23" s="30" t="inlineStr">
        <is>
          <t>MSC</t>
        </is>
      </c>
      <c r="C23" s="31">
        <f>SUMIFS(JB_26BV,JB_B,2,JB_W,"Hospital Ship",JB_RC,"ADD")</f>
        <v/>
      </c>
      <c r="D23" s="31">
        <f>SUMIFS(JB_26BV,JB_B,4,JB_W,"Hospital Ship",JB_RC,"ADD")</f>
        <v/>
      </c>
      <c r="E23" s="31">
        <f>C23+D23</f>
        <v/>
      </c>
      <c r="F23" s="37">
        <f>IFERROR(E23/E$40,0)</f>
        <v/>
      </c>
    </row>
    <row r="24" ht="10" customHeight="1">
      <c r="A24" s="30" t="inlineStr">
        <is>
          <t>Aviation Logistics Support Ship</t>
        </is>
      </c>
      <c r="B24" s="30" t="inlineStr">
        <is>
          <t>USN</t>
        </is>
      </c>
      <c r="C24" s="31">
        <f>SUMIFS(JB_26BV,JB_B,2,JB_W,"Aviation Logistics Support Ship",JB_RC,"ADD")</f>
        <v/>
      </c>
      <c r="D24" s="31">
        <f>SUMIFS(JB_26BV,JB_B,4,JB_W,"Aviation Logistics Support Ship",JB_RC,"ADD")</f>
        <v/>
      </c>
      <c r="E24" s="31">
        <f>C24+D24</f>
        <v/>
      </c>
      <c r="F24" s="37">
        <f>IFERROR(E24/E$40,0)</f>
        <v/>
      </c>
    </row>
    <row r="25" ht="10" customHeight="1">
      <c r="A25" s="30" t="inlineStr">
        <is>
          <t>Research, Survey &amp; Instrumentation Ships</t>
        </is>
      </c>
      <c r="B25" s="30" t="inlineStr">
        <is>
          <t>MSC</t>
        </is>
      </c>
      <c r="C25" s="31">
        <f>SUMIFS(JB_26BV,JB_B,2,JB_W,"Research, Survey &amp; Instrumentation Ships",JB_RC,"ADD")</f>
        <v/>
      </c>
      <c r="D25" s="31">
        <f>SUMIFS(JB_26BV,JB_B,4,JB_W,"Research, Survey &amp; Instrumentation Ships",JB_RC,"ADD")</f>
        <v/>
      </c>
      <c r="E25" s="31">
        <f>C25+D25</f>
        <v/>
      </c>
      <c r="F25" s="37">
        <f>IFERROR(E25/E$40,0)</f>
        <v/>
      </c>
    </row>
    <row r="26" ht="10" customHeight="1">
      <c r="A26" s="30" t="inlineStr">
        <is>
          <t>General Auxiliary</t>
        </is>
      </c>
      <c r="B26" s="30" t="inlineStr">
        <is>
          <t>USN</t>
        </is>
      </c>
      <c r="C26" s="31">
        <f>SUMIFS(JB_26BV,JB_B,2,JB_W,"General Auxiliary",JB_RC,"ADD")</f>
        <v/>
      </c>
      <c r="D26" s="31">
        <f>SUMIFS(JB_26BV,JB_B,4,JB_W,"General Auxiliary",JB_RC,"ADD")</f>
        <v/>
      </c>
      <c r="E26" s="31">
        <f>C26+D26</f>
        <v/>
      </c>
      <c r="F26" s="37">
        <f>IFERROR(E26/E$40,0)</f>
        <v/>
      </c>
    </row>
    <row r="27" ht="10" customHeight="1">
      <c r="A27" s="30" t="inlineStr">
        <is>
          <t>Crane Ship</t>
        </is>
      </c>
      <c r="B27" s="30" t="inlineStr">
        <is>
          <t>USN</t>
        </is>
      </c>
      <c r="C27" s="31">
        <f>SUMIFS(JB_26BV,JB_B,2,JB_W,"Crane Ship",JB_RC,"ADD")</f>
        <v/>
      </c>
      <c r="D27" s="31">
        <f>SUMIFS(JB_26BV,JB_B,4,JB_W,"Crane Ship",JB_RC,"ADD")</f>
        <v/>
      </c>
      <c r="E27" s="31">
        <f>C27+D27</f>
        <v/>
      </c>
      <c r="F27" s="37">
        <f>IFERROR(E27/E$40,0)</f>
        <v/>
      </c>
    </row>
    <row r="28" ht="10" customHeight="1">
      <c r="A28" s="30" t="inlineStr">
        <is>
          <t>Material Support Ships</t>
        </is>
      </c>
      <c r="B28" s="30" t="inlineStr">
        <is>
          <t>USN</t>
        </is>
      </c>
      <c r="C28" s="31">
        <f>SUMIFS(JB_26BV,JB_B,2,JB_W,"Material Support Ships",JB_RC,"ADD")</f>
        <v/>
      </c>
      <c r="D28" s="31">
        <f>SUMIFS(JB_26BV,JB_B,4,JB_W,"Material Support Ships",JB_RC,"ADD")</f>
        <v/>
      </c>
      <c r="E28" s="31">
        <f>C28+D28</f>
        <v/>
      </c>
      <c r="F28" s="37">
        <f>IFERROR(E28/E$40,0)</f>
        <v/>
      </c>
    </row>
    <row r="29" ht="10" customHeight="1">
      <c r="A29" s="30" t="inlineStr">
        <is>
          <t>Submarine Escort Ship</t>
        </is>
      </c>
      <c r="B29" s="30" t="inlineStr">
        <is>
          <t>USN</t>
        </is>
      </c>
      <c r="C29" s="31">
        <f>SUMIFS(JB_26BV,JB_B,2,JB_W,"Submarine Escort Ship",JB_RC,"ADD")</f>
        <v/>
      </c>
      <c r="D29" s="31">
        <f>SUMIFS(JB_26BV,JB_B,4,JB_W,"Submarine Escort Ship",JB_RC,"ADD")</f>
        <v/>
      </c>
      <c r="E29" s="31">
        <f>C29+D29</f>
        <v/>
      </c>
      <c r="F29" s="37">
        <f>IFERROR(E29/E$40,0)</f>
        <v/>
      </c>
    </row>
    <row r="30" ht="10" customHeight="1">
      <c r="A30" s="30" t="inlineStr">
        <is>
          <t>Combat Logistics Ships</t>
        </is>
      </c>
      <c r="B30" s="30" t="inlineStr">
        <is>
          <t>MSC</t>
        </is>
      </c>
      <c r="C30" s="31">
        <f>SUMIFS(JB_26BV,JB_B,2,JB_W,"Combat Logistics Ships",JB_RC,"ADD")</f>
        <v/>
      </c>
      <c r="D30" s="31">
        <f>SUMIFS(JB_26BV,JB_B,4,JB_W,"Combat Logistics Ships",JB_RC,"ADD")</f>
        <v/>
      </c>
      <c r="E30" s="31">
        <f>C30+D30</f>
        <v/>
      </c>
      <c r="F30" s="37">
        <f>IFERROR(E30/E$40,0)</f>
        <v/>
      </c>
    </row>
    <row r="31" ht="10" customHeight="1">
      <c r="A31" s="30" t="inlineStr">
        <is>
          <t>Cargo &amp; Vehicle Cargo Ships</t>
        </is>
      </c>
      <c r="B31" s="30" t="inlineStr">
        <is>
          <t>USN</t>
        </is>
      </c>
      <c r="C31" s="31">
        <f>SUMIFS(JB_26BV,JB_B,2,JB_W,"Cargo &amp; Vehicle Cargo Ships",JB_RC,"ADD")</f>
        <v/>
      </c>
      <c r="D31" s="31">
        <f>SUMIFS(JB_26BV,JB_B,4,JB_W,"Cargo &amp; Vehicle Cargo Ships",JB_RC,"ADD")</f>
        <v/>
      </c>
      <c r="E31" s="31">
        <f>C31+D31</f>
        <v/>
      </c>
      <c r="F31" s="37">
        <f>IFERROR(E31/E$40,0)</f>
        <v/>
      </c>
    </row>
    <row r="32" ht="10" customHeight="1">
      <c r="A32" s="30" t="inlineStr">
        <is>
          <t>High Speed Transport</t>
        </is>
      </c>
      <c r="B32" s="30" t="inlineStr">
        <is>
          <t>USN</t>
        </is>
      </c>
      <c r="C32" s="31">
        <f>SUMIFS(JB_26BV,JB_B,2,JB_W,"High Speed Transport",JB_RC,"ADD")</f>
        <v/>
      </c>
      <c r="D32" s="31">
        <f>SUMIFS(JB_26BV,JB_B,4,JB_W,"High Speed Transport",JB_RC,"ADD")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Waterways Commerce Cutters</t>
        </is>
      </c>
      <c r="B34" s="30" t="inlineStr">
        <is>
          <t>USCG</t>
        </is>
      </c>
      <c r="C34" s="31">
        <f>SUMIFS(JB_26BV,JB_B,2,JB_W,"Waterways Commerce Cutters",JB_RC,"ADD")</f>
        <v/>
      </c>
      <c r="D34" s="31">
        <f>SUMIFS(JB_26BV,JB_B,4,JB_W,"Waterways Commerce Cutters",JB_RC,"ADD")</f>
        <v/>
      </c>
      <c r="E34" s="31">
        <f>C34+D34</f>
        <v/>
      </c>
      <c r="F34" s="37">
        <f>IFERROR(E34/E$40,0)</f>
        <v/>
      </c>
    </row>
    <row r="35" ht="10" customHeight="1">
      <c r="A35" s="30" t="inlineStr">
        <is>
          <t>Coastal Buoy Tenders</t>
        </is>
      </c>
      <c r="B35" s="30" t="inlineStr">
        <is>
          <t>USCG</t>
        </is>
      </c>
      <c r="C35" s="31">
        <f>SUMIFS(JB_26BV,JB_B,2,JB_W,"Coastal Buoy Tenders",JB_RC,"ADD")</f>
        <v/>
      </c>
      <c r="D35" s="31">
        <f>SUMIFS(JB_26BV,JB_B,4,JB_W,"Coastal Buoy Tenders",JB_RC,"ADD")</f>
        <v/>
      </c>
      <c r="E35" s="31">
        <f>C35+D35</f>
        <v/>
      </c>
      <c r="F35" s="37">
        <f>IFERROR(E35/E$40,0)</f>
        <v/>
      </c>
    </row>
    <row r="36" ht="10" customHeight="1">
      <c r="A36" s="30" t="inlineStr">
        <is>
          <t>Icebreakers, Oceangoing</t>
        </is>
      </c>
      <c r="B36" s="30" t="inlineStr">
        <is>
          <t>USCG</t>
        </is>
      </c>
      <c r="C36" s="31">
        <f>SUMIFS(JB_26BV,JB_B,2,JB_W,"Icebreakers, Oceangoing",JB_RC,"ADD")</f>
        <v/>
      </c>
      <c r="D36" s="31">
        <f>SUMIFS(JB_26BV,JB_B,4,JB_W,"Icebreakers, Oceangoing",JB_RC,"ADD")</f>
        <v/>
      </c>
      <c r="E36" s="31">
        <f>C36+D36</f>
        <v/>
      </c>
      <c r="F36" s="37">
        <f>IFERROR(E36/E$40,0)</f>
        <v/>
      </c>
    </row>
    <row r="37" ht="10" customHeight="1">
      <c r="A37" s="30" t="inlineStr">
        <is>
          <t>Icebreakers, Great Lakes</t>
        </is>
      </c>
      <c r="B37" s="30" t="inlineStr">
        <is>
          <t>USCG</t>
        </is>
      </c>
      <c r="C37" s="31">
        <f>SUMIFS(JB_26BV,JB_B,2,JB_W,"Icebreakers, Great Lakes",JB_RC,"ADD")</f>
        <v/>
      </c>
      <c r="D37" s="31">
        <f>SUMIFS(JB_26BV,JB_B,4,JB_W,"Icebreakers, Great Lakes",JB_RC,"ADD")</f>
        <v/>
      </c>
      <c r="E37" s="31">
        <f>C37+D37</f>
        <v/>
      </c>
      <c r="F37" s="37">
        <f>IFERROR(E37/E$40,0)</f>
        <v/>
      </c>
    </row>
    <row r="38" ht="10" customHeight="1">
      <c r="A38" s="30" t="inlineStr">
        <is>
          <t>Offshore Patrol Cutter</t>
        </is>
      </c>
      <c r="B38" s="30" t="inlineStr">
        <is>
          <t>USCG</t>
        </is>
      </c>
      <c r="C38" s="31">
        <f>SUMIFS(JB_26BV,JB_B,2,JB_W,"Offshore Patrol Cutter",JB_RC,"ADD")</f>
        <v/>
      </c>
      <c r="D38" s="31">
        <f>SUMIFS(JB_26BV,JB_B,4,JB_W,"Offshore Patrol Cutter",JB_RC,"ADD")</f>
        <v/>
      </c>
      <c r="E38" s="31">
        <f>C38+D38</f>
        <v/>
      </c>
      <c r="F38" s="37">
        <f>IFERROR(E38/E$40,0)</f>
        <v/>
      </c>
    </row>
    <row r="39" ht="10" customHeight="1">
      <c r="A39" s="30" t="inlineStr">
        <is>
          <t>Fast Response Cutters</t>
        </is>
      </c>
      <c r="B39" s="30" t="inlineStr">
        <is>
          <t>USCG</t>
        </is>
      </c>
      <c r="C39" s="31">
        <f>SUMIFS(JB_26BV,JB_B,2,JB_W,"Fast Response Cutters",JB_RC,"ADD")</f>
        <v/>
      </c>
      <c r="D39" s="31">
        <f>SUMIFS(JB_26BV,JB_B,4,JB_W,"Fast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General Auxiliary</t>
        </is>
      </c>
      <c r="B28" s="30" t="inlineStr">
        <is>
          <t>USN</t>
        </is>
      </c>
      <c r="C28" s="31">
        <f>SUMIFS(JB_27BV,JB_B,1,JB_W,"General Auxiliary",JB_RC,"ADD")</f>
        <v/>
      </c>
      <c r="D28" s="37">
        <f>IFERROR(C28/C$44,0)</f>
        <v/>
      </c>
    </row>
    <row r="29" ht="10" customHeight="1">
      <c r="A29" s="30" t="inlineStr">
        <is>
          <t>Mine Warfare</t>
        </is>
      </c>
      <c r="B29" s="30" t="inlineStr">
        <is>
          <t>USN</t>
        </is>
      </c>
      <c r="C29" s="31">
        <f>SUMIFS(JB_27BV,JB_B,1,JB_W,"Mine Warfare",JB_RC,"ADD")</f>
        <v/>
      </c>
      <c r="D29" s="37">
        <f>IFERROR(C29/C$44,0)</f>
        <v/>
      </c>
    </row>
    <row r="30" ht="10" customHeight="1">
      <c r="A30" s="30" t="inlineStr">
        <is>
          <t>Crane Ship</t>
        </is>
      </c>
      <c r="B30" s="30" t="inlineStr">
        <is>
          <t>USN</t>
        </is>
      </c>
      <c r="C30" s="31">
        <f>SUMIFS(JB_27BV,JB_B,1,JB_W,"Crane Ship",JB_RC,"ADD")</f>
        <v/>
      </c>
      <c r="D30" s="37">
        <f>IFERROR(C30/C$44,0)</f>
        <v/>
      </c>
    </row>
    <row r="31" ht="10" customHeight="1">
      <c r="A31" s="30" t="inlineStr">
        <is>
          <t>Command Ships</t>
        </is>
      </c>
      <c r="B31" s="30" t="inlineStr">
        <is>
          <t>USN</t>
        </is>
      </c>
      <c r="C31" s="31">
        <f>SUMIFS(JB_27BV,JB_B,1,JB_W,"Command Ships",JB_RC,"ADD")</f>
        <v/>
      </c>
      <c r="D31" s="37">
        <f>IFERROR(C31/C$44,0)</f>
        <v/>
      </c>
    </row>
    <row r="32" ht="10" customHeight="1">
      <c r="A32" s="30" t="inlineStr">
        <is>
          <t>Salvage Ships &amp; Fleet Ocean Tugs</t>
        </is>
      </c>
      <c r="B32" s="30" t="inlineStr">
        <is>
          <t>MSC</t>
        </is>
      </c>
      <c r="C32" s="31">
        <f>SUMIFS(JB_27BV,JB_B,1,JB_W,"Salvage Ships &amp; Fleet Ocean Tugs",JB_RC,"ADD")</f>
        <v/>
      </c>
      <c r="D32" s="37">
        <f>IFERROR(C32/C$44,0)</f>
        <v/>
      </c>
    </row>
    <row r="33" ht="10" customHeight="1">
      <c r="A33" s="30" t="inlineStr">
        <is>
          <t>Aviation Logistics Support Ship</t>
        </is>
      </c>
      <c r="B33" s="30" t="inlineStr">
        <is>
          <t>USN</t>
        </is>
      </c>
      <c r="C33" s="31">
        <f>SUMIFS(JB_27BV,JB_B,1,JB_W,"Aviation Logistics Support Ship",JB_RC,"ADD")</f>
        <v/>
      </c>
      <c r="D33" s="37">
        <f>IFERROR(C33/C$44,0)</f>
        <v/>
      </c>
    </row>
    <row r="34" ht="10" customHeight="1">
      <c r="A34" s="30" t="inlineStr">
        <is>
          <t>Research, Survey &amp; Instrumentation Ships</t>
        </is>
      </c>
      <c r="B34" s="30" t="inlineStr">
        <is>
          <t>MSC</t>
        </is>
      </c>
      <c r="C34" s="31">
        <f>SUMIFS(JB_27BV,JB_B,1,JB_W,"Research, Survey &amp; Instrumentation Ships",JB_RC,"ADD")</f>
        <v/>
      </c>
      <c r="D34" s="37">
        <f>IFERROR(C34/C$44,0)</f>
        <v/>
      </c>
    </row>
    <row r="35" ht="10" customHeight="1">
      <c r="A35" s="30" t="inlineStr">
        <is>
          <t>Submarine Escort Ship</t>
        </is>
      </c>
      <c r="B35" s="30" t="inlineStr">
        <is>
          <t>USN</t>
        </is>
      </c>
      <c r="C35" s="31">
        <f>SUMIFS(JB_27BV,JB_B,1,JB_W,"Submarine Escort Ship",JB_RC,"ADD")</f>
        <v/>
      </c>
      <c r="D35" s="37">
        <f>IFERROR(C35/C$44,0)</f>
        <v/>
      </c>
    </row>
    <row r="36" ht="10" customHeight="1">
      <c r="A36" s="30" t="inlineStr">
        <is>
          <t>High Speed Transport</t>
        </is>
      </c>
      <c r="B36" s="30" t="inlineStr">
        <is>
          <t>USN</t>
        </is>
      </c>
      <c r="C36" s="31">
        <f>SUMIFS(JB_27BV,JB_B,1,JB_W,"High Speed Transport",JB_RC,"ADD")</f>
        <v/>
      </c>
      <c r="D36" s="37">
        <f>IFERROR(C36/C$44,0)</f>
        <v/>
      </c>
    </row>
    <row r="37" ht="10" customHeight="1">
      <c r="A37" s="30" t="inlineStr">
        <is>
          <t>Coastal Buoy Tenders</t>
        </is>
      </c>
      <c r="B37" s="30" t="inlineStr">
        <is>
          <t>USCG</t>
        </is>
      </c>
      <c r="C37" s="31">
        <f>SUMIFS(JB_27BV,JB_B,1,JB_W,"Coastal Buoy Tenders",JB_RC,"ADD")</f>
        <v/>
      </c>
      <c r="D37" s="37">
        <f>IFERROR(C37/C$44,0)</f>
        <v/>
      </c>
    </row>
    <row r="38" ht="10" customHeight="1">
      <c r="A38" s="30" t="inlineStr">
        <is>
          <t>Offshore Patrol Cutter</t>
        </is>
      </c>
      <c r="B38" s="30" t="inlineStr">
        <is>
          <t>USCG</t>
        </is>
      </c>
      <c r="C38" s="31">
        <f>SUMIFS(JB_27BV,JB_B,1,JB_W,"Offshore Patrol Cutter",JB_RC,"ADD")</f>
        <v/>
      </c>
      <c r="D38" s="37">
        <f>IFERROR(C38/C$44,0)</f>
        <v/>
      </c>
    </row>
    <row r="39" ht="10" customHeight="1">
      <c r="A39" s="30" t="inlineStr">
        <is>
          <t>Fast Response Cutters</t>
        </is>
      </c>
      <c r="B39" s="30" t="inlineStr">
        <is>
          <t>USCG</t>
        </is>
      </c>
      <c r="C39" s="31">
        <f>SUMIFS(JB_27BV,JB_B,1,JB_W,"Fast Response Cutters",JB_RC,"ADD")</f>
        <v/>
      </c>
      <c r="D39" s="37">
        <f>IFERROR(C39/C$44,0)</f>
        <v/>
      </c>
    </row>
    <row r="40" ht="10" customHeight="1">
      <c r="A40" s="30" t="inlineStr">
        <is>
          <t>Waterways Commerce Cutters</t>
        </is>
      </c>
      <c r="B40" s="30" t="inlineStr">
        <is>
          <t>USCG</t>
        </is>
      </c>
      <c r="C40" s="31">
        <f>SUMIFS(JB_27BV,JB_B,1,JB_W,"Waterways Commerce Cutters",JB_RC,"ADD")</f>
        <v/>
      </c>
      <c r="D40" s="37">
        <f>IFERROR(C40/C$44,0)</f>
        <v/>
      </c>
    </row>
    <row r="41" ht="10" customHeight="1">
      <c r="A41" s="30" t="inlineStr">
        <is>
          <t>Icebreakers, Oceangoing</t>
        </is>
      </c>
      <c r="B41" s="30" t="inlineStr">
        <is>
          <t>USCG</t>
        </is>
      </c>
      <c r="C41" s="31">
        <f>SUMIFS(JB_27BV,JB_B,1,JB_W,"Icebreakers, Oceangoing",JB_RC,"ADD")</f>
        <v/>
      </c>
      <c r="D41" s="37">
        <f>IFERROR(C41/C$44,0)</f>
        <v/>
      </c>
    </row>
    <row r="42" ht="10" customHeight="1">
      <c r="A42" s="30" t="inlineStr">
        <is>
          <t>Icebreakers, Great Lakes</t>
        </is>
      </c>
      <c r="B42" s="30" t="inlineStr">
        <is>
          <t>USCG</t>
        </is>
      </c>
      <c r="C42" s="31">
        <f>SUMIFS(JB_27BV,JB_B,1,JB_W,"Icebreakers, Great Lakes",JB_RC,"ADD")</f>
        <v/>
      </c>
      <c r="D42" s="37">
        <f>IFERROR(C42/C$44,0)</f>
        <v/>
      </c>
    </row>
    <row r="43" ht="10" customHeight="1">
      <c r="A43" s="30" t="inlineStr">
        <is>
          <t>National Security Cutters</t>
        </is>
      </c>
      <c r="B43" s="30" t="inlineStr">
        <is>
          <t>USCG</t>
        </is>
      </c>
      <c r="C43" s="31">
        <f>SUMIFS(JB_27BV,JB_B,1,JB_W,"National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H42"/>
  <sheetViews>
    <sheetView showGridLines="0" workbookViewId="0">
      <selection activeCell="A1" sqref="A1"/>
    </sheetView>
  </sheetViews>
  <sheetFormatPr baseColWidth="8" defaultRowHeight="15"/>
  <cols>
    <col width="30" customWidth="1" min="1" max="1"/>
    <col width="8" customWidth="1" min="2" max="2"/>
    <col width="12" customWidth="1" min="3" max="3"/>
    <col width="12" customWidth="1" min="4" max="4"/>
    <col width="12" customWidth="1" min="5" max="5"/>
    <col width="12" customWidth="1" min="6" max="6"/>
    <col width="12" customWidth="1" min="7" max="7"/>
    <col width="10" customWidth="1" min="8" max="8"/>
  </cols>
  <sheetData>
    <row r="1" ht="10" customHeight="1">
      <c r="A1" s="24" t="inlineStr">
        <is>
          <t>Newbuild SAM — FY2027 ($K)</t>
        </is>
      </c>
      <c r="B1" s="25" t="n"/>
      <c r="C1" s="25" t="n"/>
      <c r="D1" s="25" t="n"/>
      <c r="E1" s="25" t="n"/>
      <c r="F1" s="25" t="n"/>
      <c r="G1" s="25" t="n"/>
      <c r="H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Service</t>
        </is>
      </c>
      <c r="C28" s="29" t="inlineStr">
        <is>
          <t>DD&amp;C</t>
        </is>
      </c>
      <c r="D28" s="29" t="inlineStr">
        <is>
          <t>AP/LLTM</t>
        </is>
      </c>
      <c r="E28" s="29" t="inlineStr">
        <is>
          <t>RCOH</t>
        </is>
      </c>
      <c r="F28" s="29" t="inlineStr">
        <is>
          <t>SLEP</t>
        </is>
      </c>
      <c r="G28" s="29" t="inlineStr">
        <is>
          <t>Total</t>
        </is>
      </c>
      <c r="H28" s="29" t="inlineStr">
        <is>
          <t>% of Total</t>
        </is>
      </c>
    </row>
    <row r="29" ht="10" customHeight="1">
      <c r="A29" s="30" t="inlineStr">
        <is>
          <t>AS (Material Support Ships)</t>
        </is>
      </c>
      <c r="B29" s="30" t="inlineStr">
        <is>
          <t>USN</t>
        </is>
      </c>
      <c r="C29" s="31">
        <f>SUMIFS(JB_27BV,JB_B,1,JB_H,"AS",JB_F,"Full ship DD&amp;C",JB_RC,"ADD")+SUMIFS(JB_27BV,JB_B,1,JB_H,"AS",JB_F,"Full ship DD&amp;C / LLTM",JB_RC,"ADD")+SUMIFS(JB_27BV,JB_B,1,JB_H,"AS",JB_F,"Full vessel procurement",JB_RC,"ADD")</f>
        <v/>
      </c>
      <c r="D29" s="31">
        <f>SUMIFS(JB_27BV,JB_B,1,JB_H,"AS",JB_F,"Advance procurement / LLTM",JB_RC,"ADD")</f>
        <v/>
      </c>
      <c r="E29" s="31">
        <f>SUMIFS(JB_27BV,JB_B,1,JB_H,"AS",JB_F,"RCOH",JB_RC,"ADD")</f>
        <v/>
      </c>
      <c r="F29" s="31">
        <f>SUMIFS(JB_27BV,JB_B,1,JB_H,"AS",JB_F,"SLEP",JB_RC,"ADD")</f>
        <v/>
      </c>
      <c r="G29" s="31">
        <f>SUMIFS(JB_27BV,JB_B,1,JB_H,"AS",JB_RC,"ADD")</f>
        <v/>
      </c>
      <c r="H29" s="37">
        <f>IFERROR(G29/G$40,0)</f>
        <v/>
      </c>
    </row>
    <row r="30" ht="10" customHeight="1">
      <c r="A30" s="30" t="inlineStr">
        <is>
          <t>LHA (Amphibious Warfare Ships)</t>
        </is>
      </c>
      <c r="B30" s="30" t="inlineStr">
        <is>
          <t>USN</t>
        </is>
      </c>
      <c r="C30" s="31">
        <f>SUMIFS(JB_27BV,JB_B,1,JB_H,"LHA",JB_F,"Full ship DD&amp;C",JB_RC,"ADD")+SUMIFS(JB_27BV,JB_B,1,JB_H,"LHA",JB_F,"Full ship DD&amp;C / LLTM",JB_RC,"ADD")+SUMIFS(JB_27BV,JB_B,1,JB_H,"LHA",JB_F,"Full vessel procurement",JB_RC,"ADD")</f>
        <v/>
      </c>
      <c r="D30" s="31">
        <f>SUMIFS(JB_27BV,JB_B,1,JB_H,"LHA",JB_F,"Advance procurement / LLTM",JB_RC,"ADD")</f>
        <v/>
      </c>
      <c r="E30" s="31">
        <f>SUMIFS(JB_27BV,JB_B,1,JB_H,"LHA",JB_F,"RCOH",JB_RC,"ADD")</f>
        <v/>
      </c>
      <c r="F30" s="31">
        <f>SUMIFS(JB_27BV,JB_B,1,JB_H,"LHA",JB_F,"SLEP",JB_RC,"ADD")</f>
        <v/>
      </c>
      <c r="G30" s="31">
        <f>SUMIFS(JB_27BV,JB_B,1,JB_H,"LHA",JB_RC,"ADD")</f>
        <v/>
      </c>
      <c r="H30" s="37">
        <f>IFERROR(G30/G$40,0)</f>
        <v/>
      </c>
    </row>
    <row r="31" ht="10" customHeight="1">
      <c r="A31" s="30" t="inlineStr">
        <is>
          <t>DDG (Surface Combatants)</t>
        </is>
      </c>
      <c r="B31" s="30" t="inlineStr">
        <is>
          <t>USN</t>
        </is>
      </c>
      <c r="C31" s="31">
        <f>SUMIFS(JB_27BV,JB_B,1,JB_H,"DDG",JB_F,"Full ship DD&amp;C",JB_RC,"ADD")+SUMIFS(JB_27BV,JB_B,1,JB_H,"DDG",JB_F,"Full ship DD&amp;C / LLTM",JB_RC,"ADD")+SUMIFS(JB_27BV,JB_B,1,JB_H,"DDG",JB_F,"Full vessel procurement",JB_RC,"ADD")</f>
        <v/>
      </c>
      <c r="D31" s="31">
        <f>SUMIFS(JB_27BV,JB_B,1,JB_H,"DDG",JB_F,"Advance procurement / LLTM",JB_RC,"ADD")</f>
        <v/>
      </c>
      <c r="E31" s="31">
        <f>SUMIFS(JB_27BV,JB_B,1,JB_H,"DDG",JB_F,"RCOH",JB_RC,"ADD")</f>
        <v/>
      </c>
      <c r="F31" s="31">
        <f>SUMIFS(JB_27BV,JB_B,1,JB_H,"DDG",JB_F,"SLEP",JB_RC,"ADD")</f>
        <v/>
      </c>
      <c r="G31" s="31">
        <f>SUMIFS(JB_27BV,JB_B,1,JB_H,"DDG",JB_RC,"ADD")</f>
        <v/>
      </c>
      <c r="H31" s="37">
        <f>IFERROR(G31/G$40,0)</f>
        <v/>
      </c>
    </row>
    <row r="32" ht="10" customHeight="1">
      <c r="A32" s="30" t="inlineStr">
        <is>
          <t>LPD (Amphibious Warfare Ships)</t>
        </is>
      </c>
      <c r="B32" s="30" t="inlineStr">
        <is>
          <t>USN</t>
        </is>
      </c>
      <c r="C32" s="31">
        <f>SUMIFS(JB_27BV,JB_B,1,JB_H,"LPD",JB_F,"Full ship DD&amp;C",JB_RC,"ADD")+SUMIFS(JB_27BV,JB_B,1,JB_H,"LPD",JB_F,"Full ship DD&amp;C / LLTM",JB_RC,"ADD")+SUMIFS(JB_27BV,JB_B,1,JB_H,"LPD",JB_F,"Full vessel procurement",JB_RC,"ADD")</f>
        <v/>
      </c>
      <c r="D32" s="31">
        <f>SUMIFS(JB_27BV,JB_B,1,JB_H,"LPD",JB_F,"Advance procurement / LLTM",JB_RC,"ADD")</f>
        <v/>
      </c>
      <c r="E32" s="31">
        <f>SUMIFS(JB_27BV,JB_B,1,JB_H,"LPD",JB_F,"RCOH",JB_RC,"ADD")</f>
        <v/>
      </c>
      <c r="F32" s="31">
        <f>SUMIFS(JB_27BV,JB_B,1,JB_H,"LPD",JB_F,"SLEP",JB_RC,"ADD")</f>
        <v/>
      </c>
      <c r="G32" s="31">
        <f>SUMIFS(JB_27BV,JB_B,1,JB_H,"LPD",JB_RC,"ADD")</f>
        <v/>
      </c>
      <c r="H32" s="37">
        <f>IFERROR(G32/G$40,0)</f>
        <v/>
      </c>
    </row>
    <row r="33" ht="10" customHeight="1">
      <c r="A33" s="30" t="inlineStr">
        <is>
          <t>T-AO (Combat Logistics Ships)</t>
        </is>
      </c>
      <c r="B33" s="30" t="inlineStr">
        <is>
          <t>MSC</t>
        </is>
      </c>
      <c r="C33" s="31">
        <f>SUMIFS(JB_27BV,JB_B,1,JB_H,"T-AO",JB_F,"Full ship DD&amp;C",JB_RC,"ADD")+SUMIFS(JB_27BV,JB_B,1,JB_H,"T-AO",JB_F,"Full ship DD&amp;C / LLTM",JB_RC,"ADD")+SUMIFS(JB_27BV,JB_B,1,JB_H,"T-AO",JB_F,"Full vessel procurement",JB_RC,"ADD")</f>
        <v/>
      </c>
      <c r="D33" s="31">
        <f>SUMIFS(JB_27BV,JB_B,1,JB_H,"T-AO",JB_F,"Advance procurement / LLTM",JB_RC,"ADD")</f>
        <v/>
      </c>
      <c r="E33" s="31">
        <f>SUMIFS(JB_27BV,JB_B,1,JB_H,"T-AO",JB_F,"RCOH",JB_RC,"ADD")</f>
        <v/>
      </c>
      <c r="F33" s="31">
        <f>SUMIFS(JB_27BV,JB_B,1,JB_H,"T-AO",JB_F,"SLEP",JB_RC,"ADD")</f>
        <v/>
      </c>
      <c r="G33" s="31">
        <f>SUMIFS(JB_27BV,JB_B,1,JB_H,"T-AO",JB_RC,"ADD")</f>
        <v/>
      </c>
      <c r="H33" s="37">
        <f>IFERROR(G33/G$40,0)</f>
        <v/>
      </c>
    </row>
    <row r="34" ht="10" customHeight="1">
      <c r="A34" s="30" t="inlineStr">
        <is>
          <t>LSM (Expeditionary &amp; Seabasing Ships)</t>
        </is>
      </c>
      <c r="B34" s="30" t="inlineStr">
        <is>
          <t>USN</t>
        </is>
      </c>
      <c r="C34" s="31">
        <f>SUMIFS(JB_27BV,JB_B,1,JB_H,"LSM",JB_F,"Full ship DD&amp;C",JB_RC,"ADD")+SUMIFS(JB_27BV,JB_B,1,JB_H,"LSM",JB_F,"Full ship DD&amp;C / LLTM",JB_RC,"ADD")+SUMIFS(JB_27BV,JB_B,1,JB_H,"LSM",JB_F,"Full vessel procurement",JB_RC,"ADD")</f>
        <v/>
      </c>
      <c r="D34" s="31">
        <f>SUMIFS(JB_27BV,JB_B,1,JB_H,"LSM",JB_F,"Advance procurement / LLTM",JB_RC,"ADD")</f>
        <v/>
      </c>
      <c r="E34" s="31">
        <f>SUMIFS(JB_27BV,JB_B,1,JB_H,"LSM",JB_F,"RCOH",JB_RC,"ADD")</f>
        <v/>
      </c>
      <c r="F34" s="31">
        <f>SUMIFS(JB_27BV,JB_B,1,JB_H,"LSM",JB_F,"SLEP",JB_RC,"ADD")</f>
        <v/>
      </c>
      <c r="G34" s="31">
        <f>SUMIFS(JB_27BV,JB_B,1,JB_H,"LSM",JB_RC,"ADD")</f>
        <v/>
      </c>
      <c r="H34" s="37">
        <f>IFERROR(G34/G$40,0)</f>
        <v/>
      </c>
    </row>
    <row r="35" ht="10" customHeight="1">
      <c r="A35" s="30" t="inlineStr">
        <is>
          <t>FFG (Surface Combatants)</t>
        </is>
      </c>
      <c r="B35" s="30" t="inlineStr">
        <is>
          <t>USN</t>
        </is>
      </c>
      <c r="C35" s="31">
        <f>SUMIFS(JB_27BV,JB_B,1,JB_H,"FFG",JB_F,"Full ship DD&amp;C",JB_RC,"ADD")+SUMIFS(JB_27BV,JB_B,1,JB_H,"FFG",JB_F,"Full ship DD&amp;C / LLTM",JB_RC,"ADD")+SUMIFS(JB_27BV,JB_B,1,JB_H,"FFG",JB_F,"Full vessel procurement",JB_RC,"ADD")</f>
        <v/>
      </c>
      <c r="D35" s="31">
        <f>SUMIFS(JB_27BV,JB_B,1,JB_H,"FFG",JB_F,"Advance procurement / LLTM",JB_RC,"ADD")</f>
        <v/>
      </c>
      <c r="E35" s="31">
        <f>SUMIFS(JB_27BV,JB_B,1,JB_H,"FFG",JB_F,"RCOH",JB_RC,"ADD")</f>
        <v/>
      </c>
      <c r="F35" s="31">
        <f>SUMIFS(JB_27BV,JB_B,1,JB_H,"FFG",JB_F,"SLEP",JB_RC,"ADD")</f>
        <v/>
      </c>
      <c r="G35" s="31">
        <f>SUMIFS(JB_27BV,JB_B,1,JB_H,"FFG",JB_RC,"ADD")</f>
        <v/>
      </c>
      <c r="H35" s="37">
        <f>IFERROR(G35/G$40,0)</f>
        <v/>
      </c>
    </row>
    <row r="36" ht="10" customHeight="1">
      <c r="A36" s="30" t="inlineStr">
        <is>
          <t>T-AGOS (Surveillance Ships)</t>
        </is>
      </c>
      <c r="B36" s="30" t="inlineStr">
        <is>
          <t>MSC</t>
        </is>
      </c>
      <c r="C36" s="31">
        <f>SUMIFS(JB_27BV,JB_B,1,JB_H,"T-AGOS",JB_F,"Full ship DD&amp;C",JB_RC,"ADD")+SUMIFS(JB_27BV,JB_B,1,JB_H,"T-AGOS",JB_F,"Full ship DD&amp;C / LLTM",JB_RC,"ADD")+SUMIFS(JB_27BV,JB_B,1,JB_H,"T-AGOS",JB_F,"Full vessel procurement",JB_RC,"ADD")</f>
        <v/>
      </c>
      <c r="D36" s="31">
        <f>SUMIFS(JB_27BV,JB_B,1,JB_H,"T-AGOS",JB_F,"Advance procurement / LLTM",JB_RC,"ADD")</f>
        <v/>
      </c>
      <c r="E36" s="31">
        <f>SUMIFS(JB_27BV,JB_B,1,JB_H,"T-AGOS",JB_F,"RCOH",JB_RC,"ADD")</f>
        <v/>
      </c>
      <c r="F36" s="31">
        <f>SUMIFS(JB_27BV,JB_B,1,JB_H,"T-AGOS",JB_F,"SLEP",JB_RC,"ADD")</f>
        <v/>
      </c>
      <c r="G36" s="31">
        <f>SUMIFS(JB_27BV,JB_B,1,JB_H,"T-AGOS",JB_RC,"ADD")</f>
        <v/>
      </c>
      <c r="H36" s="37">
        <f>IFERROR(G36/G$40,0)</f>
        <v/>
      </c>
    </row>
    <row r="37" ht="10" customHeight="1">
      <c r="A37" s="30" t="inlineStr">
        <is>
          <t>T-AH (Hospital Ship)</t>
        </is>
      </c>
      <c r="B37" s="30" t="inlineStr">
        <is>
          <t>MSC</t>
        </is>
      </c>
      <c r="C37" s="31">
        <f>SUMIFS(JB_27BV,JB_B,1,JB_H,"T-AH",JB_F,"Full ship DD&amp;C",JB_RC,"ADD")+SUMIFS(JB_27BV,JB_B,1,JB_H,"T-AH",JB_F,"Full ship DD&amp;C / LLTM",JB_RC,"ADD")+SUMIFS(JB_27BV,JB_B,1,JB_H,"T-AH",JB_F,"Full vessel procurement",JB_RC,"ADD")</f>
        <v/>
      </c>
      <c r="D37" s="31">
        <f>SUMIFS(JB_27BV,JB_B,1,JB_H,"T-AH",JB_F,"Advance procurement / LLTM",JB_RC,"ADD")</f>
        <v/>
      </c>
      <c r="E37" s="31">
        <f>SUMIFS(JB_27BV,JB_B,1,JB_H,"T-AH",JB_F,"RCOH",JB_RC,"ADD")</f>
        <v/>
      </c>
      <c r="F37" s="31">
        <f>SUMIFS(JB_27BV,JB_B,1,JB_H,"T-AH",JB_F,"SLEP",JB_RC,"ADD")</f>
        <v/>
      </c>
      <c r="G37" s="31">
        <f>SUMIFS(JB_27BV,JB_B,1,JB_H,"T-AH",JB_RC,"ADD")</f>
        <v/>
      </c>
      <c r="H37" s="37">
        <f>IFERROR(G37/G$40,0)</f>
        <v/>
      </c>
    </row>
    <row r="38" ht="10" customHeight="1">
      <c r="A38" s="30" t="inlineStr">
        <is>
          <t>T-AKR (Cargo &amp; Vehicle Cargo Ships)</t>
        </is>
      </c>
      <c r="B38" s="30" t="inlineStr">
        <is>
          <t>MSC</t>
        </is>
      </c>
      <c r="C38" s="31">
        <f>SUMIFS(JB_27BV,JB_B,1,JB_H,"T-AKR",JB_F,"Full ship DD&amp;C",JB_RC,"ADD")+SUMIFS(JB_27BV,JB_B,1,JB_H,"T-AKR",JB_F,"Full ship DD&amp;C / LLTM",JB_RC,"ADD")+SUMIFS(JB_27BV,JB_B,1,JB_H,"T-AKR",JB_F,"Full vessel procurement",JB_RC,"ADD")</f>
        <v/>
      </c>
      <c r="D38" s="31">
        <f>SUMIFS(JB_27BV,JB_B,1,JB_H,"T-AKR",JB_F,"Advance procurement / LLTM",JB_RC,"ADD")</f>
        <v/>
      </c>
      <c r="E38" s="31">
        <f>SUMIFS(JB_27BV,JB_B,1,JB_H,"T-AKR",JB_F,"RCOH",JB_RC,"ADD")</f>
        <v/>
      </c>
      <c r="F38" s="31">
        <f>SUMIFS(JB_27BV,JB_B,1,JB_H,"T-AKR",JB_F,"SLEP",JB_RC,"ADD")</f>
        <v/>
      </c>
      <c r="G38" s="31">
        <f>SUMIFS(JB_27BV,JB_B,1,JB_H,"T-AKR",JB_RC,"ADD")</f>
        <v/>
      </c>
      <c r="H38" s="37">
        <f>IFERROR(G38/G$40,0)</f>
        <v/>
      </c>
    </row>
    <row r="39" ht="10" customHeight="1">
      <c r="A39" s="30" t="inlineStr">
        <is>
          <t>MUSV (Unmanned Surface Vehicles)</t>
        </is>
      </c>
      <c r="B39" s="30" t="inlineStr">
        <is>
          <t>USN</t>
        </is>
      </c>
      <c r="C39" s="31">
        <f>SUMIFS(JB_27BV,JB_B,1,JB_H,"MUSV",JB_F,"Full ship DD&amp;C",JB_RC,"ADD")+SUMIFS(JB_27BV,JB_B,1,JB_H,"MUSV",JB_F,"Full ship DD&amp;C / LLTM",JB_RC,"ADD")+SUMIFS(JB_27BV,JB_B,1,JB_H,"MUSV",JB_F,"Full vessel procurement",JB_RC,"ADD")</f>
        <v/>
      </c>
      <c r="D39" s="31">
        <f>SUMIFS(JB_27BV,JB_B,1,JB_H,"MUSV",JB_F,"Advance procurement / LLTM",JB_RC,"ADD")</f>
        <v/>
      </c>
      <c r="E39" s="31">
        <f>SUMIFS(JB_27BV,JB_B,1,JB_H,"MUSV",JB_F,"RCOH",JB_RC,"ADD")</f>
        <v/>
      </c>
      <c r="F39" s="31">
        <f>SUMIFS(JB_27BV,JB_B,1,JB_H,"MUSV",JB_F,"SLEP",JB_RC,"ADD")</f>
        <v/>
      </c>
      <c r="G39" s="31">
        <f>SUMIFS(JB_27BV,JB_B,1,JB_H,"MUSV",JB_RC,"ADD")</f>
        <v/>
      </c>
      <c r="H39" s="37">
        <f>IFERROR(G39/G$40,0)</f>
        <v/>
      </c>
    </row>
    <row r="40" ht="10" customHeight="1">
      <c r="A40" s="32" t="inlineStr">
        <is>
          <t>Newbuild SAM (all programs)</t>
        </is>
      </c>
      <c r="B40" s="32" t="inlineStr"/>
      <c r="C40" s="33">
        <f>SUM(C29:C39)</f>
        <v/>
      </c>
      <c r="D40" s="33">
        <f>SUM(D29:D39)</f>
        <v/>
      </c>
      <c r="E40" s="33">
        <f>SUM(E29:E39)</f>
        <v/>
      </c>
      <c r="F40" s="33">
        <f>SUM(F29:F39)</f>
        <v/>
      </c>
      <c r="G40" s="33">
        <f>SUM(G29:G39)</f>
        <v/>
      </c>
      <c r="H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Unmanned Surface Vehicles</t>
        </is>
      </c>
      <c r="B31" s="30" t="inlineStr">
        <is>
          <t>USN</t>
        </is>
      </c>
      <c r="C31"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1" s="37">
        <f>IFERROR(C31/C$52,0)</f>
        <v/>
      </c>
    </row>
    <row r="32" ht="10" customHeight="1">
      <c r="A32" s="30" t="inlineStr">
        <is>
          <t>Unmanned Undersea Vehicles</t>
        </is>
      </c>
      <c r="B32" s="30" t="inlineStr">
        <is>
          <t>USN</t>
        </is>
      </c>
      <c r="C32"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2" s="37">
        <f>IFERROR(C32/C$52,0)</f>
        <v/>
      </c>
    </row>
    <row r="33" ht="10" customHeight="1">
      <c r="A33" s="30" t="inlineStr">
        <is>
          <t>General Auxiliary</t>
        </is>
      </c>
      <c r="B33" s="30" t="inlineStr">
        <is>
          <t>USN</t>
        </is>
      </c>
      <c r="C33"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3" s="37">
        <f>IFERROR(C33/C$52,0)</f>
        <v/>
      </c>
    </row>
    <row r="34" ht="10" customHeight="1">
      <c r="A34" s="30" t="inlineStr">
        <is>
          <t>Mine Warfare</t>
        </is>
      </c>
      <c r="B34" s="30" t="inlineStr">
        <is>
          <t>USN</t>
        </is>
      </c>
      <c r="C34" s="31">
        <f>SUMIFS(JB_27BV,JB_B,2,JB_W,"Mine Warfare",JB_RC,"ADD")+SUMIFS(JB_27BV,JB_B,3,JB_W,"Mine Warfare",JB_RC,"ADD")+SUMIFS(JB_27BV,JB_B,4,JB_W,"Mine Warfare",JB_RC,"ADD")+SUMIFS(JB_27BV,JB_B,5,JB_W,"Mine Warfare",JB_RC,"ADD")+SUMIFS(JB_27BV,JB_B,6,JB_W,"Mine Warfare",JB_RC,"ADD")+SUMIFS(JB_27BV,JB_B,7,JB_W,"Mine Warfare",JB_RC,"ADD")</f>
        <v/>
      </c>
      <c r="D34" s="37">
        <f>IFERROR(C34/C$52,0)</f>
        <v/>
      </c>
    </row>
    <row r="35" ht="10" customHeight="1">
      <c r="A35" s="30" t="inlineStr">
        <is>
          <t>Crane Ship</t>
        </is>
      </c>
      <c r="B35" s="30" t="inlineStr">
        <is>
          <t>USN</t>
        </is>
      </c>
      <c r="C35" s="31">
        <f>SUMIFS(JB_27BV,JB_B,2,JB_W,"Crane Ship",JB_RC,"ADD")+SUMIFS(JB_27BV,JB_B,3,JB_W,"Crane Ship",JB_RC,"ADD")+SUMIFS(JB_27BV,JB_B,4,JB_W,"Crane Ship",JB_RC,"ADD")+SUMIFS(JB_27BV,JB_B,5,JB_W,"Crane Ship",JB_RC,"ADD")+SUMIFS(JB_27BV,JB_B,6,JB_W,"Crane Ship",JB_RC,"ADD")+SUMIFS(JB_27BV,JB_B,7,JB_W,"Crane Ship",JB_RC,"ADD")</f>
        <v/>
      </c>
      <c r="D35" s="37">
        <f>IFERROR(C35/C$52,0)</f>
        <v/>
      </c>
    </row>
    <row r="36" ht="10" customHeight="1">
      <c r="A36" s="30" t="inlineStr">
        <is>
          <t>Combat Logistics Ships</t>
        </is>
      </c>
      <c r="B36" s="30" t="inlineStr">
        <is>
          <t>MSC</t>
        </is>
      </c>
      <c r="C36"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6" s="37">
        <f>IFERROR(C36/C$52,0)</f>
        <v/>
      </c>
    </row>
    <row r="37" ht="10" customHeight="1">
      <c r="A37" s="30" t="inlineStr">
        <is>
          <t>Cargo &amp; Vehicle Cargo Ships</t>
        </is>
      </c>
      <c r="B37" s="30" t="inlineStr">
        <is>
          <t>USN</t>
        </is>
      </c>
      <c r="C37"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7" s="37">
        <f>IFERROR(C37/C$52,0)</f>
        <v/>
      </c>
    </row>
    <row r="38" ht="10" customHeight="1">
      <c r="A38" s="30" t="inlineStr">
        <is>
          <t>Salvage Ships &amp; Fleet Ocean Tugs</t>
        </is>
      </c>
      <c r="B38" s="30" t="inlineStr">
        <is>
          <t>MSC</t>
        </is>
      </c>
      <c r="C38"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8" s="37">
        <f>IFERROR(C38/C$52,0)</f>
        <v/>
      </c>
    </row>
    <row r="39" ht="10" customHeight="1">
      <c r="A39" s="30" t="inlineStr">
        <is>
          <t>Hospital Ship</t>
        </is>
      </c>
      <c r="B39" s="30" t="inlineStr">
        <is>
          <t>MSC</t>
        </is>
      </c>
      <c r="C39" s="31">
        <f>SUMIFS(JB_27BV,JB_B,2,JB_W,"Hospital Ship",JB_RC,"ADD")+SUMIFS(JB_27BV,JB_B,3,JB_W,"Hospital Ship",JB_RC,"ADD")+SUMIFS(JB_27BV,JB_B,4,JB_W,"Hospital Ship",JB_RC,"ADD")+SUMIFS(JB_27BV,JB_B,5,JB_W,"Hospital Ship",JB_RC,"ADD")+SUMIFS(JB_27BV,JB_B,6,JB_W,"Hospital Ship",JB_RC,"ADD")+SUMIFS(JB_27BV,JB_B,7,JB_W,"Hospital Ship",JB_RC,"ADD")</f>
        <v/>
      </c>
      <c r="D39" s="37">
        <f>IFERROR(C39/C$52,0)</f>
        <v/>
      </c>
    </row>
    <row r="40" ht="10" customHeight="1">
      <c r="A40" s="30" t="inlineStr">
        <is>
          <t>Aviation Logistics Support Ship</t>
        </is>
      </c>
      <c r="B40" s="30" t="inlineStr">
        <is>
          <t>USN</t>
        </is>
      </c>
      <c r="C40"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0" s="37">
        <f>IFERROR(C40/C$52,0)</f>
        <v/>
      </c>
    </row>
    <row r="41" ht="10" customHeight="1">
      <c r="A41" s="30" t="inlineStr">
        <is>
          <t>Research, Survey &amp; Instrumentation Ships</t>
        </is>
      </c>
      <c r="B41" s="30" t="inlineStr">
        <is>
          <t>MSC</t>
        </is>
      </c>
      <c r="C41"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1" s="37">
        <f>IFERROR(C41/C$52,0)</f>
        <v/>
      </c>
    </row>
    <row r="42" ht="10" customHeight="1">
      <c r="A42" s="30" t="inlineStr">
        <is>
          <t>Material Support Ships</t>
        </is>
      </c>
      <c r="B42" s="30" t="inlineStr">
        <is>
          <t>USN</t>
        </is>
      </c>
      <c r="C4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2" s="37">
        <f>IFERROR(C42/C$52,0)</f>
        <v/>
      </c>
    </row>
    <row r="43" ht="10" customHeight="1">
      <c r="A43" s="30" t="inlineStr">
        <is>
          <t>Submarine Escort Ship</t>
        </is>
      </c>
      <c r="B43" s="30" t="inlineStr">
        <is>
          <t>USN</t>
        </is>
      </c>
      <c r="C4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3" s="37">
        <f>IFERROR(C43/C$52,0)</f>
        <v/>
      </c>
    </row>
    <row r="44" ht="10" customHeight="1">
      <c r="A44" s="30" t="inlineStr">
        <is>
          <t>High Speed Transport</t>
        </is>
      </c>
      <c r="B44" s="30" t="inlineStr">
        <is>
          <t>USN</t>
        </is>
      </c>
      <c r="C44"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4" s="37">
        <f>IFERROR(C44/C$52,0)</f>
        <v/>
      </c>
    </row>
    <row r="45" ht="10" customHeight="1">
      <c r="A45" s="30" t="inlineStr">
        <is>
          <t>Coastal Buoy Tenders</t>
        </is>
      </c>
      <c r="B45" s="30" t="inlineStr">
        <is>
          <t>USCG</t>
        </is>
      </c>
      <c r="C45"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5" s="37">
        <f>IFERROR(C45/C$52,0)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IFERROR(C46/C$52,0)</f>
        <v/>
      </c>
    </row>
    <row r="47" ht="10" customHeight="1">
      <c r="A47" s="30" t="inlineStr">
        <is>
          <t>Fast Response Cutters</t>
        </is>
      </c>
      <c r="B47" s="30" t="inlineStr">
        <is>
          <t>USCG</t>
        </is>
      </c>
      <c r="C47"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7" s="37">
        <f>IFERROR(C47/C$52,0)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IFERROR(C48/C$52,0)</f>
        <v/>
      </c>
    </row>
    <row r="49" ht="10" customHeight="1">
      <c r="A49" s="30" t="inlineStr">
        <is>
          <t>Icebreakers, Oceangoing</t>
        </is>
      </c>
      <c r="B49" s="30" t="inlineStr">
        <is>
          <t>USCG</t>
        </is>
      </c>
      <c r="C49"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9" s="37">
        <f>IFERROR(C49/C$52,0)</f>
        <v/>
      </c>
    </row>
    <row r="50" ht="10" customHeight="1">
      <c r="A50" s="30" t="inlineStr">
        <is>
          <t>Icebreakers, Great Lakes</t>
        </is>
      </c>
      <c r="B50" s="30" t="inlineStr">
        <is>
          <t>USCG</t>
        </is>
      </c>
      <c r="C50"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0" s="37">
        <f>IFERROR(C50/C$52,0)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Salvage Ships &amp; Fleet Ocean Tugs</t>
        </is>
      </c>
      <c r="B18" s="30" t="inlineStr">
        <is>
          <t>MSC</t>
        </is>
      </c>
      <c r="C18" s="31">
        <f>SUMIFS(JB_27BV,JB_B,2,JB_W,"Salvage Ships &amp; Fleet Ocean Tugs",JB_RC,"ADD")</f>
        <v/>
      </c>
      <c r="D18" s="31">
        <f>SUMIFS(JB_27BV,JB_B,4,JB_W,"Salvage Ships &amp; Fleet Ocean Tugs",JB_RC,"ADD")</f>
        <v/>
      </c>
      <c r="E18" s="31">
        <f>C18+D18</f>
        <v/>
      </c>
      <c r="F18" s="37">
        <f>IFERROR(E18/E$40,0)</f>
        <v/>
      </c>
    </row>
    <row r="19" ht="10" customHeight="1">
      <c r="A19" s="30" t="inlineStr">
        <is>
          <t>Unmanned Surface Vehicles</t>
        </is>
      </c>
      <c r="B19" s="30" t="inlineStr">
        <is>
          <t>USN</t>
        </is>
      </c>
      <c r="C19" s="31">
        <f>SUMIFS(JB_27BV,JB_B,2,JB_W,"Unmanned Surface Vehicles",JB_RC,"ADD")</f>
        <v/>
      </c>
      <c r="D19" s="31">
        <f>SUMIFS(JB_27BV,JB_B,4,JB_W,"Unmanned Surface Vehicles",JB_RC,"ADD")</f>
        <v/>
      </c>
      <c r="E19" s="31">
        <f>C19+D19</f>
        <v/>
      </c>
      <c r="F19" s="37">
        <f>IFERROR(E19/E$40,0)</f>
        <v/>
      </c>
    </row>
    <row r="20" ht="10" customHeight="1">
      <c r="A20" s="30" t="inlineStr">
        <is>
          <t>Expeditionary &amp; Seabasing Ships</t>
        </is>
      </c>
      <c r="B20" s="30" t="inlineStr">
        <is>
          <t>USN</t>
        </is>
      </c>
      <c r="C20" s="31">
        <f>SUMIFS(JB_27BV,JB_B,2,JB_W,"Expeditionary &amp; Seabasing Ships",JB_RC,"ADD")</f>
        <v/>
      </c>
      <c r="D20" s="31">
        <f>SUMIFS(JB_27BV,JB_B,4,JB_W,"Expeditionary &amp; Seabasing Ships",JB_RC,"ADD")</f>
        <v/>
      </c>
      <c r="E20" s="31">
        <f>C20+D20</f>
        <v/>
      </c>
      <c r="F20" s="37">
        <f>IFERROR(E20/E$40,0)</f>
        <v/>
      </c>
    </row>
    <row r="21" ht="10" customHeight="1">
      <c r="A21" s="30" t="inlineStr">
        <is>
          <t>Hospital Ship</t>
        </is>
      </c>
      <c r="B21" s="30" t="inlineStr">
        <is>
          <t>MSC</t>
        </is>
      </c>
      <c r="C21" s="31">
        <f>SUMIFS(JB_27BV,JB_B,2,JB_W,"Hospital Ship",JB_RC,"ADD")</f>
        <v/>
      </c>
      <c r="D21" s="31">
        <f>SUMIFS(JB_27BV,JB_B,4,JB_W,"Hospital Ship",JB_RC,"ADD")</f>
        <v/>
      </c>
      <c r="E21" s="31">
        <f>C21+D21</f>
        <v/>
      </c>
      <c r="F21" s="37">
        <f>IFERROR(E21/E$40,0)</f>
        <v/>
      </c>
    </row>
    <row r="22" ht="10" customHeight="1">
      <c r="A22" s="30" t="inlineStr">
        <is>
          <t>Aviation Logistics Support Ship</t>
        </is>
      </c>
      <c r="B22" s="30" t="inlineStr">
        <is>
          <t>USN</t>
        </is>
      </c>
      <c r="C22" s="31">
        <f>SUMIFS(JB_27BV,JB_B,2,JB_W,"Aviation Logistics Support Ship",JB_RC,"ADD")</f>
        <v/>
      </c>
      <c r="D22" s="31">
        <f>SUMIFS(JB_27BV,JB_B,4,JB_W,"Aviation Logistics Support Ship",JB_RC,"ADD")</f>
        <v/>
      </c>
      <c r="E22" s="31">
        <f>C22+D22</f>
        <v/>
      </c>
      <c r="F22" s="37">
        <f>IFERROR(E22/E$40,0)</f>
        <v/>
      </c>
    </row>
    <row r="23" ht="10" customHeight="1">
      <c r="A23" s="30" t="inlineStr">
        <is>
          <t>Research, Survey &amp; Instrumentation Ships</t>
        </is>
      </c>
      <c r="B23" s="30" t="inlineStr">
        <is>
          <t>MSC</t>
        </is>
      </c>
      <c r="C23" s="31">
        <f>SUMIFS(JB_27BV,JB_B,2,JB_W,"Research, Survey &amp; Instrumentation Ships",JB_RC,"ADD")</f>
        <v/>
      </c>
      <c r="D23" s="31">
        <f>SUMIFS(JB_27BV,JB_B,4,JB_W,"Research, Survey &amp; Instrumentation Ships",JB_RC,"ADD")</f>
        <v/>
      </c>
      <c r="E23" s="31">
        <f>C23+D23</f>
        <v/>
      </c>
      <c r="F23" s="37">
        <f>IFERROR(E23/E$40,0)</f>
        <v/>
      </c>
    </row>
    <row r="24" ht="10" customHeight="1">
      <c r="A24" s="30" t="inlineStr">
        <is>
          <t>General Auxiliary</t>
        </is>
      </c>
      <c r="B24" s="30" t="inlineStr">
        <is>
          <t>USN</t>
        </is>
      </c>
      <c r="C24" s="31">
        <f>SUMIFS(JB_27BV,JB_B,2,JB_W,"General Auxiliary",JB_RC,"ADD")</f>
        <v/>
      </c>
      <c r="D24" s="31">
        <f>SUMIFS(JB_27BV,JB_B,4,JB_W,"General Auxiliary",JB_RC,"ADD")</f>
        <v/>
      </c>
      <c r="E24" s="31">
        <f>C24+D24</f>
        <v/>
      </c>
      <c r="F24" s="37">
        <f>IFERROR(E24/E$40,0)</f>
        <v/>
      </c>
    </row>
    <row r="25" ht="10" customHeight="1">
      <c r="A25" s="30" t="inlineStr">
        <is>
          <t>Mine Warfare</t>
        </is>
      </c>
      <c r="B25" s="30" t="inlineStr">
        <is>
          <t>USN</t>
        </is>
      </c>
      <c r="C25" s="31">
        <f>SUMIFS(JB_27BV,JB_B,2,JB_W,"Mine Warfare",JB_RC,"ADD")</f>
        <v/>
      </c>
      <c r="D25" s="31">
        <f>SUMIFS(JB_27BV,JB_B,4,JB_W,"Mine Warfare",JB_RC,"ADD")</f>
        <v/>
      </c>
      <c r="E25" s="31">
        <f>C25+D25</f>
        <v/>
      </c>
      <c r="F25" s="37">
        <f>IFERROR(E25/E$40,0)</f>
        <v/>
      </c>
    </row>
    <row r="26" ht="10" customHeight="1">
      <c r="A26" s="30" t="inlineStr">
        <is>
          <t>Crane Ship</t>
        </is>
      </c>
      <c r="B26" s="30" t="inlineStr">
        <is>
          <t>USN</t>
        </is>
      </c>
      <c r="C26" s="31">
        <f>SUMIFS(JB_27BV,JB_B,2,JB_W,"Crane Ship",JB_RC,"ADD")</f>
        <v/>
      </c>
      <c r="D26" s="31">
        <f>SUMIFS(JB_27BV,JB_B,4,JB_W,"Crane Ship",JB_RC,"ADD")</f>
        <v/>
      </c>
      <c r="E26" s="31">
        <f>C26+D26</f>
        <v/>
      </c>
      <c r="F26" s="37">
        <f>IFERROR(E26/E$40,0)</f>
        <v/>
      </c>
    </row>
    <row r="27" ht="10" customHeight="1">
      <c r="A27" s="30" t="inlineStr">
        <is>
          <t>Material Support Ships</t>
        </is>
      </c>
      <c r="B27" s="30" t="inlineStr">
        <is>
          <t>USN</t>
        </is>
      </c>
      <c r="C27" s="31">
        <f>SUMIFS(JB_27BV,JB_B,2,JB_W,"Material Support Ships",JB_RC,"ADD")</f>
        <v/>
      </c>
      <c r="D27" s="31">
        <f>SUMIFS(JB_27BV,JB_B,4,JB_W,"Material Support Ships",JB_RC,"ADD")</f>
        <v/>
      </c>
      <c r="E27" s="31">
        <f>C27+D27</f>
        <v/>
      </c>
      <c r="F27" s="37">
        <f>IFERROR(E27/E$40,0)</f>
        <v/>
      </c>
    </row>
    <row r="28" ht="10" customHeight="1">
      <c r="A28" s="30" t="inlineStr">
        <is>
          <t>Submarine Escort Ship</t>
        </is>
      </c>
      <c r="B28" s="30" t="inlineStr">
        <is>
          <t>USN</t>
        </is>
      </c>
      <c r="C28" s="31">
        <f>SUMIFS(JB_27BV,JB_B,2,JB_W,"Submarine Escort Ship",JB_RC,"ADD")</f>
        <v/>
      </c>
      <c r="D28" s="31">
        <f>SUMIFS(JB_27BV,JB_B,4,JB_W,"Submarine Escort Ship",JB_RC,"ADD")</f>
        <v/>
      </c>
      <c r="E28" s="31">
        <f>C28+D28</f>
        <v/>
      </c>
      <c r="F28" s="37">
        <f>IFERROR(E28/E$40,0)</f>
        <v/>
      </c>
    </row>
    <row r="29" ht="10" customHeight="1">
      <c r="A29" s="30" t="inlineStr">
        <is>
          <t>Combat Logistics Ships</t>
        </is>
      </c>
      <c r="B29" s="30" t="inlineStr">
        <is>
          <t>MSC</t>
        </is>
      </c>
      <c r="C29" s="31">
        <f>SUMIFS(JB_27BV,JB_B,2,JB_W,"Combat Logistics Ships",JB_RC,"ADD")</f>
        <v/>
      </c>
      <c r="D29" s="31">
        <f>SUMIFS(JB_27BV,JB_B,4,JB_W,"Combat Logistics Ships",JB_RC,"ADD")</f>
        <v/>
      </c>
      <c r="E29" s="31">
        <f>C29+D29</f>
        <v/>
      </c>
      <c r="F29" s="37">
        <f>IFERROR(E29/E$40,0)</f>
        <v/>
      </c>
    </row>
    <row r="30" ht="10" customHeight="1">
      <c r="A30" s="30" t="inlineStr">
        <is>
          <t>Cargo &amp; Vehicle Cargo Ships</t>
        </is>
      </c>
      <c r="B30" s="30" t="inlineStr">
        <is>
          <t>USN</t>
        </is>
      </c>
      <c r="C30" s="31">
        <f>SUMIFS(JB_27BV,JB_B,2,JB_W,"Cargo &amp; Vehicle Cargo Ships",JB_RC,"ADD")</f>
        <v/>
      </c>
      <c r="D30" s="31">
        <f>SUMIFS(JB_27BV,JB_B,4,JB_W,"Cargo &amp; Vehicle Cargo Ships",JB_RC,"ADD")</f>
        <v/>
      </c>
      <c r="E30" s="31">
        <f>C30+D30</f>
        <v/>
      </c>
      <c r="F30" s="37">
        <f>IFERROR(E30/E$40,0)</f>
        <v/>
      </c>
    </row>
    <row r="31" ht="10" customHeight="1">
      <c r="A31" s="30" t="inlineStr">
        <is>
          <t>Command Ships</t>
        </is>
      </c>
      <c r="B31" s="30" t="inlineStr">
        <is>
          <t>USN</t>
        </is>
      </c>
      <c r="C31" s="31">
        <f>SUMIFS(JB_27BV,JB_B,2,JB_W,"Command Ships",JB_RC,"ADD")</f>
        <v/>
      </c>
      <c r="D31" s="31">
        <f>SUMIFS(JB_27BV,JB_B,4,JB_W,"Command Ships",JB_RC,"ADD")</f>
        <v/>
      </c>
      <c r="E31" s="31">
        <f>C31+D31</f>
        <v/>
      </c>
      <c r="F31" s="37">
        <f>IFERROR(E31/E$40,0)</f>
        <v/>
      </c>
    </row>
    <row r="32" ht="10" customHeight="1">
      <c r="A32" s="30" t="inlineStr">
        <is>
          <t>High Speed Transport</t>
        </is>
      </c>
      <c r="B32" s="30" t="inlineStr">
        <is>
          <t>USN</t>
        </is>
      </c>
      <c r="C32" s="31">
        <f>SUMIFS(JB_27BV,JB_B,2,JB_W,"High Speed Transport",JB_RC,"ADD")</f>
        <v/>
      </c>
      <c r="D32" s="31">
        <f>SUMIFS(JB_27BV,JB_B,4,JB_W,"High Speed Transport",JB_RC,"ADD")</f>
        <v/>
      </c>
      <c r="E32" s="31">
        <f>C32+D32</f>
        <v/>
      </c>
      <c r="F32" s="37">
        <f>IFERROR(E32/E$40,0)</f>
        <v/>
      </c>
    </row>
    <row r="33" ht="10" customHeight="1">
      <c r="A33" s="30" t="inlineStr">
        <is>
          <t>Waterways Commerce Cutters</t>
        </is>
      </c>
      <c r="B33" s="30" t="inlineStr">
        <is>
          <t>USCG</t>
        </is>
      </c>
      <c r="C33" s="31">
        <f>SUMIFS(JB_27BV,JB_B,2,JB_W,"Waterways Commerce Cutters",JB_RC,"ADD")</f>
        <v/>
      </c>
      <c r="D33" s="31">
        <f>SUMIFS(JB_27BV,JB_B,4,JB_W,"Waterways Commerce Cutters",JB_RC,"ADD")</f>
        <v/>
      </c>
      <c r="E33" s="31">
        <f>C33+D33</f>
        <v/>
      </c>
      <c r="F33" s="37">
        <f>IFERROR(E33/E$40,0)</f>
        <v/>
      </c>
    </row>
    <row r="34" ht="10" customHeight="1">
      <c r="A34" s="30" t="inlineStr">
        <is>
          <t>Coastal Buoy Tenders</t>
        </is>
      </c>
      <c r="B34" s="30" t="inlineStr">
        <is>
          <t>USCG</t>
        </is>
      </c>
      <c r="C34" s="31">
        <f>SUMIFS(JB_27BV,JB_B,2,JB_W,"Coastal Buoy Tenders",JB_RC,"ADD")</f>
        <v/>
      </c>
      <c r="D34" s="31">
        <f>SUMIFS(JB_27BV,JB_B,4,JB_W,"Coastal Buoy Tenders",JB_RC,"ADD")</f>
        <v/>
      </c>
      <c r="E34" s="31">
        <f>C34+D34</f>
        <v/>
      </c>
      <c r="F34" s="37">
        <f>IFERROR(E34/E$40,0)</f>
        <v/>
      </c>
    </row>
    <row r="35" ht="10" customHeight="1">
      <c r="A35" s="30" t="inlineStr">
        <is>
          <t>Icebreakers, Oceangoing</t>
        </is>
      </c>
      <c r="B35" s="30" t="inlineStr">
        <is>
          <t>USCG</t>
        </is>
      </c>
      <c r="C35" s="31">
        <f>SUMIFS(JB_27BV,JB_B,2,JB_W,"Icebreakers, Oceangoing",JB_RC,"ADD")</f>
        <v/>
      </c>
      <c r="D35" s="31">
        <f>SUMIFS(JB_27BV,JB_B,4,JB_W,"Icebreakers, Oceangoing",JB_RC,"ADD")</f>
        <v/>
      </c>
      <c r="E35" s="31">
        <f>C35+D35</f>
        <v/>
      </c>
      <c r="F35" s="37">
        <f>IFERROR(E35/E$40,0)</f>
        <v/>
      </c>
    </row>
    <row r="36" ht="10" customHeight="1">
      <c r="A36" s="30" t="inlineStr">
        <is>
          <t>Icebreakers, Great Lakes</t>
        </is>
      </c>
      <c r="B36" s="30" t="inlineStr">
        <is>
          <t>USCG</t>
        </is>
      </c>
      <c r="C36" s="31">
        <f>SUMIFS(JB_27BV,JB_B,2,JB_W,"Icebreakers, Great Lakes",JB_RC,"ADD")</f>
        <v/>
      </c>
      <c r="D36" s="31">
        <f>SUMIFS(JB_27BV,JB_B,4,JB_W,"Icebreakers, Great Lakes",JB_RC,"ADD")</f>
        <v/>
      </c>
      <c r="E36" s="31">
        <f>C36+D36</f>
        <v/>
      </c>
      <c r="F36" s="37">
        <f>IFERROR(E36/E$40,0)</f>
        <v/>
      </c>
    </row>
    <row r="37" ht="10" customHeight="1">
      <c r="A37" s="30" t="inlineStr">
        <is>
          <t>Offshore Patrol Cutter</t>
        </is>
      </c>
      <c r="B37" s="30" t="inlineStr">
        <is>
          <t>USCG</t>
        </is>
      </c>
      <c r="C37" s="31">
        <f>SUMIFS(JB_27BV,JB_B,2,JB_W,"Offshore Patrol Cutter",JB_RC,"ADD")</f>
        <v/>
      </c>
      <c r="D37" s="31">
        <f>SUMIFS(JB_27BV,JB_B,4,JB_W,"Offshore Patrol Cutter",JB_RC,"ADD")</f>
        <v/>
      </c>
      <c r="E37" s="31">
        <f>C37+D37</f>
        <v/>
      </c>
      <c r="F37" s="37">
        <f>IFERROR(E37/E$40,0)</f>
        <v/>
      </c>
    </row>
    <row r="38" ht="10" customHeight="1">
      <c r="A38" s="30" t="inlineStr">
        <is>
          <t>National Security Cutters</t>
        </is>
      </c>
      <c r="B38" s="30" t="inlineStr">
        <is>
          <t>USCG</t>
        </is>
      </c>
      <c r="C38" s="31">
        <f>SUMIFS(JB_27BV,JB_B,2,JB_W,"National Security Cutters",JB_RC,"ADD")</f>
        <v/>
      </c>
      <c r="D38" s="31">
        <f>SUMIFS(JB_27BV,JB_B,4,JB_W,"National Security Cutters",JB_RC,"ADD")</f>
        <v/>
      </c>
      <c r="E38" s="31">
        <f>C38+D38</f>
        <v/>
      </c>
      <c r="F38" s="37">
        <f>IFERROR(E38/E$40,0)</f>
        <v/>
      </c>
    </row>
    <row r="39" ht="10" customHeight="1">
      <c r="A39" s="30" t="inlineStr">
        <is>
          <t>Fast Response Cutters</t>
        </is>
      </c>
      <c r="B39" s="30" t="inlineStr">
        <is>
          <t>USCG</t>
        </is>
      </c>
      <c r="C39" s="31">
        <f>SUMIFS(JB_27BV,JB_B,2,JB_W,"Fast Response Cutters",JB_RC,"ADD")</f>
        <v/>
      </c>
      <c r="D39" s="31">
        <f>SUMIFS(JB_27BV,JB_B,4,JB_W,"Fast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2026-04-14T01:42:52Z</dcterms:modified>
  <cp:lastModifiedBy>Brendan Toole</cp:lastModifiedBy>
</cp:coreProperties>
</file>